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680F56AA-EFD2-4430-AEF5-4DDF3AFFA94D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  <sheet name="Planilha2" sheetId="2" r:id="rId2"/>
  </sheets>
  <definedNames>
    <definedName name="_xlnm._FilterDatabase" localSheetId="0" hidden="1">Planilha1!$A$1:$AU$1653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10" i="2"/>
  <c r="C9" i="2"/>
  <c r="C7" i="2"/>
  <c r="C6" i="2"/>
  <c r="C5" i="2"/>
  <c r="C4" i="2"/>
</calcChain>
</file>

<file path=xl/sharedStrings.xml><?xml version="1.0" encoding="utf-8"?>
<sst xmlns="http://schemas.openxmlformats.org/spreadsheetml/2006/main" count="27580" uniqueCount="441">
  <si>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</si>
  <si>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</si>
  <si>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</si>
  <si>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</si>
  <si>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</si>
  <si>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</si>
  <si>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</si>
  <si>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</si>
  <si>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</si>
  <si>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</si>
  <si>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</si>
  <si>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</si>
  <si>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</si>
  <si>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</si>
  <si>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</si>
  <si>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</si>
  <si>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</si>
  <si>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</si>
  <si>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</si>
  <si>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</si>
  <si>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</si>
  <si>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</si>
  <si>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</si>
  <si>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</si>
  <si>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</si>
  <si>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</si>
  <si>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</si>
  <si>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</si>
  <si>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</si>
  <si>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</si>
  <si>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</si>
  <si>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</si>
  <si>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</si>
  <si>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</si>
  <si>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</si>
  <si>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</si>
  <si>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</si>
  <si>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</si>
  <si>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</si>
  <si>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</si>
  <si>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</si>
  <si>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</si>
  <si>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</si>
  <si>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</si>
  <si>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</si>
  <si>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</si>
  <si>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</si>
  <si>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</si>
  <si>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</si>
  <si>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</si>
  <si>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</si>
  <si>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</si>
  <si>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</si>
  <si>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</si>
  <si>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</si>
  <si>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</si>
  <si>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</si>
  <si>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</si>
  <si>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</si>
  <si>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</si>
  <si>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</si>
  <si>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</si>
  <si>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</si>
  <si>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</si>
  <si>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</si>
  <si>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</si>
  <si>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</si>
  <si>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</si>
  <si>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</si>
  <si>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</si>
  <si>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</si>
  <si>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</si>
  <si>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</si>
  <si>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</si>
  <si>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</si>
  <si>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</si>
  <si>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</si>
  <si>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</si>
  <si>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</si>
  <si>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</si>
  <si>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</si>
  <si>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</si>
  <si>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</si>
  <si>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</si>
  <si>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</si>
  <si>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</si>
  <si>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</si>
  <si>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</si>
  <si>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</si>
  <si>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</si>
  <si>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</si>
  <si>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</si>
  <si>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</si>
  <si>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</si>
  <si>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</si>
  <si>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</si>
  <si>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</si>
  <si>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</si>
  <si>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</si>
  <si>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</si>
  <si>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</si>
  <si>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</si>
  <si>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</si>
  <si>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</si>
  <si>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</si>
  <si>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</si>
  <si>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</si>
  <si>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</si>
  <si>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</si>
  <si>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</si>
  <si>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</si>
  <si>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</si>
  <si>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</si>
  <si>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</si>
  <si>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</si>
  <si>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</si>
  <si>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</si>
  <si>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</si>
  <si>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</si>
  <si>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</si>
  <si>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</si>
  <si>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</si>
  <si>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</si>
  <si>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</si>
  <si>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</si>
  <si>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</si>
  <si>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</si>
  <si>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</si>
  <si>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</si>
  <si>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</si>
  <si>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</si>
  <si>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</si>
  <si>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</si>
  <si>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</si>
  <si>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</si>
  <si>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</si>
  <si>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</si>
  <si>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</si>
  <si>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</si>
  <si>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</si>
  <si>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</si>
  <si>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</si>
  <si>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</si>
  <si>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</si>
  <si>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</si>
  <si>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</si>
  <si>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</si>
  <si>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</si>
  <si>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</si>
  <si>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</si>
  <si>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</si>
  <si>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</si>
  <si>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</si>
  <si>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</si>
  <si>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</si>
  <si>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</si>
  <si>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GUARULHOS</t>
  </si>
  <si>
    <t>RIVATTI</t>
  </si>
  <si>
    <t>28 42 56 72 DD</t>
  </si>
  <si>
    <t>SEVEN TEXTIL</t>
  </si>
  <si>
    <t>30 DD</t>
  </si>
  <si>
    <t>SC BRUSQUE</t>
  </si>
  <si>
    <t>BILITON</t>
  </si>
  <si>
    <t>GASPAR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</si>
  <si>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</si>
  <si>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</si>
  <si>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</si>
  <si>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</si>
  <si>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</si>
  <si>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</si>
  <si>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</si>
  <si>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</si>
  <si>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ELTON ROBERTO LAMIM</t>
  </si>
  <si>
    <t>ELTON</t>
  </si>
  <si>
    <t>42 DD</t>
  </si>
  <si>
    <t>MOZART CRISTAIS</t>
  </si>
  <si>
    <t>POD BEBIDAS</t>
  </si>
  <si>
    <t>28 35 42 49 DD</t>
  </si>
  <si>
    <t>SC *** Nenhuma ***</t>
  </si>
  <si>
    <t>IMPORTADORA CASCAVEL</t>
  </si>
  <si>
    <t xml:space="preserve">SPEZIA </t>
  </si>
  <si>
    <t>LUIS ALVES</t>
  </si>
  <si>
    <t>ALFACOMEX</t>
  </si>
  <si>
    <t>SUNNY BRINQUEDOS</t>
  </si>
  <si>
    <t>NEOFOODS ALIMENTOS (NAO USAR)</t>
  </si>
  <si>
    <t>SAO PAULO</t>
  </si>
  <si>
    <t>SC LUIS ALVES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</si>
  <si>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</si>
  <si>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</si>
  <si>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</si>
  <si>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</si>
  <si>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</si>
  <si>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</si>
  <si>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</si>
  <si>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</si>
  <si>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>LYNUS</t>
  </si>
  <si>
    <t>Prazo médio do pagamento acima do que foi configurado para o cliente.</t>
  </si>
  <si>
    <t>Limite de crédito inferior à soma dos valores pendentes.</t>
  </si>
  <si>
    <t>28 35 42 49 56 DD</t>
  </si>
  <si>
    <t xml:space="preserve">TMX 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</si>
  <si>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</si>
  <si>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</si>
  <si>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</si>
  <si>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</si>
  <si>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</si>
  <si>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</si>
  <si>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</si>
  <si>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</si>
  <si>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</si>
  <si>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</si>
  <si>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</si>
  <si>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 xml:space="preserve">IMPOMAX </t>
  </si>
  <si>
    <t>MERITMEDICAL</t>
  </si>
  <si>
    <t>POMERODE</t>
  </si>
  <si>
    <t>AMANDA</t>
  </si>
  <si>
    <t>TESSIMATEX - TMX KIDS</t>
  </si>
  <si>
    <t>PAPINHA BABY</t>
  </si>
  <si>
    <t xml:space="preserve">BELA FLOR </t>
  </si>
  <si>
    <t>SC BALNEARIO CAMBORIU</t>
  </si>
  <si>
    <t>30 45 60 75 DD</t>
  </si>
  <si>
    <t>15 30 45 DD</t>
  </si>
  <si>
    <t>SAMIRA INJETADOS LTDA</t>
  </si>
  <si>
    <t>SAO JOAO BATISTA</t>
  </si>
  <si>
    <t>GRAMKOW</t>
  </si>
  <si>
    <t>PELICANO IMPORTADORA LTDA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</si>
  <si>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</si>
  <si>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</si>
  <si>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</si>
  <si>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</si>
  <si>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</si>
  <si>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</si>
  <si>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</si>
  <si>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LX TEXTIL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</si>
  <si>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</si>
  <si>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</si>
  <si>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</si>
  <si>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</si>
  <si>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</si>
  <si>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</si>
  <si>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</si>
  <si>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</si>
  <si>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</si>
  <si>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</si>
  <si>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</si>
  <si>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</si>
  <si>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</si>
  <si>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</si>
  <si>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</si>
  <si>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</si>
  <si>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</si>
  <si>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</si>
  <si>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</si>
  <si>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</si>
  <si>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</si>
  <si>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</si>
  <si>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</si>
  <si>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</si>
  <si>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</si>
  <si>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</si>
  <si>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</si>
  <si>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</si>
  <si>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</si>
  <si>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</si>
  <si>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</si>
  <si>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</si>
  <si>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</si>
  <si>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</si>
  <si>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</si>
  <si>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</si>
  <si>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</si>
  <si>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</si>
  <si>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</si>
  <si>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</si>
  <si>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</si>
  <si>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</si>
  <si>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</si>
  <si>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</si>
  <si>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</si>
  <si>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</si>
  <si>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</si>
  <si>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</si>
  <si>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</si>
  <si>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</si>
  <si>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</si>
  <si>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</si>
  <si>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</si>
  <si>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</si>
  <si>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</si>
  <si>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</si>
  <si>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</si>
  <si>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</si>
  <si>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</si>
  <si>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</si>
  <si>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</si>
  <si>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</si>
  <si>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</si>
  <si>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</si>
  <si>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</si>
  <si>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</si>
  <si>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</si>
  <si>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</si>
  <si>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</si>
  <si>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</si>
  <si>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</si>
  <si>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</si>
  <si>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</si>
  <si>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</si>
  <si>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</si>
  <si>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</si>
  <si>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</si>
  <si>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</si>
  <si>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</si>
  <si>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</si>
  <si>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</si>
  <si>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</si>
  <si>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</si>
  <si>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</si>
  <si>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</si>
  <si>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</si>
  <si>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</si>
  <si>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</si>
  <si>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</si>
  <si>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</si>
  <si>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</si>
  <si>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</si>
  <si>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</si>
  <si>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</si>
  <si>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</si>
  <si>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</si>
  <si>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</si>
  <si>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</si>
  <si>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</si>
  <si>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</si>
  <si>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</si>
  <si>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</si>
  <si>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</si>
  <si>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</si>
  <si>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</si>
  <si>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</si>
  <si>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</si>
  <si>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</si>
  <si>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</si>
  <si>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</si>
  <si>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</si>
  <si>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</si>
  <si>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</si>
  <si>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</si>
  <si>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</si>
  <si>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</si>
  <si>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</si>
  <si>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</si>
  <si>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</si>
  <si>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Dias de limite de atraso no pagamento ultrapassados.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</si>
  <si>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</si>
  <si>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</si>
  <si>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</si>
  <si>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</si>
  <si>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</si>
  <si>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</si>
  <si>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</si>
  <si>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</si>
  <si>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</si>
  <si>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</si>
  <si>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</si>
  <si>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</si>
  <si>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</si>
  <si>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</si>
  <si>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</si>
  <si>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</si>
  <si>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</si>
  <si>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</si>
  <si>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</si>
  <si>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</si>
  <si>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</si>
  <si>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</si>
  <si>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</si>
  <si>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</si>
  <si>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</si>
  <si>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</si>
  <si>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</si>
  <si>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</si>
  <si>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</si>
  <si>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</si>
  <si>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</si>
  <si>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</si>
  <si>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</si>
  <si>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</si>
  <si>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</si>
  <si>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</si>
  <si>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</si>
  <si>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</si>
  <si>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</si>
  <si>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</si>
  <si>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</si>
  <si>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</si>
  <si>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</si>
  <si>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</si>
  <si>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</si>
  <si>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</si>
  <si>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</si>
  <si>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</si>
  <si>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</si>
  <si>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</si>
  <si>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</si>
  <si>
    <t>STB</t>
  </si>
  <si>
    <t xml:space="preserve">VOLPATO </t>
  </si>
  <si>
    <t>28 42 56 70 84 DD</t>
  </si>
  <si>
    <t>VINISLOG - JKM</t>
  </si>
  <si>
    <t>ZIPYLIK</t>
  </si>
  <si>
    <t>WEKO</t>
  </si>
  <si>
    <t>YES EMBALAGENS</t>
  </si>
  <si>
    <t>WILLMIX</t>
  </si>
  <si>
    <t>VIDA BELA COSMETICOS</t>
  </si>
  <si>
    <t>WALPLAS</t>
  </si>
  <si>
    <t>VESTISUL</t>
  </si>
  <si>
    <t>VERTEC</t>
  </si>
  <si>
    <t>VOGAFLEX  PERSIANAS</t>
  </si>
  <si>
    <t>TELESOFT</t>
  </si>
  <si>
    <t>ROBERTO DEGENHARDT</t>
  </si>
  <si>
    <t>BL PLAST</t>
  </si>
  <si>
    <t xml:space="preserve">BELLA ARTE </t>
  </si>
  <si>
    <t>30 45 60 75 90 DD</t>
  </si>
  <si>
    <t>BE CARE</t>
  </si>
  <si>
    <t>SIMAS PRESENTARIA</t>
  </si>
  <si>
    <t>RODRIGO</t>
  </si>
  <si>
    <t>45 60 DD</t>
  </si>
  <si>
    <t>ESTOPACK</t>
  </si>
  <si>
    <t xml:space="preserve">RXR COSMETICOS </t>
  </si>
  <si>
    <t>ODAPEL</t>
  </si>
  <si>
    <t>KANPACK</t>
  </si>
  <si>
    <t>ALECA</t>
  </si>
  <si>
    <t>HITECH ETIQUETAS</t>
  </si>
  <si>
    <t>BALDI GELATERIA</t>
  </si>
  <si>
    <t>THE ROYAL BRAND</t>
  </si>
  <si>
    <t>30 40 50 60 DD</t>
  </si>
  <si>
    <t>SC GASPAR</t>
  </si>
  <si>
    <t>Int/Kanb</t>
  </si>
  <si>
    <t>total de pedidos</t>
  </si>
  <si>
    <t>M² PREÇO MEDIO</t>
  </si>
  <si>
    <t>KG PREÇO MEDIO</t>
  </si>
  <si>
    <t>TICKT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</si>
</sst>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  <xf numFmtId="44" fontId="0" fillId="0" borderId="0" xfId="1" applyFont="1" applyAlignment="1"/>
    <xf numFmtId="3" fontId="0" fillId="0" borderId="0" xfId="1" applyNumberFormat="1" applyFont="1" applyAlignment="1"/>
    <xf numFmtId="44" fontId="0" fillId="0" borderId="0" xfId="1" applyFont="1"/>
    <xf numFmtId="164" fontId="0" fillId="0" borderId="0" xfId="1" applyNumberFormat="1" applyFont="1"/>
    <xf numFmtId="0" fontId="0" fillId="0" borderId="0" xfId="1" applyNumberFormat="1" applyFon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sheetPr filterMode="1"/>
  <dimension ref="A1:AU1843"/>
  <sheetViews>
    <sheetView tabSelected="1" zoomScaleNormal="100" workbookViewId="0">
      <pane ySplit="1" topLeftCell="A2" activePane="bottomLeft" state="frozen"/>
      <selection pane="bottomLeft" activeCell="M114" sqref="M114:M138"/>
    </sheetView>
  </sheetViews>
  <sheetFormatPr defaultRowHeight="14.3" x14ac:dyDescent="0.25"/>
  <cols>
    <col min="1" max="1" width="18.25" customWidth="1"/>
    <col min="2" max="2" width="8.875" bestFit="1" customWidth="1"/>
    <col min="3" max="3" width="7.875" bestFit="1" customWidth="1"/>
    <col min="4" max="4" width="15.25" bestFit="1" customWidth="1"/>
    <col min="5" max="5" width="10.375" bestFit="1" customWidth="1"/>
    <col min="6" max="6" width="26.125" customWidth="1"/>
    <col min="7" max="7" width="25.75" bestFit="1" customWidth="1"/>
    <col min="8" max="8" width="18.5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25">
      <c r="A2" t="s">
        <v>47</v>
      </c>
      <c r="B2" s="1">
        <v>36893</v>
      </c>
      <c r="C2" t="s">
        <v>48</v>
      </c>
      <c r="D2" t="s">
        <v>49</v>
      </c>
      <c r="E2" s="2">
        <v>45663</v>
      </c>
      <c r="F2" t="s">
        <v>100</v>
      </c>
      <c r="G2" t="s">
        <v>93</v>
      </c>
      <c r="H2" s="3">
        <v>41886</v>
      </c>
      <c r="I2" s="3">
        <v>41886</v>
      </c>
      <c r="J2">
        <v>0</v>
      </c>
      <c r="K2" s="3">
        <v>48168.9</v>
      </c>
      <c r="L2" s="3">
        <v>6802</v>
      </c>
      <c r="M2" s="3">
        <v>3805.44</v>
      </c>
      <c r="N2" t="s">
        <v>83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9</v>
      </c>
      <c r="V2" t="s">
        <v>71</v>
      </c>
      <c r="W2" t="s">
        <v>101</v>
      </c>
      <c r="X2" s="4">
        <v>0</v>
      </c>
      <c r="Y2" t="s">
        <v>58</v>
      </c>
      <c r="Z2" s="3">
        <v>1420</v>
      </c>
      <c r="AA2">
        <v>0</v>
      </c>
      <c r="AB2" s="3">
        <v>5382</v>
      </c>
      <c r="AC2">
        <v>0</v>
      </c>
      <c r="AD2">
        <v>0</v>
      </c>
      <c r="AE2" s="3">
        <v>4000</v>
      </c>
      <c r="AF2" t="s">
        <v>54</v>
      </c>
      <c r="AG2" t="s">
        <v>59</v>
      </c>
      <c r="AH2" t="s">
        <v>102</v>
      </c>
      <c r="AI2" t="s">
        <v>91</v>
      </c>
      <c r="AJ2" t="s">
        <v>91</v>
      </c>
      <c r="AK2" s="5">
        <v>45663.551666666666</v>
      </c>
      <c r="AO2" t="s">
        <v>54</v>
      </c>
      <c r="AP2">
        <v>0</v>
      </c>
      <c r="AR2" t="s">
        <v>54</v>
      </c>
      <c r="AS2" t="s">
        <v>54</v>
      </c>
      <c r="AT2">
        <v>161</v>
      </c>
      <c r="AU2" t="s">
        <v>55</v>
      </c>
    </row>
    <row r="3" spans="1:47" hidden="1" x14ac:dyDescent="0.25">
      <c r="A3" t="s">
        <v>95</v>
      </c>
      <c r="B3" s="1">
        <v>36894</v>
      </c>
      <c r="C3" t="s">
        <v>48</v>
      </c>
      <c r="D3" t="s">
        <v>49</v>
      </c>
      <c r="E3" s="2">
        <v>45664</v>
      </c>
      <c r="F3" t="s">
        <v>417</v>
      </c>
      <c r="G3" t="s">
        <v>163</v>
      </c>
      <c r="H3" s="3">
        <v>4860</v>
      </c>
      <c r="I3" s="3">
        <v>4860</v>
      </c>
      <c r="J3">
        <v>0</v>
      </c>
      <c r="K3" s="3">
        <v>4860</v>
      </c>
      <c r="L3" s="3">
        <v>882</v>
      </c>
      <c r="M3" s="3">
        <v>298.95</v>
      </c>
      <c r="N3" t="s">
        <v>418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124</v>
      </c>
      <c r="W3" t="s">
        <v>94</v>
      </c>
      <c r="X3" s="4">
        <v>0</v>
      </c>
      <c r="Y3" t="s">
        <v>62</v>
      </c>
      <c r="Z3" s="3"/>
      <c r="AE3" s="3"/>
      <c r="AK3" s="5"/>
    </row>
    <row r="4" spans="1:47" hidden="1" x14ac:dyDescent="0.25">
      <c r="A4" t="s">
        <v>63</v>
      </c>
      <c r="B4" s="1">
        <v>882</v>
      </c>
      <c r="C4">
        <v>0</v>
      </c>
      <c r="D4" s="3">
        <v>0</v>
      </c>
      <c r="E4" s="2">
        <v>0</v>
      </c>
      <c r="F4">
        <v>0</v>
      </c>
      <c r="G4" s="3">
        <v>16000</v>
      </c>
      <c r="H4" s="3" t="s">
        <v>54</v>
      </c>
      <c r="I4" s="3" t="s">
        <v>59</v>
      </c>
      <c r="K4" s="3" t="s">
        <v>91</v>
      </c>
      <c r="L4" s="3" t="s">
        <v>91</v>
      </c>
      <c r="M4" s="3">
        <v>45664.565381944441</v>
      </c>
      <c r="Q4" t="s">
        <v>54</v>
      </c>
      <c r="R4">
        <v>0</v>
      </c>
      <c r="T4" t="s">
        <v>54</v>
      </c>
      <c r="U4" t="s">
        <v>54</v>
      </c>
      <c r="V4">
        <v>150</v>
      </c>
      <c r="W4" t="s">
        <v>55</v>
      </c>
      <c r="X4" s="4"/>
      <c r="AE4" s="3"/>
      <c r="AK4" s="5"/>
    </row>
    <row r="5" spans="1:47" hidden="1" x14ac:dyDescent="0.25">
      <c r="A5" t="s">
        <v>95</v>
      </c>
      <c r="B5" s="1">
        <v>36897</v>
      </c>
      <c r="C5" s="3" t="s">
        <v>48</v>
      </c>
      <c r="D5" t="s">
        <v>49</v>
      </c>
      <c r="E5" s="2">
        <v>45665</v>
      </c>
      <c r="F5" t="s">
        <v>164</v>
      </c>
      <c r="G5" s="3" t="s">
        <v>165</v>
      </c>
      <c r="H5" s="3">
        <v>2286.5</v>
      </c>
      <c r="I5" s="3">
        <v>2286.5</v>
      </c>
      <c r="J5">
        <v>0</v>
      </c>
      <c r="K5" s="3">
        <v>2286.5</v>
      </c>
      <c r="L5" s="3">
        <v>504.9</v>
      </c>
      <c r="M5" s="3">
        <v>166.62</v>
      </c>
      <c r="N5" t="s">
        <v>77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83</v>
      </c>
      <c r="V5" t="s">
        <v>71</v>
      </c>
      <c r="W5" t="s">
        <v>72</v>
      </c>
      <c r="X5" s="4">
        <v>0</v>
      </c>
      <c r="Y5" t="s">
        <v>62</v>
      </c>
      <c r="AB5" s="3"/>
      <c r="AK5" s="5"/>
    </row>
    <row r="6" spans="1:47" hidden="1" x14ac:dyDescent="0.25">
      <c r="A6" t="s">
        <v>63</v>
      </c>
      <c r="B6" s="1">
        <v>504.9</v>
      </c>
      <c r="C6">
        <v>0</v>
      </c>
      <c r="D6">
        <v>0</v>
      </c>
      <c r="E6" s="2">
        <v>0</v>
      </c>
      <c r="F6">
        <v>0</v>
      </c>
      <c r="G6">
        <v>850</v>
      </c>
      <c r="H6" s="3" t="s">
        <v>54</v>
      </c>
      <c r="I6" s="3" t="s">
        <v>59</v>
      </c>
      <c r="K6" s="3" t="s">
        <v>80</v>
      </c>
      <c r="L6" s="3" t="s">
        <v>73</v>
      </c>
      <c r="M6" s="3">
        <v>45665.586041666669</v>
      </c>
      <c r="Q6" t="s">
        <v>54</v>
      </c>
      <c r="R6">
        <v>0</v>
      </c>
      <c r="T6" t="s">
        <v>54</v>
      </c>
      <c r="U6" t="s">
        <v>54</v>
      </c>
      <c r="V6">
        <v>5745</v>
      </c>
      <c r="W6" t="s">
        <v>55</v>
      </c>
      <c r="X6" s="4"/>
      <c r="AB6" s="3"/>
      <c r="AE6" s="3"/>
      <c r="AK6" s="5"/>
    </row>
    <row r="7" spans="1:47" hidden="1" x14ac:dyDescent="0.25">
      <c r="A7" t="s">
        <v>47</v>
      </c>
      <c r="B7" s="1">
        <v>36898</v>
      </c>
      <c r="C7" t="s">
        <v>48</v>
      </c>
      <c r="D7" t="s">
        <v>49</v>
      </c>
      <c r="E7" s="2">
        <v>45665</v>
      </c>
      <c r="F7" t="s">
        <v>166</v>
      </c>
      <c r="G7" s="3" t="s">
        <v>69</v>
      </c>
      <c r="H7" s="3">
        <v>6020</v>
      </c>
      <c r="I7" s="3">
        <v>6020</v>
      </c>
      <c r="J7">
        <v>0</v>
      </c>
      <c r="K7" s="3">
        <v>6923</v>
      </c>
      <c r="L7" s="3">
        <v>775.5</v>
      </c>
      <c r="M7" s="3">
        <v>445.92</v>
      </c>
      <c r="N7" t="s">
        <v>77</v>
      </c>
      <c r="O7" t="s">
        <v>53</v>
      </c>
      <c r="P7" t="s">
        <v>53</v>
      </c>
      <c r="Q7" t="s">
        <v>53</v>
      </c>
      <c r="R7" t="s">
        <v>54</v>
      </c>
      <c r="S7" t="s">
        <v>54</v>
      </c>
      <c r="T7" t="s">
        <v>55</v>
      </c>
      <c r="U7">
        <v>83</v>
      </c>
      <c r="W7" t="s">
        <v>132</v>
      </c>
      <c r="X7" s="4">
        <v>0</v>
      </c>
      <c r="Y7" t="s">
        <v>58</v>
      </c>
      <c r="Z7" s="3">
        <v>0</v>
      </c>
      <c r="AA7">
        <v>0</v>
      </c>
      <c r="AB7">
        <v>775.5</v>
      </c>
      <c r="AC7">
        <v>0</v>
      </c>
      <c r="AD7">
        <v>0</v>
      </c>
      <c r="AE7" s="3">
        <v>1000</v>
      </c>
      <c r="AF7" t="s">
        <v>54</v>
      </c>
      <c r="AG7" t="s">
        <v>59</v>
      </c>
      <c r="AI7" t="s">
        <v>80</v>
      </c>
      <c r="AJ7" t="s">
        <v>60</v>
      </c>
      <c r="AK7" s="5">
        <v>45666.664837962962</v>
      </c>
      <c r="AO7" t="s">
        <v>54</v>
      </c>
      <c r="AP7">
        <v>0</v>
      </c>
      <c r="AR7" t="s">
        <v>54</v>
      </c>
      <c r="AS7" t="s">
        <v>54</v>
      </c>
      <c r="AT7">
        <v>7312</v>
      </c>
      <c r="AU7" t="s">
        <v>55</v>
      </c>
    </row>
    <row r="8" spans="1:47" hidden="1" x14ac:dyDescent="0.25">
      <c r="A8" t="s">
        <v>47</v>
      </c>
      <c r="B8" s="1">
        <v>36899</v>
      </c>
      <c r="C8" t="s">
        <v>48</v>
      </c>
      <c r="D8" t="s">
        <v>49</v>
      </c>
      <c r="E8" s="2">
        <v>45665</v>
      </c>
      <c r="F8" s="3" t="s">
        <v>68</v>
      </c>
      <c r="G8" s="3" t="s">
        <v>69</v>
      </c>
      <c r="H8" s="3">
        <v>1807.8</v>
      </c>
      <c r="I8" s="3">
        <v>1807.8</v>
      </c>
      <c r="J8">
        <v>0</v>
      </c>
      <c r="K8" s="3">
        <v>2078.9699999999998</v>
      </c>
      <c r="L8" s="3">
        <v>384.6</v>
      </c>
      <c r="M8" s="3">
        <v>149.99</v>
      </c>
      <c r="N8" t="s">
        <v>70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76</v>
      </c>
      <c r="V8" t="s">
        <v>71</v>
      </c>
      <c r="W8" t="s">
        <v>72</v>
      </c>
      <c r="X8" s="4">
        <v>0</v>
      </c>
      <c r="Y8" t="s">
        <v>62</v>
      </c>
      <c r="Z8" s="3"/>
      <c r="AB8" s="3"/>
      <c r="AE8" s="3"/>
      <c r="AK8" s="5"/>
    </row>
    <row r="9" spans="1:47" hidden="1" x14ac:dyDescent="0.25">
      <c r="A9" t="s">
        <v>63</v>
      </c>
      <c r="B9" s="1">
        <v>384.6</v>
      </c>
      <c r="C9">
        <v>0</v>
      </c>
      <c r="D9">
        <v>0</v>
      </c>
      <c r="E9" s="2">
        <v>0</v>
      </c>
      <c r="F9">
        <v>0</v>
      </c>
      <c r="G9">
        <v>600</v>
      </c>
      <c r="H9" s="3" t="s">
        <v>54</v>
      </c>
      <c r="I9" s="3" t="s">
        <v>59</v>
      </c>
      <c r="K9" s="3" t="s">
        <v>73</v>
      </c>
      <c r="L9" s="3" t="s">
        <v>73</v>
      </c>
      <c r="M9" s="3">
        <v>45665.67391203704</v>
      </c>
      <c r="Q9" t="s">
        <v>54</v>
      </c>
      <c r="R9">
        <v>0</v>
      </c>
      <c r="T9" t="s">
        <v>54</v>
      </c>
      <c r="U9" t="s">
        <v>54</v>
      </c>
      <c r="V9">
        <v>139</v>
      </c>
      <c r="W9" t="s">
        <v>55</v>
      </c>
      <c r="X9" s="4"/>
      <c r="AB9" s="3"/>
      <c r="AD9" s="3"/>
      <c r="AE9" s="3"/>
      <c r="AK9" s="5"/>
    </row>
    <row r="10" spans="1:47" hidden="1" x14ac:dyDescent="0.25">
      <c r="A10" t="s">
        <v>47</v>
      </c>
      <c r="B10" s="1">
        <v>36900</v>
      </c>
      <c r="C10" t="s">
        <v>48</v>
      </c>
      <c r="D10" t="s">
        <v>49</v>
      </c>
      <c r="E10" s="2">
        <v>45665</v>
      </c>
      <c r="F10" t="s">
        <v>68</v>
      </c>
      <c r="G10" s="3" t="s">
        <v>69</v>
      </c>
      <c r="H10" s="3">
        <v>1807.8</v>
      </c>
      <c r="I10" s="3">
        <v>1807.8</v>
      </c>
      <c r="J10">
        <v>0</v>
      </c>
      <c r="K10" s="3">
        <v>2078.9699999999998</v>
      </c>
      <c r="L10" s="3">
        <v>384.6</v>
      </c>
      <c r="M10" s="3">
        <v>149.99</v>
      </c>
      <c r="N10" t="s">
        <v>70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76</v>
      </c>
      <c r="V10" t="s">
        <v>71</v>
      </c>
      <c r="W10" t="s">
        <v>72</v>
      </c>
      <c r="X10" s="4">
        <v>0</v>
      </c>
      <c r="Y10" t="s">
        <v>62</v>
      </c>
      <c r="Z10" s="3"/>
      <c r="AD10" s="3"/>
      <c r="AE10" s="3"/>
      <c r="AK10" s="5"/>
    </row>
    <row r="11" spans="1:47" hidden="1" x14ac:dyDescent="0.25">
      <c r="A11" t="s">
        <v>63</v>
      </c>
      <c r="B11" s="1">
        <v>384.6</v>
      </c>
      <c r="C11">
        <v>0</v>
      </c>
      <c r="D11">
        <v>0</v>
      </c>
      <c r="E11" s="2">
        <v>0</v>
      </c>
      <c r="F11">
        <v>0</v>
      </c>
      <c r="G11">
        <v>600</v>
      </c>
      <c r="H11" s="3" t="s">
        <v>54</v>
      </c>
      <c r="I11" s="3" t="s">
        <v>59</v>
      </c>
      <c r="K11" s="3" t="s">
        <v>73</v>
      </c>
      <c r="L11" s="3" t="s">
        <v>73</v>
      </c>
      <c r="M11" s="3">
        <v>45665.675138888888</v>
      </c>
      <c r="Q11" t="s">
        <v>54</v>
      </c>
      <c r="R11">
        <v>0</v>
      </c>
      <c r="T11" t="s">
        <v>54</v>
      </c>
      <c r="U11" t="s">
        <v>54</v>
      </c>
      <c r="V11">
        <v>139</v>
      </c>
      <c r="W11" t="s">
        <v>55</v>
      </c>
      <c r="X11" s="4"/>
      <c r="AB11" s="3"/>
      <c r="AE11" s="3"/>
      <c r="AK11" s="5"/>
    </row>
    <row r="12" spans="1:47" hidden="1" x14ac:dyDescent="0.25">
      <c r="A12" t="s">
        <v>47</v>
      </c>
      <c r="B12" s="1">
        <v>36902</v>
      </c>
      <c r="C12" t="s">
        <v>48</v>
      </c>
      <c r="D12" t="s">
        <v>49</v>
      </c>
      <c r="E12" s="2">
        <v>45666</v>
      </c>
      <c r="F12" t="s">
        <v>167</v>
      </c>
      <c r="G12" t="s">
        <v>168</v>
      </c>
      <c r="H12" s="3">
        <v>6600</v>
      </c>
      <c r="I12" s="3">
        <v>6600</v>
      </c>
      <c r="J12">
        <v>0</v>
      </c>
      <c r="K12" s="3">
        <v>7590</v>
      </c>
      <c r="L12" s="3">
        <v>1526</v>
      </c>
      <c r="M12" s="3">
        <v>569.73</v>
      </c>
      <c r="N12" t="s">
        <v>52</v>
      </c>
      <c r="O12" t="s">
        <v>53</v>
      </c>
      <c r="P12" t="s">
        <v>53</v>
      </c>
      <c r="Q12" t="s">
        <v>53</v>
      </c>
      <c r="R12" t="s">
        <v>54</v>
      </c>
      <c r="S12" t="s">
        <v>54</v>
      </c>
      <c r="T12" t="s">
        <v>55</v>
      </c>
      <c r="U12">
        <v>126</v>
      </c>
      <c r="V12" t="s">
        <v>56</v>
      </c>
      <c r="W12" t="s">
        <v>169</v>
      </c>
      <c r="X12" s="4">
        <v>0</v>
      </c>
      <c r="Y12" t="s">
        <v>62</v>
      </c>
      <c r="Z12" s="3"/>
      <c r="AD12" s="3"/>
      <c r="AE12" s="3"/>
      <c r="AK12" s="5"/>
    </row>
    <row r="13" spans="1:47" hidden="1" x14ac:dyDescent="0.25">
      <c r="A13" t="s">
        <v>63</v>
      </c>
      <c r="B13" s="3">
        <v>1256</v>
      </c>
      <c r="C13">
        <v>0</v>
      </c>
      <c r="D13">
        <v>270</v>
      </c>
      <c r="E13" s="2">
        <v>0</v>
      </c>
      <c r="F13">
        <v>0</v>
      </c>
      <c r="G13" s="3">
        <v>6000</v>
      </c>
      <c r="H13" s="3" t="s">
        <v>54</v>
      </c>
      <c r="I13" s="3" t="s">
        <v>59</v>
      </c>
      <c r="K13" s="3" t="s">
        <v>60</v>
      </c>
      <c r="L13" s="3" t="s">
        <v>60</v>
      </c>
      <c r="M13" s="3">
        <v>45666.328784722224</v>
      </c>
      <c r="Q13" t="s">
        <v>54</v>
      </c>
      <c r="R13">
        <v>0</v>
      </c>
      <c r="T13" t="s">
        <v>54</v>
      </c>
      <c r="U13" t="s">
        <v>54</v>
      </c>
      <c r="V13">
        <v>4954</v>
      </c>
      <c r="W13" t="s">
        <v>55</v>
      </c>
      <c r="X13" s="4"/>
      <c r="AK13" s="5"/>
    </row>
    <row r="14" spans="1:47" hidden="1" x14ac:dyDescent="0.25">
      <c r="A14" t="s">
        <v>47</v>
      </c>
      <c r="B14" s="1">
        <v>36903</v>
      </c>
      <c r="C14" s="3" t="s">
        <v>48</v>
      </c>
      <c r="D14" s="3" t="s">
        <v>49</v>
      </c>
      <c r="E14" s="2">
        <v>45666</v>
      </c>
      <c r="F14" t="s">
        <v>167</v>
      </c>
      <c r="G14" s="3" t="s">
        <v>168</v>
      </c>
      <c r="H14" s="3">
        <v>5253</v>
      </c>
      <c r="I14" s="3">
        <v>5253</v>
      </c>
      <c r="J14">
        <v>0</v>
      </c>
      <c r="K14" s="3">
        <v>6040.95</v>
      </c>
      <c r="L14" s="3">
        <v>1239.3</v>
      </c>
      <c r="M14" s="3">
        <v>458.54</v>
      </c>
      <c r="N14" t="s">
        <v>52</v>
      </c>
      <c r="O14" t="s">
        <v>53</v>
      </c>
      <c r="P14" t="s">
        <v>53</v>
      </c>
      <c r="Q14" t="s">
        <v>53</v>
      </c>
      <c r="R14" t="s">
        <v>54</v>
      </c>
      <c r="S14" t="s">
        <v>54</v>
      </c>
      <c r="T14" t="s">
        <v>55</v>
      </c>
      <c r="U14">
        <v>126</v>
      </c>
      <c r="V14" t="s">
        <v>56</v>
      </c>
      <c r="W14" t="s">
        <v>94</v>
      </c>
      <c r="X14" s="4">
        <v>0</v>
      </c>
      <c r="Y14" t="s">
        <v>62</v>
      </c>
      <c r="AE14" s="3"/>
      <c r="AK14" s="5"/>
    </row>
    <row r="15" spans="1:47" hidden="1" x14ac:dyDescent="0.25">
      <c r="A15" t="s">
        <v>63</v>
      </c>
      <c r="B15" s="1">
        <v>1037</v>
      </c>
      <c r="C15">
        <v>0</v>
      </c>
      <c r="D15">
        <v>202.3</v>
      </c>
      <c r="E15" s="2">
        <v>0</v>
      </c>
      <c r="F15">
        <v>0</v>
      </c>
      <c r="G15" s="3">
        <v>5100</v>
      </c>
      <c r="H15" s="3" t="s">
        <v>54</v>
      </c>
      <c r="I15" s="3" t="s">
        <v>59</v>
      </c>
      <c r="K15" s="3" t="s">
        <v>60</v>
      </c>
      <c r="L15" s="3" t="s">
        <v>60</v>
      </c>
      <c r="M15" s="3">
        <v>45666.337199074071</v>
      </c>
      <c r="Q15" t="s">
        <v>54</v>
      </c>
      <c r="R15">
        <v>0</v>
      </c>
      <c r="T15" t="s">
        <v>54</v>
      </c>
      <c r="U15" t="s">
        <v>54</v>
      </c>
      <c r="V15">
        <v>4954</v>
      </c>
      <c r="W15" t="s">
        <v>55</v>
      </c>
      <c r="X15" s="4"/>
      <c r="Z15" s="3"/>
      <c r="AA15" s="3"/>
      <c r="AB15" s="3"/>
      <c r="AD15" s="3"/>
      <c r="AE15" s="3"/>
      <c r="AK15" s="5"/>
    </row>
    <row r="16" spans="1:47" hidden="1" x14ac:dyDescent="0.25">
      <c r="A16" t="s">
        <v>47</v>
      </c>
      <c r="B16" s="1">
        <v>36904</v>
      </c>
      <c r="C16" t="s">
        <v>48</v>
      </c>
      <c r="D16" t="s">
        <v>49</v>
      </c>
      <c r="E16" s="2">
        <v>45666</v>
      </c>
      <c r="F16" t="s">
        <v>170</v>
      </c>
      <c r="G16" t="s">
        <v>112</v>
      </c>
      <c r="H16" s="3">
        <v>6765</v>
      </c>
      <c r="I16" s="3">
        <v>6765</v>
      </c>
      <c r="J16">
        <v>0</v>
      </c>
      <c r="K16" s="3">
        <v>6765</v>
      </c>
      <c r="L16" s="3">
        <v>1742</v>
      </c>
      <c r="M16" s="3">
        <v>505.18</v>
      </c>
      <c r="N16" t="s">
        <v>75</v>
      </c>
      <c r="O16" t="s">
        <v>53</v>
      </c>
      <c r="P16" t="s">
        <v>53</v>
      </c>
      <c r="Q16" t="s">
        <v>53</v>
      </c>
      <c r="R16" t="s">
        <v>54</v>
      </c>
      <c r="S16" t="s">
        <v>54</v>
      </c>
      <c r="T16" t="s">
        <v>55</v>
      </c>
      <c r="U16">
        <v>43</v>
      </c>
      <c r="W16" t="s">
        <v>169</v>
      </c>
      <c r="X16" s="4">
        <v>0</v>
      </c>
      <c r="Y16" t="s">
        <v>62</v>
      </c>
      <c r="Z16" s="3"/>
      <c r="AD16" s="3"/>
      <c r="AE16" s="3"/>
      <c r="AK16" s="5"/>
    </row>
    <row r="17" spans="1:47" hidden="1" x14ac:dyDescent="0.25">
      <c r="A17" t="s">
        <v>63</v>
      </c>
      <c r="B17" s="1">
        <v>1742</v>
      </c>
      <c r="C17">
        <v>0</v>
      </c>
      <c r="D17">
        <v>0</v>
      </c>
      <c r="E17" s="2">
        <v>0</v>
      </c>
      <c r="F17">
        <v>0</v>
      </c>
      <c r="G17" s="3">
        <v>4001</v>
      </c>
      <c r="H17" s="3" t="s">
        <v>54</v>
      </c>
      <c r="I17" s="3" t="s">
        <v>59</v>
      </c>
      <c r="K17" s="3" t="s">
        <v>91</v>
      </c>
      <c r="L17" s="3" t="s">
        <v>91</v>
      </c>
      <c r="M17" s="3">
        <v>45666.587037037039</v>
      </c>
      <c r="Q17" t="s">
        <v>54</v>
      </c>
      <c r="R17">
        <v>0</v>
      </c>
      <c r="T17" t="s">
        <v>54</v>
      </c>
      <c r="U17" t="s">
        <v>54</v>
      </c>
      <c r="V17">
        <v>4098</v>
      </c>
      <c r="W17" t="s">
        <v>55</v>
      </c>
      <c r="X17" s="4"/>
      <c r="AD17" s="3"/>
      <c r="AE17" s="3"/>
      <c r="AK17" s="5"/>
    </row>
    <row r="18" spans="1:47" hidden="1" x14ac:dyDescent="0.25">
      <c r="A18" t="s">
        <v>47</v>
      </c>
      <c r="B18" s="1">
        <v>36905</v>
      </c>
      <c r="C18" t="s">
        <v>48</v>
      </c>
      <c r="D18" t="s">
        <v>49</v>
      </c>
      <c r="E18" s="2">
        <v>45666</v>
      </c>
      <c r="F18" t="s">
        <v>171</v>
      </c>
      <c r="G18" t="s">
        <v>69</v>
      </c>
      <c r="H18" s="3">
        <v>24064</v>
      </c>
      <c r="I18" s="3">
        <v>24064</v>
      </c>
      <c r="J18">
        <v>0</v>
      </c>
      <c r="K18" s="3">
        <v>24064</v>
      </c>
      <c r="L18" s="3">
        <v>3858.4</v>
      </c>
      <c r="M18" s="3">
        <v>2218.58</v>
      </c>
      <c r="N18" t="s">
        <v>77</v>
      </c>
      <c r="O18" t="s">
        <v>53</v>
      </c>
      <c r="P18" t="s">
        <v>53</v>
      </c>
      <c r="Q18" t="s">
        <v>53</v>
      </c>
      <c r="R18" t="s">
        <v>54</v>
      </c>
      <c r="S18" t="s">
        <v>54</v>
      </c>
      <c r="T18" t="s">
        <v>55</v>
      </c>
      <c r="U18">
        <v>83</v>
      </c>
      <c r="W18" t="s">
        <v>151</v>
      </c>
      <c r="X18" s="4">
        <v>0</v>
      </c>
      <c r="Y18" t="s">
        <v>62</v>
      </c>
      <c r="AD18" s="3"/>
      <c r="AE18" s="3"/>
      <c r="AK18" s="5"/>
    </row>
    <row r="19" spans="1:47" hidden="1" x14ac:dyDescent="0.25">
      <c r="A19" t="s">
        <v>63</v>
      </c>
      <c r="B19" s="3">
        <v>0</v>
      </c>
      <c r="C19">
        <v>0</v>
      </c>
      <c r="D19" s="3">
        <v>3858.4</v>
      </c>
      <c r="E19" s="2">
        <v>0</v>
      </c>
      <c r="F19">
        <v>0</v>
      </c>
      <c r="G19" s="3">
        <v>3000</v>
      </c>
      <c r="H19" s="3" t="s">
        <v>54</v>
      </c>
      <c r="I19" s="3" t="s">
        <v>59</v>
      </c>
      <c r="K19" s="3" t="s">
        <v>80</v>
      </c>
      <c r="L19" s="3" t="s">
        <v>60</v>
      </c>
      <c r="M19" s="3">
        <v>45666.646574074075</v>
      </c>
      <c r="Q19" t="s">
        <v>54</v>
      </c>
      <c r="R19">
        <v>0</v>
      </c>
      <c r="T19" t="s">
        <v>54</v>
      </c>
      <c r="U19" t="s">
        <v>54</v>
      </c>
      <c r="V19">
        <v>6255</v>
      </c>
      <c r="W19" t="s">
        <v>55</v>
      </c>
      <c r="X19" s="4"/>
      <c r="Z19" s="3"/>
      <c r="AE19" s="3"/>
      <c r="AK19" s="5"/>
    </row>
    <row r="20" spans="1:47" hidden="1" x14ac:dyDescent="0.25">
      <c r="A20" t="s">
        <v>134</v>
      </c>
      <c r="B20" s="1">
        <v>36907</v>
      </c>
      <c r="C20" t="s">
        <v>48</v>
      </c>
      <c r="D20" t="s">
        <v>49</v>
      </c>
      <c r="E20" s="2">
        <v>45666</v>
      </c>
      <c r="F20" t="s">
        <v>419</v>
      </c>
      <c r="G20" s="3" t="s">
        <v>155</v>
      </c>
      <c r="H20" s="3">
        <v>4580</v>
      </c>
      <c r="I20" s="3">
        <v>4580</v>
      </c>
      <c r="J20">
        <v>0</v>
      </c>
      <c r="K20" s="3">
        <v>4580</v>
      </c>
      <c r="L20" s="3">
        <v>974.8</v>
      </c>
      <c r="M20" s="3">
        <v>350.92</v>
      </c>
      <c r="N20" t="s">
        <v>172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146</v>
      </c>
      <c r="V20" t="s">
        <v>173</v>
      </c>
      <c r="W20" t="s">
        <v>94</v>
      </c>
      <c r="X20" s="4">
        <v>0</v>
      </c>
      <c r="Y20" t="s">
        <v>58</v>
      </c>
      <c r="Z20" s="3">
        <v>974.8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I20" t="s">
        <v>173</v>
      </c>
      <c r="AJ20" t="s">
        <v>73</v>
      </c>
      <c r="AK20" s="5">
        <v>45666.690625000003</v>
      </c>
      <c r="AO20" t="s">
        <v>54</v>
      </c>
      <c r="AP20">
        <v>0</v>
      </c>
      <c r="AR20" t="s">
        <v>54</v>
      </c>
      <c r="AS20" t="s">
        <v>54</v>
      </c>
      <c r="AT20">
        <v>5481</v>
      </c>
      <c r="AU20" t="s">
        <v>55</v>
      </c>
    </row>
    <row r="21" spans="1:47" hidden="1" x14ac:dyDescent="0.25">
      <c r="A21" t="s">
        <v>47</v>
      </c>
      <c r="B21" s="1">
        <v>36908</v>
      </c>
      <c r="C21" t="s">
        <v>48</v>
      </c>
      <c r="D21" t="s">
        <v>49</v>
      </c>
      <c r="E21" s="2">
        <v>45666</v>
      </c>
      <c r="F21" t="s">
        <v>116</v>
      </c>
      <c r="G21" s="3" t="s">
        <v>117</v>
      </c>
      <c r="H21" s="3">
        <v>799</v>
      </c>
      <c r="I21" s="3">
        <v>799</v>
      </c>
      <c r="J21">
        <v>0</v>
      </c>
      <c r="K21" s="3">
        <v>918.85</v>
      </c>
      <c r="L21">
        <v>78.5</v>
      </c>
      <c r="M21" s="3">
        <v>45.14</v>
      </c>
      <c r="N21" t="s">
        <v>77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83</v>
      </c>
      <c r="W21" t="s">
        <v>174</v>
      </c>
      <c r="X21" s="4">
        <v>0</v>
      </c>
      <c r="Y21" t="s">
        <v>58</v>
      </c>
      <c r="Z21">
        <v>0</v>
      </c>
      <c r="AA21">
        <v>0</v>
      </c>
      <c r="AB21">
        <v>78.5</v>
      </c>
      <c r="AC21">
        <v>0</v>
      </c>
      <c r="AD21">
        <v>0</v>
      </c>
      <c r="AE21" s="3">
        <v>100</v>
      </c>
      <c r="AF21" t="s">
        <v>54</v>
      </c>
      <c r="AG21" t="s">
        <v>59</v>
      </c>
      <c r="AI21" t="s">
        <v>80</v>
      </c>
      <c r="AJ21" t="s">
        <v>73</v>
      </c>
      <c r="AK21" s="5">
        <v>45666.702407407407</v>
      </c>
      <c r="AO21" t="s">
        <v>54</v>
      </c>
      <c r="AP21">
        <v>0</v>
      </c>
      <c r="AR21" t="s">
        <v>54</v>
      </c>
      <c r="AS21" t="s">
        <v>54</v>
      </c>
      <c r="AT21">
        <v>4900</v>
      </c>
      <c r="AU21" t="s">
        <v>55</v>
      </c>
    </row>
    <row r="22" spans="1:47" hidden="1" x14ac:dyDescent="0.25">
      <c r="A22" t="s">
        <v>47</v>
      </c>
      <c r="B22" s="1">
        <v>36910</v>
      </c>
      <c r="C22" t="s">
        <v>48</v>
      </c>
      <c r="D22" t="s">
        <v>49</v>
      </c>
      <c r="E22" s="2">
        <v>45667</v>
      </c>
      <c r="F22" t="s">
        <v>100</v>
      </c>
      <c r="G22" t="s">
        <v>93</v>
      </c>
      <c r="H22" s="3">
        <v>4676</v>
      </c>
      <c r="I22" s="3">
        <v>4676</v>
      </c>
      <c r="J22">
        <v>0</v>
      </c>
      <c r="K22" s="3">
        <v>5377.4</v>
      </c>
      <c r="L22" s="3">
        <v>1100</v>
      </c>
      <c r="M22" s="3">
        <v>319</v>
      </c>
      <c r="N22" t="s">
        <v>83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9</v>
      </c>
      <c r="V22" t="s">
        <v>71</v>
      </c>
      <c r="W22" t="s">
        <v>101</v>
      </c>
      <c r="X22" s="4">
        <v>0</v>
      </c>
      <c r="Y22" t="s">
        <v>58</v>
      </c>
      <c r="Z22" s="3">
        <v>1100</v>
      </c>
      <c r="AA22">
        <v>0</v>
      </c>
      <c r="AB22">
        <v>0</v>
      </c>
      <c r="AC22">
        <v>0</v>
      </c>
      <c r="AD22">
        <v>0</v>
      </c>
      <c r="AE22" s="3">
        <v>4000</v>
      </c>
      <c r="AF22" t="s">
        <v>54</v>
      </c>
      <c r="AG22" t="s">
        <v>59</v>
      </c>
      <c r="AH22" t="s">
        <v>102</v>
      </c>
      <c r="AI22" t="s">
        <v>73</v>
      </c>
      <c r="AJ22" t="s">
        <v>73</v>
      </c>
      <c r="AK22" s="5">
        <v>45667.439814814818</v>
      </c>
      <c r="AO22" t="s">
        <v>54</v>
      </c>
      <c r="AP22">
        <v>0</v>
      </c>
      <c r="AR22" t="s">
        <v>54</v>
      </c>
      <c r="AS22" t="s">
        <v>54</v>
      </c>
      <c r="AT22">
        <v>161</v>
      </c>
      <c r="AU22" t="s">
        <v>55</v>
      </c>
    </row>
    <row r="23" spans="1:47" hidden="1" x14ac:dyDescent="0.25">
      <c r="A23" t="s">
        <v>95</v>
      </c>
      <c r="B23" s="1">
        <v>36911</v>
      </c>
      <c r="C23" t="s">
        <v>48</v>
      </c>
      <c r="D23" s="3" t="s">
        <v>49</v>
      </c>
      <c r="E23" s="2">
        <v>45670</v>
      </c>
      <c r="F23" s="3" t="s">
        <v>420</v>
      </c>
      <c r="G23" s="3" t="s">
        <v>163</v>
      </c>
      <c r="H23" s="3">
        <v>49945</v>
      </c>
      <c r="I23" s="3">
        <v>49945</v>
      </c>
      <c r="J23">
        <v>0</v>
      </c>
      <c r="K23" s="3">
        <v>49945</v>
      </c>
      <c r="L23" s="3">
        <v>11938</v>
      </c>
      <c r="M23" s="3">
        <v>4655.83</v>
      </c>
      <c r="N23" t="s">
        <v>418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124</v>
      </c>
      <c r="V23" t="s">
        <v>56</v>
      </c>
      <c r="W23" t="s">
        <v>421</v>
      </c>
      <c r="X23" s="4">
        <v>0</v>
      </c>
      <c r="Y23" t="s">
        <v>58</v>
      </c>
      <c r="Z23" s="3">
        <v>11938</v>
      </c>
      <c r="AA23">
        <v>0</v>
      </c>
      <c r="AB23">
        <v>0</v>
      </c>
      <c r="AC23">
        <v>0</v>
      </c>
      <c r="AD23">
        <v>0</v>
      </c>
      <c r="AE23" s="3">
        <v>6500</v>
      </c>
      <c r="AF23" t="s">
        <v>54</v>
      </c>
      <c r="AG23" t="s">
        <v>59</v>
      </c>
      <c r="AI23" t="s">
        <v>91</v>
      </c>
      <c r="AJ23" t="s">
        <v>91</v>
      </c>
      <c r="AK23" s="5">
        <v>45670.380949074075</v>
      </c>
      <c r="AO23" t="s">
        <v>54</v>
      </c>
      <c r="AP23">
        <v>0</v>
      </c>
      <c r="AR23" t="s">
        <v>54</v>
      </c>
      <c r="AS23" t="s">
        <v>54</v>
      </c>
      <c r="AT23">
        <v>2159</v>
      </c>
      <c r="AU23" t="s">
        <v>55</v>
      </c>
    </row>
    <row r="24" spans="1:47" hidden="1" x14ac:dyDescent="0.25">
      <c r="A24" t="s">
        <v>47</v>
      </c>
      <c r="B24" s="1">
        <v>36912</v>
      </c>
      <c r="C24" t="s">
        <v>48</v>
      </c>
      <c r="D24" t="s">
        <v>49</v>
      </c>
      <c r="E24" s="2">
        <v>45670</v>
      </c>
      <c r="F24" t="s">
        <v>175</v>
      </c>
      <c r="G24" t="s">
        <v>93</v>
      </c>
      <c r="H24" s="3">
        <v>1272</v>
      </c>
      <c r="I24" s="3">
        <v>1272</v>
      </c>
      <c r="J24">
        <v>0</v>
      </c>
      <c r="K24" s="3">
        <v>1462.8</v>
      </c>
      <c r="L24">
        <v>107.25</v>
      </c>
      <c r="M24" s="3">
        <v>66.5</v>
      </c>
      <c r="N24" t="s">
        <v>105</v>
      </c>
      <c r="O24" t="s">
        <v>53</v>
      </c>
      <c r="P24" t="s">
        <v>53</v>
      </c>
      <c r="Q24" t="s">
        <v>53</v>
      </c>
      <c r="R24" t="s">
        <v>54</v>
      </c>
      <c r="S24" t="s">
        <v>54</v>
      </c>
      <c r="T24" t="s">
        <v>55</v>
      </c>
      <c r="U24">
        <v>145</v>
      </c>
      <c r="V24" t="s">
        <v>144</v>
      </c>
      <c r="W24" t="s">
        <v>106</v>
      </c>
      <c r="X24" s="4">
        <v>0</v>
      </c>
      <c r="Y24" t="s">
        <v>62</v>
      </c>
    </row>
    <row r="25" spans="1:47" hidden="1" x14ac:dyDescent="0.25">
      <c r="A25" t="s">
        <v>63</v>
      </c>
      <c r="B25" s="1">
        <v>0</v>
      </c>
      <c r="C25">
        <v>0</v>
      </c>
      <c r="D25">
        <v>0</v>
      </c>
      <c r="E25" s="2">
        <v>0</v>
      </c>
      <c r="F25">
        <v>107.25</v>
      </c>
      <c r="G25" s="3">
        <v>150</v>
      </c>
      <c r="H25" s="3" t="s">
        <v>54</v>
      </c>
      <c r="I25" s="3" t="s">
        <v>59</v>
      </c>
      <c r="J25" t="s">
        <v>142</v>
      </c>
      <c r="K25" s="3" t="s">
        <v>73</v>
      </c>
      <c r="L25" s="3" t="s">
        <v>73</v>
      </c>
      <c r="M25" s="3">
        <v>45671.449513888889</v>
      </c>
      <c r="Q25" t="s">
        <v>54</v>
      </c>
      <c r="R25">
        <v>0</v>
      </c>
      <c r="T25" t="s">
        <v>54</v>
      </c>
      <c r="U25" t="s">
        <v>54</v>
      </c>
      <c r="V25">
        <v>5509</v>
      </c>
      <c r="W25" t="s">
        <v>55</v>
      </c>
      <c r="X25" s="4"/>
      <c r="AB25" s="3"/>
      <c r="AE25" s="3"/>
      <c r="AK25" s="5"/>
    </row>
    <row r="26" spans="1:47" hidden="1" x14ac:dyDescent="0.25">
      <c r="A26" t="s">
        <v>95</v>
      </c>
      <c r="B26" s="1">
        <v>36913</v>
      </c>
      <c r="C26" t="s">
        <v>48</v>
      </c>
      <c r="D26" t="s">
        <v>49</v>
      </c>
      <c r="E26" s="2">
        <v>45670</v>
      </c>
      <c r="F26" t="s">
        <v>176</v>
      </c>
      <c r="G26" t="s">
        <v>69</v>
      </c>
      <c r="H26" s="3">
        <v>700</v>
      </c>
      <c r="I26" s="3">
        <v>700</v>
      </c>
      <c r="J26">
        <v>0</v>
      </c>
      <c r="K26" s="3">
        <v>700</v>
      </c>
      <c r="L26" s="3">
        <v>139.19999999999999</v>
      </c>
      <c r="M26" s="3">
        <v>50.11</v>
      </c>
      <c r="N26" t="s">
        <v>172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146</v>
      </c>
      <c r="V26" t="s">
        <v>173</v>
      </c>
      <c r="W26" t="s">
        <v>177</v>
      </c>
      <c r="X26" s="4">
        <v>0</v>
      </c>
      <c r="Y26" t="s">
        <v>62</v>
      </c>
      <c r="Z26" s="3"/>
      <c r="AB26" s="3"/>
      <c r="AE26" s="3"/>
      <c r="AK26" s="5"/>
    </row>
    <row r="27" spans="1:47" hidden="1" x14ac:dyDescent="0.25">
      <c r="A27" t="s">
        <v>63</v>
      </c>
      <c r="B27" s="1">
        <v>139.19999999999999</v>
      </c>
      <c r="C27">
        <v>0</v>
      </c>
      <c r="D27" s="3">
        <v>0</v>
      </c>
      <c r="E27" s="2">
        <v>0</v>
      </c>
      <c r="F27">
        <v>0</v>
      </c>
      <c r="G27" s="3">
        <v>200</v>
      </c>
      <c r="H27" t="s">
        <v>54</v>
      </c>
      <c r="I27" t="s">
        <v>59</v>
      </c>
      <c r="K27" t="s">
        <v>73</v>
      </c>
      <c r="L27" t="s">
        <v>73</v>
      </c>
      <c r="M27" s="3">
        <v>45670.4841087963</v>
      </c>
      <c r="Q27" t="s">
        <v>54</v>
      </c>
      <c r="R27">
        <v>0</v>
      </c>
      <c r="T27" t="s">
        <v>54</v>
      </c>
      <c r="U27" t="s">
        <v>54</v>
      </c>
      <c r="V27">
        <v>8105</v>
      </c>
      <c r="W27" t="s">
        <v>55</v>
      </c>
      <c r="X27" s="4"/>
      <c r="AK27" s="5"/>
    </row>
    <row r="28" spans="1:47" hidden="1" x14ac:dyDescent="0.25">
      <c r="A28" t="s">
        <v>95</v>
      </c>
      <c r="B28" s="1">
        <v>36914</v>
      </c>
      <c r="C28" t="s">
        <v>48</v>
      </c>
      <c r="D28" t="s">
        <v>49</v>
      </c>
      <c r="E28" s="2">
        <v>45670</v>
      </c>
      <c r="F28" t="s">
        <v>176</v>
      </c>
      <c r="G28" t="s">
        <v>69</v>
      </c>
      <c r="H28" s="3">
        <v>2070.6</v>
      </c>
      <c r="I28" s="3">
        <v>2070.6</v>
      </c>
      <c r="J28">
        <v>0</v>
      </c>
      <c r="K28" s="3">
        <v>2070.6</v>
      </c>
      <c r="L28" s="3">
        <v>302.94</v>
      </c>
      <c r="M28" s="3">
        <v>174.19</v>
      </c>
      <c r="N28" t="s">
        <v>172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146</v>
      </c>
      <c r="V28" t="s">
        <v>173</v>
      </c>
      <c r="W28" t="s">
        <v>72</v>
      </c>
      <c r="X28" s="4">
        <v>0</v>
      </c>
      <c r="Y28" t="s">
        <v>62</v>
      </c>
      <c r="Z28" s="3"/>
      <c r="AK28" s="5"/>
    </row>
    <row r="29" spans="1:47" hidden="1" x14ac:dyDescent="0.25">
      <c r="A29" t="s">
        <v>63</v>
      </c>
      <c r="B29" s="1">
        <v>0</v>
      </c>
      <c r="C29">
        <v>0</v>
      </c>
      <c r="D29" s="3">
        <v>302.94</v>
      </c>
      <c r="E29" s="2">
        <v>0</v>
      </c>
      <c r="F29">
        <v>0</v>
      </c>
      <c r="G29" s="3">
        <v>1020</v>
      </c>
      <c r="H29" s="3" t="s">
        <v>54</v>
      </c>
      <c r="I29" s="3" t="s">
        <v>59</v>
      </c>
      <c r="J29" t="s">
        <v>178</v>
      </c>
      <c r="K29" s="3" t="s">
        <v>73</v>
      </c>
      <c r="L29" t="s">
        <v>73</v>
      </c>
      <c r="M29" s="3">
        <v>45670.631851851853</v>
      </c>
      <c r="Q29" t="s">
        <v>54</v>
      </c>
      <c r="R29">
        <v>0</v>
      </c>
      <c r="T29" t="s">
        <v>54</v>
      </c>
      <c r="U29" t="s">
        <v>54</v>
      </c>
      <c r="V29">
        <v>8105</v>
      </c>
      <c r="W29" t="s">
        <v>55</v>
      </c>
      <c r="X29" s="4"/>
    </row>
    <row r="30" spans="1:47" hidden="1" x14ac:dyDescent="0.25">
      <c r="A30" t="s">
        <v>47</v>
      </c>
      <c r="B30" s="1">
        <v>36916</v>
      </c>
      <c r="C30" t="s">
        <v>48</v>
      </c>
      <c r="D30" t="s">
        <v>49</v>
      </c>
      <c r="E30" s="2">
        <v>45670</v>
      </c>
      <c r="F30" t="s">
        <v>422</v>
      </c>
      <c r="G30" t="s">
        <v>168</v>
      </c>
      <c r="H30" s="3">
        <v>12748</v>
      </c>
      <c r="I30" s="3">
        <v>12748</v>
      </c>
      <c r="J30">
        <v>0</v>
      </c>
      <c r="K30" s="3">
        <v>14660.2</v>
      </c>
      <c r="L30" s="3">
        <v>1582.3</v>
      </c>
      <c r="M30" s="3">
        <v>849.7</v>
      </c>
      <c r="N30" t="s">
        <v>77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83</v>
      </c>
      <c r="W30" t="s">
        <v>72</v>
      </c>
      <c r="X30" s="4">
        <v>0</v>
      </c>
      <c r="Y30" t="s">
        <v>62</v>
      </c>
      <c r="AB30" s="3"/>
      <c r="AE30" s="3"/>
      <c r="AK30" s="5"/>
    </row>
    <row r="31" spans="1:47" hidden="1" x14ac:dyDescent="0.25">
      <c r="A31" t="s">
        <v>63</v>
      </c>
      <c r="B31" s="1">
        <v>0</v>
      </c>
      <c r="C31">
        <v>0</v>
      </c>
      <c r="D31" s="3">
        <v>1582.3</v>
      </c>
      <c r="E31" s="2">
        <v>0</v>
      </c>
      <c r="F31">
        <v>0</v>
      </c>
      <c r="G31" s="3">
        <v>1300</v>
      </c>
      <c r="H31" s="3" t="s">
        <v>54</v>
      </c>
      <c r="I31" s="3" t="s">
        <v>59</v>
      </c>
      <c r="J31" t="s">
        <v>178</v>
      </c>
      <c r="K31" s="3" t="s">
        <v>80</v>
      </c>
      <c r="L31" t="s">
        <v>73</v>
      </c>
      <c r="M31" s="3">
        <v>45672.658125000002</v>
      </c>
      <c r="Q31" t="s">
        <v>54</v>
      </c>
      <c r="R31">
        <v>0</v>
      </c>
      <c r="T31" t="s">
        <v>54</v>
      </c>
      <c r="U31" t="s">
        <v>54</v>
      </c>
      <c r="V31">
        <v>4866</v>
      </c>
      <c r="W31" t="s">
        <v>55</v>
      </c>
      <c r="X31" s="4"/>
    </row>
    <row r="32" spans="1:47" hidden="1" x14ac:dyDescent="0.25">
      <c r="A32" t="s">
        <v>47</v>
      </c>
      <c r="B32" s="1">
        <v>36917</v>
      </c>
      <c r="C32" t="s">
        <v>48</v>
      </c>
      <c r="D32" t="s">
        <v>49</v>
      </c>
      <c r="E32" s="2">
        <v>45670</v>
      </c>
      <c r="F32" t="s">
        <v>92</v>
      </c>
      <c r="G32" s="3" t="s">
        <v>93</v>
      </c>
      <c r="H32" s="3">
        <v>757.6</v>
      </c>
      <c r="I32" s="3">
        <v>757.6</v>
      </c>
      <c r="J32">
        <v>0</v>
      </c>
      <c r="K32" s="3">
        <v>871.24</v>
      </c>
      <c r="L32" s="3">
        <v>34.380000000000003</v>
      </c>
      <c r="M32" s="3">
        <v>25.39</v>
      </c>
      <c r="N32" t="s">
        <v>83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9</v>
      </c>
      <c r="V32" t="s">
        <v>71</v>
      </c>
      <c r="W32" t="s">
        <v>94</v>
      </c>
      <c r="X32" s="4">
        <v>0</v>
      </c>
      <c r="Y32" t="s">
        <v>62</v>
      </c>
      <c r="Z32" s="3"/>
      <c r="AE32" s="3"/>
      <c r="AK32" s="5"/>
    </row>
    <row r="33" spans="1:47" hidden="1" x14ac:dyDescent="0.25">
      <c r="A33" t="s">
        <v>63</v>
      </c>
      <c r="B33" s="1">
        <v>0</v>
      </c>
      <c r="C33">
        <v>0</v>
      </c>
      <c r="D33">
        <v>34.380000000000003</v>
      </c>
      <c r="E33" s="2">
        <v>0</v>
      </c>
      <c r="F33">
        <v>0</v>
      </c>
      <c r="G33">
        <v>70</v>
      </c>
      <c r="H33" s="3" t="s">
        <v>54</v>
      </c>
      <c r="I33" s="3" t="s">
        <v>59</v>
      </c>
      <c r="K33" s="3" t="s">
        <v>73</v>
      </c>
      <c r="L33" s="3" t="s">
        <v>73</v>
      </c>
      <c r="M33" s="3">
        <v>45670.699259259258</v>
      </c>
      <c r="Q33" t="s">
        <v>54</v>
      </c>
      <c r="R33">
        <v>0</v>
      </c>
      <c r="T33" t="s">
        <v>54</v>
      </c>
      <c r="U33" t="s">
        <v>54</v>
      </c>
      <c r="V33">
        <v>924</v>
      </c>
      <c r="W33" t="s">
        <v>55</v>
      </c>
      <c r="X33" s="4"/>
      <c r="Z33" s="3"/>
      <c r="AE33" s="3"/>
      <c r="AK33" s="5"/>
    </row>
    <row r="34" spans="1:47" hidden="1" x14ac:dyDescent="0.25">
      <c r="A34" t="s">
        <v>95</v>
      </c>
      <c r="B34" s="1">
        <v>36918</v>
      </c>
      <c r="C34" t="s">
        <v>48</v>
      </c>
      <c r="D34" t="s">
        <v>49</v>
      </c>
      <c r="E34" s="2">
        <v>45671</v>
      </c>
      <c r="F34" t="s">
        <v>179</v>
      </c>
      <c r="G34" t="s">
        <v>69</v>
      </c>
      <c r="H34" s="3">
        <v>2252</v>
      </c>
      <c r="I34" s="3">
        <v>2252</v>
      </c>
      <c r="J34">
        <v>0</v>
      </c>
      <c r="K34" s="3">
        <v>2252</v>
      </c>
      <c r="L34" s="3">
        <v>458.1</v>
      </c>
      <c r="M34" s="3">
        <v>142.63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56</v>
      </c>
      <c r="W34" t="s">
        <v>160</v>
      </c>
      <c r="X34" s="4">
        <v>0</v>
      </c>
      <c r="Y34" t="s">
        <v>58</v>
      </c>
      <c r="Z34" s="3">
        <v>458.1</v>
      </c>
      <c r="AA34">
        <v>0</v>
      </c>
      <c r="AB34">
        <v>0</v>
      </c>
      <c r="AC34">
        <v>0</v>
      </c>
      <c r="AD34" s="3">
        <v>0</v>
      </c>
      <c r="AE34" s="3">
        <v>1500</v>
      </c>
      <c r="AF34" t="s">
        <v>54</v>
      </c>
      <c r="AG34" t="s">
        <v>59</v>
      </c>
      <c r="AH34" t="s">
        <v>79</v>
      </c>
      <c r="AI34" t="s">
        <v>80</v>
      </c>
      <c r="AJ34" t="s">
        <v>60</v>
      </c>
      <c r="AK34" s="5">
        <v>45671.553773148145</v>
      </c>
      <c r="AO34" t="s">
        <v>54</v>
      </c>
      <c r="AP34">
        <v>0</v>
      </c>
      <c r="AR34" t="s">
        <v>54</v>
      </c>
      <c r="AS34" t="s">
        <v>54</v>
      </c>
      <c r="AT34">
        <v>4750</v>
      </c>
      <c r="AU34" t="s">
        <v>55</v>
      </c>
    </row>
    <row r="35" spans="1:47" hidden="1" x14ac:dyDescent="0.25">
      <c r="A35" t="s">
        <v>47</v>
      </c>
      <c r="B35" s="1">
        <v>36919</v>
      </c>
      <c r="C35" t="s">
        <v>48</v>
      </c>
      <c r="D35" t="s">
        <v>49</v>
      </c>
      <c r="E35" s="2">
        <v>45671</v>
      </c>
      <c r="F35" s="3" t="s">
        <v>50</v>
      </c>
      <c r="G35" s="3" t="s">
        <v>51</v>
      </c>
      <c r="H35" s="3">
        <v>23728.7</v>
      </c>
      <c r="I35" s="3">
        <v>23728.7</v>
      </c>
      <c r="J35">
        <v>0</v>
      </c>
      <c r="K35" s="3">
        <v>27288.01</v>
      </c>
      <c r="L35" s="3">
        <v>4892.2</v>
      </c>
      <c r="M35" s="3">
        <v>1956.88</v>
      </c>
      <c r="N35" t="s">
        <v>172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146</v>
      </c>
      <c r="V35" t="s">
        <v>173</v>
      </c>
      <c r="W35" t="s">
        <v>72</v>
      </c>
      <c r="X35" s="4">
        <v>0</v>
      </c>
      <c r="Y35" t="s">
        <v>58</v>
      </c>
      <c r="Z35" s="3">
        <v>4892.2</v>
      </c>
      <c r="AA35">
        <v>0</v>
      </c>
      <c r="AB35">
        <v>0</v>
      </c>
      <c r="AC35">
        <v>0</v>
      </c>
      <c r="AD35" s="3">
        <v>0</v>
      </c>
      <c r="AE35" s="3">
        <v>7400</v>
      </c>
      <c r="AF35" t="s">
        <v>54</v>
      </c>
      <c r="AG35" t="s">
        <v>59</v>
      </c>
      <c r="AI35" t="s">
        <v>73</v>
      </c>
      <c r="AJ35" t="s">
        <v>73</v>
      </c>
      <c r="AK35" s="5">
        <v>45671.54859953704</v>
      </c>
      <c r="AO35" t="s">
        <v>54</v>
      </c>
      <c r="AP35">
        <v>0</v>
      </c>
      <c r="AR35" t="s">
        <v>54</v>
      </c>
      <c r="AS35" t="s">
        <v>54</v>
      </c>
      <c r="AT35">
        <v>6611</v>
      </c>
      <c r="AU35" t="s">
        <v>55</v>
      </c>
    </row>
    <row r="36" spans="1:47" hidden="1" x14ac:dyDescent="0.25">
      <c r="A36" t="s">
        <v>95</v>
      </c>
      <c r="B36" s="1">
        <v>36920</v>
      </c>
      <c r="C36" t="s">
        <v>48</v>
      </c>
      <c r="D36" s="3" t="s">
        <v>49</v>
      </c>
      <c r="E36" s="2">
        <v>45671</v>
      </c>
      <c r="F36" t="s">
        <v>180</v>
      </c>
      <c r="G36" s="3" t="s">
        <v>181</v>
      </c>
      <c r="H36" s="3">
        <v>7071</v>
      </c>
      <c r="I36" s="3">
        <v>7071</v>
      </c>
      <c r="J36">
        <v>0</v>
      </c>
      <c r="K36" s="3">
        <v>7071</v>
      </c>
      <c r="L36" s="3">
        <v>1790</v>
      </c>
      <c r="M36" s="3">
        <v>562.78</v>
      </c>
      <c r="N36" t="s">
        <v>172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146</v>
      </c>
      <c r="V36" t="s">
        <v>173</v>
      </c>
      <c r="W36" t="s">
        <v>141</v>
      </c>
      <c r="X36" s="4">
        <v>0</v>
      </c>
      <c r="Y36" t="s">
        <v>58</v>
      </c>
      <c r="Z36" s="3">
        <v>1790</v>
      </c>
      <c r="AA36">
        <v>0</v>
      </c>
      <c r="AB36">
        <v>0</v>
      </c>
      <c r="AC36">
        <v>0</v>
      </c>
      <c r="AD36" s="3">
        <v>0</v>
      </c>
      <c r="AE36" s="3">
        <v>12000</v>
      </c>
      <c r="AF36" t="s">
        <v>54</v>
      </c>
      <c r="AG36" t="s">
        <v>59</v>
      </c>
      <c r="AI36" t="s">
        <v>73</v>
      </c>
      <c r="AJ36" t="s">
        <v>73</v>
      </c>
      <c r="AK36" s="5">
        <v>45672.323344907411</v>
      </c>
      <c r="AO36" t="s">
        <v>54</v>
      </c>
      <c r="AP36">
        <v>0</v>
      </c>
      <c r="AR36" t="s">
        <v>54</v>
      </c>
      <c r="AS36" t="s">
        <v>54</v>
      </c>
      <c r="AT36">
        <v>1192</v>
      </c>
      <c r="AU36" t="s">
        <v>55</v>
      </c>
    </row>
    <row r="37" spans="1:47" hidden="1" x14ac:dyDescent="0.25">
      <c r="A37" t="s">
        <v>47</v>
      </c>
      <c r="B37" s="1">
        <v>36921</v>
      </c>
      <c r="C37" t="s">
        <v>48</v>
      </c>
      <c r="D37" t="s">
        <v>49</v>
      </c>
      <c r="E37" s="2">
        <v>45672</v>
      </c>
      <c r="F37" s="3" t="s">
        <v>182</v>
      </c>
      <c r="G37" s="3" t="s">
        <v>69</v>
      </c>
      <c r="H37" s="3">
        <v>11835</v>
      </c>
      <c r="I37" s="3">
        <v>11835</v>
      </c>
      <c r="J37">
        <v>0</v>
      </c>
      <c r="K37" s="3">
        <v>13610.25</v>
      </c>
      <c r="L37" s="3">
        <v>1623</v>
      </c>
      <c r="M37" s="3">
        <v>1006.26</v>
      </c>
      <c r="N37" t="s">
        <v>83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9</v>
      </c>
      <c r="V37" t="s">
        <v>56</v>
      </c>
      <c r="W37" t="s">
        <v>94</v>
      </c>
      <c r="X37" s="4">
        <v>0</v>
      </c>
      <c r="Y37" t="s">
        <v>62</v>
      </c>
      <c r="Z37" s="3"/>
      <c r="AD37" s="3"/>
      <c r="AE37" s="3"/>
      <c r="AK37" s="5"/>
    </row>
    <row r="38" spans="1:47" hidden="1" x14ac:dyDescent="0.25">
      <c r="A38" t="s">
        <v>63</v>
      </c>
      <c r="B38" s="1">
        <v>0</v>
      </c>
      <c r="C38">
        <v>0</v>
      </c>
      <c r="D38" s="3">
        <v>1623</v>
      </c>
      <c r="E38" s="2">
        <v>0</v>
      </c>
      <c r="F38">
        <v>0</v>
      </c>
      <c r="G38" s="3">
        <v>3500</v>
      </c>
      <c r="H38" s="3" t="s">
        <v>54</v>
      </c>
      <c r="I38" s="3" t="s">
        <v>59</v>
      </c>
      <c r="K38" s="3" t="s">
        <v>73</v>
      </c>
      <c r="L38" s="3" t="s">
        <v>73</v>
      </c>
      <c r="M38" s="3">
        <v>45672.435150462959</v>
      </c>
      <c r="Q38" t="s">
        <v>54</v>
      </c>
      <c r="R38">
        <v>0</v>
      </c>
      <c r="T38" t="s">
        <v>54</v>
      </c>
      <c r="U38" t="s">
        <v>54</v>
      </c>
      <c r="V38">
        <v>3777</v>
      </c>
      <c r="W38" t="s">
        <v>55</v>
      </c>
      <c r="X38" s="4"/>
      <c r="AD38" s="3"/>
      <c r="AE38" s="3"/>
      <c r="AK38" s="5"/>
    </row>
    <row r="39" spans="1:47" hidden="1" x14ac:dyDescent="0.25">
      <c r="A39" t="s">
        <v>47</v>
      </c>
      <c r="B39" s="1">
        <v>36922</v>
      </c>
      <c r="C39" t="s">
        <v>48</v>
      </c>
      <c r="D39" t="s">
        <v>49</v>
      </c>
      <c r="E39" s="2">
        <v>45672</v>
      </c>
      <c r="F39" t="s">
        <v>65</v>
      </c>
      <c r="G39" t="s">
        <v>66</v>
      </c>
      <c r="H39" s="3">
        <v>5836</v>
      </c>
      <c r="I39" s="3">
        <v>5836</v>
      </c>
      <c r="J39">
        <v>0</v>
      </c>
      <c r="K39" s="3">
        <v>6711.4</v>
      </c>
      <c r="L39" s="3">
        <v>795.2</v>
      </c>
      <c r="M39" s="3">
        <v>493.02</v>
      </c>
      <c r="N39" t="s">
        <v>172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146</v>
      </c>
      <c r="V39" t="s">
        <v>173</v>
      </c>
      <c r="W39" t="s">
        <v>67</v>
      </c>
      <c r="X39" s="4">
        <v>0</v>
      </c>
      <c r="Y39" t="s">
        <v>58</v>
      </c>
      <c r="Z39">
        <v>0</v>
      </c>
      <c r="AA39">
        <v>0</v>
      </c>
      <c r="AB39">
        <v>795.2</v>
      </c>
      <c r="AC39">
        <v>0</v>
      </c>
      <c r="AD39" s="3">
        <v>0</v>
      </c>
      <c r="AE39" s="3">
        <v>400</v>
      </c>
      <c r="AF39" t="s">
        <v>54</v>
      </c>
      <c r="AG39" t="s">
        <v>59</v>
      </c>
      <c r="AI39" t="s">
        <v>173</v>
      </c>
      <c r="AJ39" t="s">
        <v>73</v>
      </c>
      <c r="AK39" s="5">
        <v>45672.434965277775</v>
      </c>
      <c r="AO39" t="s">
        <v>54</v>
      </c>
      <c r="AP39">
        <v>0</v>
      </c>
      <c r="AR39" t="s">
        <v>54</v>
      </c>
      <c r="AS39" t="s">
        <v>54</v>
      </c>
      <c r="AT39">
        <v>1269</v>
      </c>
      <c r="AU39" t="s">
        <v>55</v>
      </c>
    </row>
    <row r="40" spans="1:47" hidden="1" x14ac:dyDescent="0.25">
      <c r="A40" t="s">
        <v>47</v>
      </c>
      <c r="B40" s="1">
        <v>36924</v>
      </c>
      <c r="C40" t="s">
        <v>48</v>
      </c>
      <c r="D40" t="s">
        <v>49</v>
      </c>
      <c r="E40" s="2">
        <v>45672</v>
      </c>
      <c r="F40" t="s">
        <v>65</v>
      </c>
      <c r="G40" t="s">
        <v>66</v>
      </c>
      <c r="H40" s="3">
        <v>5392</v>
      </c>
      <c r="I40" s="3">
        <v>5392</v>
      </c>
      <c r="J40">
        <v>0</v>
      </c>
      <c r="K40" s="3">
        <v>6200.8</v>
      </c>
      <c r="L40" s="3">
        <v>734.4</v>
      </c>
      <c r="M40" s="3">
        <v>455.33</v>
      </c>
      <c r="N40" t="s">
        <v>172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146</v>
      </c>
      <c r="V40" t="s">
        <v>173</v>
      </c>
      <c r="W40" t="s">
        <v>67</v>
      </c>
      <c r="X40" s="4">
        <v>0</v>
      </c>
      <c r="Y40" t="s">
        <v>58</v>
      </c>
      <c r="Z40">
        <v>0</v>
      </c>
      <c r="AA40">
        <v>0</v>
      </c>
      <c r="AB40">
        <v>734.4</v>
      </c>
      <c r="AC40">
        <v>0</v>
      </c>
      <c r="AD40" s="3">
        <v>0</v>
      </c>
      <c r="AE40" s="3">
        <v>400</v>
      </c>
      <c r="AF40" t="s">
        <v>54</v>
      </c>
      <c r="AG40" t="s">
        <v>59</v>
      </c>
      <c r="AI40" t="s">
        <v>173</v>
      </c>
      <c r="AJ40" t="s">
        <v>73</v>
      </c>
      <c r="AK40" s="5">
        <v>45672.43482638889</v>
      </c>
      <c r="AO40" t="s">
        <v>54</v>
      </c>
      <c r="AP40">
        <v>0</v>
      </c>
      <c r="AR40" t="s">
        <v>54</v>
      </c>
      <c r="AS40" t="s">
        <v>54</v>
      </c>
      <c r="AT40">
        <v>1269</v>
      </c>
      <c r="AU40" t="s">
        <v>55</v>
      </c>
    </row>
    <row r="41" spans="1:47" hidden="1" x14ac:dyDescent="0.25">
      <c r="A41" t="s">
        <v>95</v>
      </c>
      <c r="B41" s="1">
        <v>36925</v>
      </c>
      <c r="C41" t="s">
        <v>48</v>
      </c>
      <c r="D41" t="s">
        <v>49</v>
      </c>
      <c r="E41" s="2">
        <v>45672</v>
      </c>
      <c r="F41" t="s">
        <v>423</v>
      </c>
      <c r="G41" s="3" t="s">
        <v>69</v>
      </c>
      <c r="H41" s="3">
        <v>9000</v>
      </c>
      <c r="I41" s="3">
        <v>9000</v>
      </c>
      <c r="J41">
        <v>0</v>
      </c>
      <c r="K41" s="3">
        <v>9000</v>
      </c>
      <c r="L41" s="3">
        <v>1560</v>
      </c>
      <c r="M41" s="3">
        <v>764.4</v>
      </c>
      <c r="N41" t="s">
        <v>172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146</v>
      </c>
      <c r="V41" t="s">
        <v>173</v>
      </c>
      <c r="W41" t="s">
        <v>151</v>
      </c>
      <c r="X41" s="4">
        <v>0</v>
      </c>
      <c r="Y41" t="s">
        <v>62</v>
      </c>
      <c r="AB41" s="3"/>
      <c r="AD41" s="3"/>
      <c r="AE41" s="3"/>
      <c r="AK41" s="5"/>
    </row>
    <row r="42" spans="1:47" hidden="1" x14ac:dyDescent="0.25">
      <c r="A42" t="s">
        <v>63</v>
      </c>
      <c r="B42" s="1">
        <v>0</v>
      </c>
      <c r="C42">
        <v>0</v>
      </c>
      <c r="D42">
        <v>0</v>
      </c>
      <c r="E42" s="2">
        <v>0</v>
      </c>
      <c r="F42" s="3">
        <v>1560</v>
      </c>
      <c r="G42" s="3">
        <v>2000</v>
      </c>
      <c r="H42" s="3" t="s">
        <v>54</v>
      </c>
      <c r="I42" s="3" t="s">
        <v>59</v>
      </c>
      <c r="J42" t="s">
        <v>79</v>
      </c>
      <c r="K42" s="3" t="s">
        <v>173</v>
      </c>
      <c r="L42" s="3" t="s">
        <v>73</v>
      </c>
      <c r="M42" s="3">
        <v>45672.704479166663</v>
      </c>
      <c r="Q42" t="s">
        <v>54</v>
      </c>
      <c r="R42">
        <v>0</v>
      </c>
      <c r="T42" t="s">
        <v>54</v>
      </c>
      <c r="U42" t="s">
        <v>54</v>
      </c>
      <c r="V42">
        <v>7020</v>
      </c>
      <c r="W42" t="s">
        <v>55</v>
      </c>
      <c r="X42" s="4"/>
      <c r="AD42" s="3"/>
      <c r="AE42" s="3"/>
      <c r="AK42" s="5"/>
    </row>
    <row r="43" spans="1:47" hidden="1" x14ac:dyDescent="0.25">
      <c r="A43" t="s">
        <v>95</v>
      </c>
      <c r="B43" s="1">
        <v>36927</v>
      </c>
      <c r="C43" t="s">
        <v>48</v>
      </c>
      <c r="D43" t="s">
        <v>49</v>
      </c>
      <c r="E43" s="2">
        <v>45673</v>
      </c>
      <c r="F43" t="s">
        <v>183</v>
      </c>
      <c r="G43" t="s">
        <v>69</v>
      </c>
      <c r="H43" s="3">
        <v>5026</v>
      </c>
      <c r="I43" s="3">
        <v>5026</v>
      </c>
      <c r="J43">
        <v>0</v>
      </c>
      <c r="K43" s="3">
        <v>5026</v>
      </c>
      <c r="L43" s="3">
        <v>1127</v>
      </c>
      <c r="M43" s="3">
        <v>405.72</v>
      </c>
      <c r="N43" t="s">
        <v>172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146</v>
      </c>
      <c r="V43" t="s">
        <v>424</v>
      </c>
      <c r="W43" t="s">
        <v>132</v>
      </c>
      <c r="X43" s="4">
        <v>0</v>
      </c>
      <c r="Y43" t="s">
        <v>58</v>
      </c>
      <c r="Z43" s="3">
        <v>1127</v>
      </c>
      <c r="AA43">
        <v>0</v>
      </c>
      <c r="AB43" s="3">
        <v>0</v>
      </c>
      <c r="AC43">
        <v>0</v>
      </c>
      <c r="AD43" s="3">
        <v>0</v>
      </c>
      <c r="AE43" s="3">
        <v>1400</v>
      </c>
      <c r="AF43" t="s">
        <v>54</v>
      </c>
      <c r="AG43" t="s">
        <v>59</v>
      </c>
      <c r="AI43" t="s">
        <v>73</v>
      </c>
      <c r="AJ43" t="s">
        <v>73</v>
      </c>
      <c r="AK43" s="5">
        <v>45673.6878125</v>
      </c>
      <c r="AO43" t="s">
        <v>54</v>
      </c>
      <c r="AP43">
        <v>0</v>
      </c>
      <c r="AR43" t="s">
        <v>54</v>
      </c>
      <c r="AS43" t="s">
        <v>54</v>
      </c>
      <c r="AT43">
        <v>2991</v>
      </c>
      <c r="AU43" t="s">
        <v>55</v>
      </c>
    </row>
    <row r="44" spans="1:47" hidden="1" x14ac:dyDescent="0.25">
      <c r="A44" t="s">
        <v>47</v>
      </c>
      <c r="B44" s="1">
        <v>36928</v>
      </c>
      <c r="C44" t="s">
        <v>48</v>
      </c>
      <c r="D44" t="s">
        <v>49</v>
      </c>
      <c r="E44" s="2">
        <v>45673</v>
      </c>
      <c r="F44" t="s">
        <v>184</v>
      </c>
      <c r="G44" s="3" t="s">
        <v>185</v>
      </c>
      <c r="H44" s="3">
        <v>2.4700000000000002</v>
      </c>
      <c r="I44" s="3">
        <v>2.4700000000000002</v>
      </c>
      <c r="J44">
        <v>0</v>
      </c>
      <c r="K44" s="3">
        <v>2.4700000000000002</v>
      </c>
      <c r="L44" s="3">
        <v>0.56999999999999995</v>
      </c>
      <c r="M44" s="3">
        <v>0.21</v>
      </c>
      <c r="N44" t="s">
        <v>172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146</v>
      </c>
      <c r="W44" t="s">
        <v>425</v>
      </c>
      <c r="X44" s="4">
        <v>0</v>
      </c>
      <c r="Y44" t="s">
        <v>62</v>
      </c>
      <c r="Z44" s="3"/>
      <c r="AB44" s="3"/>
      <c r="AE44" s="3"/>
      <c r="AK44" s="5"/>
    </row>
    <row r="45" spans="1:47" hidden="1" x14ac:dyDescent="0.25">
      <c r="A45" t="s">
        <v>63</v>
      </c>
      <c r="B45" s="1">
        <v>0.56999999999999995</v>
      </c>
      <c r="C45">
        <v>0</v>
      </c>
      <c r="D45">
        <v>0</v>
      </c>
      <c r="E45" s="2">
        <v>0</v>
      </c>
      <c r="F45">
        <v>0</v>
      </c>
      <c r="G45">
        <v>1</v>
      </c>
      <c r="H45" s="3" t="s">
        <v>54</v>
      </c>
      <c r="I45" s="3" t="s">
        <v>59</v>
      </c>
      <c r="J45" t="s">
        <v>186</v>
      </c>
      <c r="K45" s="3" t="s">
        <v>73</v>
      </c>
      <c r="L45" s="3" t="s">
        <v>73</v>
      </c>
      <c r="M45" s="3">
        <v>45673.707962962966</v>
      </c>
      <c r="Q45" t="s">
        <v>54</v>
      </c>
      <c r="R45">
        <v>0</v>
      </c>
      <c r="T45" t="s">
        <v>54</v>
      </c>
      <c r="U45" t="s">
        <v>54</v>
      </c>
      <c r="V45">
        <v>8239</v>
      </c>
      <c r="W45" t="s">
        <v>55</v>
      </c>
      <c r="X45" s="4"/>
      <c r="Z45" s="3"/>
      <c r="AB45" s="3"/>
      <c r="AE45" s="3"/>
      <c r="AK45" s="5"/>
    </row>
    <row r="46" spans="1:47" hidden="1" x14ac:dyDescent="0.25">
      <c r="A46" t="s">
        <v>47</v>
      </c>
      <c r="B46" s="1">
        <v>36929</v>
      </c>
      <c r="C46" t="s">
        <v>48</v>
      </c>
      <c r="D46" t="s">
        <v>49</v>
      </c>
      <c r="E46" s="2">
        <v>45673</v>
      </c>
      <c r="F46" t="s">
        <v>100</v>
      </c>
      <c r="G46" t="s">
        <v>93</v>
      </c>
      <c r="H46" s="3">
        <v>24020</v>
      </c>
      <c r="I46" s="3">
        <v>24020</v>
      </c>
      <c r="J46">
        <v>0</v>
      </c>
      <c r="K46" s="3">
        <v>27623</v>
      </c>
      <c r="L46" s="3">
        <v>4712</v>
      </c>
      <c r="M46" s="3">
        <v>1983.84</v>
      </c>
      <c r="N46" t="s">
        <v>83</v>
      </c>
      <c r="O46" t="s">
        <v>53</v>
      </c>
      <c r="P46" t="s">
        <v>53</v>
      </c>
      <c r="Q46" t="s">
        <v>53</v>
      </c>
      <c r="R46" t="s">
        <v>54</v>
      </c>
      <c r="S46" t="s">
        <v>54</v>
      </c>
      <c r="T46" t="s">
        <v>55</v>
      </c>
      <c r="U46">
        <v>9</v>
      </c>
      <c r="V46" t="s">
        <v>71</v>
      </c>
      <c r="W46" t="s">
        <v>101</v>
      </c>
      <c r="X46" s="4">
        <v>0</v>
      </c>
      <c r="Y46" t="s">
        <v>58</v>
      </c>
      <c r="Z46" s="3">
        <v>4712</v>
      </c>
      <c r="AA46">
        <v>0</v>
      </c>
      <c r="AB46" s="3">
        <v>0</v>
      </c>
      <c r="AC46">
        <v>0</v>
      </c>
      <c r="AD46">
        <v>0</v>
      </c>
      <c r="AE46" s="3">
        <v>9000</v>
      </c>
      <c r="AF46" t="s">
        <v>54</v>
      </c>
      <c r="AG46" t="s">
        <v>59</v>
      </c>
      <c r="AH46" t="s">
        <v>102</v>
      </c>
      <c r="AI46" t="s">
        <v>73</v>
      </c>
      <c r="AJ46" t="s">
        <v>73</v>
      </c>
      <c r="AK46" s="5">
        <v>45673.721493055556</v>
      </c>
      <c r="AO46" t="s">
        <v>54</v>
      </c>
      <c r="AP46">
        <v>0</v>
      </c>
      <c r="AR46" t="s">
        <v>54</v>
      </c>
      <c r="AS46" t="s">
        <v>54</v>
      </c>
      <c r="AT46">
        <v>161</v>
      </c>
      <c r="AU46" t="s">
        <v>55</v>
      </c>
    </row>
    <row r="47" spans="1:47" hidden="1" x14ac:dyDescent="0.25">
      <c r="A47" t="s">
        <v>47</v>
      </c>
      <c r="B47" s="1">
        <v>36930</v>
      </c>
      <c r="C47" t="s">
        <v>48</v>
      </c>
      <c r="D47" t="s">
        <v>49</v>
      </c>
      <c r="E47" s="2">
        <v>45673</v>
      </c>
      <c r="F47" t="s">
        <v>426</v>
      </c>
      <c r="G47" s="3" t="s">
        <v>187</v>
      </c>
      <c r="H47" s="3">
        <v>3263</v>
      </c>
      <c r="I47" s="3">
        <v>3263</v>
      </c>
      <c r="J47">
        <v>0</v>
      </c>
      <c r="K47" s="3">
        <v>3752.45</v>
      </c>
      <c r="L47" s="3">
        <v>486.8</v>
      </c>
      <c r="M47" s="3">
        <v>241.91</v>
      </c>
      <c r="N47" t="s">
        <v>77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83</v>
      </c>
      <c r="W47" t="s">
        <v>188</v>
      </c>
      <c r="X47" s="4">
        <v>0</v>
      </c>
      <c r="Y47" t="s">
        <v>58</v>
      </c>
      <c r="Z47">
        <v>185.4</v>
      </c>
      <c r="AA47">
        <v>0</v>
      </c>
      <c r="AB47" s="3">
        <v>163.69999999999999</v>
      </c>
      <c r="AC47">
        <v>0</v>
      </c>
      <c r="AD47">
        <v>137.69999999999999</v>
      </c>
      <c r="AE47">
        <v>300</v>
      </c>
      <c r="AF47" t="s">
        <v>54</v>
      </c>
      <c r="AG47" t="s">
        <v>59</v>
      </c>
      <c r="AI47" t="s">
        <v>80</v>
      </c>
      <c r="AJ47" t="s">
        <v>73</v>
      </c>
      <c r="AK47" s="5">
        <v>45674.46303240741</v>
      </c>
      <c r="AO47" t="s">
        <v>54</v>
      </c>
      <c r="AP47">
        <v>0</v>
      </c>
      <c r="AR47" t="s">
        <v>54</v>
      </c>
      <c r="AS47" t="s">
        <v>54</v>
      </c>
      <c r="AT47">
        <v>5578</v>
      </c>
      <c r="AU47" t="s">
        <v>55</v>
      </c>
    </row>
    <row r="48" spans="1:47" hidden="1" x14ac:dyDescent="0.25">
      <c r="A48" t="s">
        <v>95</v>
      </c>
      <c r="B48" s="1">
        <v>36933</v>
      </c>
      <c r="C48" t="s">
        <v>48</v>
      </c>
      <c r="D48" t="s">
        <v>49</v>
      </c>
      <c r="E48" s="2">
        <v>45674</v>
      </c>
      <c r="F48" t="s">
        <v>140</v>
      </c>
      <c r="G48" s="3" t="s">
        <v>93</v>
      </c>
      <c r="H48" s="3">
        <v>5757.61</v>
      </c>
      <c r="I48" s="3">
        <v>5757.61</v>
      </c>
      <c r="J48">
        <v>0</v>
      </c>
      <c r="K48" s="3">
        <v>5757.61</v>
      </c>
      <c r="L48" s="3">
        <v>1503.73</v>
      </c>
      <c r="M48" s="3">
        <v>436.08</v>
      </c>
      <c r="N48" t="s">
        <v>105</v>
      </c>
      <c r="O48" t="s">
        <v>53</v>
      </c>
      <c r="P48" t="s">
        <v>53</v>
      </c>
      <c r="Q48" t="s">
        <v>53</v>
      </c>
      <c r="R48" t="s">
        <v>54</v>
      </c>
      <c r="S48" t="s">
        <v>54</v>
      </c>
      <c r="T48" t="s">
        <v>55</v>
      </c>
      <c r="U48">
        <v>145</v>
      </c>
      <c r="W48" t="s">
        <v>141</v>
      </c>
      <c r="X48" s="4">
        <v>0</v>
      </c>
      <c r="Y48" t="s">
        <v>62</v>
      </c>
      <c r="AK48" s="5"/>
    </row>
    <row r="49" spans="1:47" hidden="1" x14ac:dyDescent="0.25">
      <c r="A49" t="s">
        <v>63</v>
      </c>
      <c r="B49" s="1">
        <v>1503.73</v>
      </c>
      <c r="C49">
        <v>0</v>
      </c>
      <c r="D49">
        <v>0</v>
      </c>
      <c r="E49" s="2">
        <v>0</v>
      </c>
      <c r="F49">
        <v>0</v>
      </c>
      <c r="G49" s="3">
        <v>2792</v>
      </c>
      <c r="H49" s="3" t="s">
        <v>54</v>
      </c>
      <c r="I49" s="3" t="s">
        <v>59</v>
      </c>
      <c r="J49" t="s">
        <v>142</v>
      </c>
      <c r="K49" s="3" t="s">
        <v>73</v>
      </c>
      <c r="L49" s="3" t="s">
        <v>73</v>
      </c>
      <c r="M49" s="3">
        <v>45674.446053240739</v>
      </c>
      <c r="Q49" t="s">
        <v>54</v>
      </c>
      <c r="R49">
        <v>0</v>
      </c>
      <c r="T49" t="s">
        <v>54</v>
      </c>
      <c r="U49" t="s">
        <v>54</v>
      </c>
      <c r="V49">
        <v>8241</v>
      </c>
      <c r="W49" t="s">
        <v>55</v>
      </c>
      <c r="X49" s="4"/>
      <c r="AB49" s="3"/>
      <c r="AE49" s="3"/>
      <c r="AK49" s="5"/>
    </row>
    <row r="50" spans="1:47" hidden="1" x14ac:dyDescent="0.25">
      <c r="A50" t="s">
        <v>95</v>
      </c>
      <c r="B50" s="1">
        <v>36934</v>
      </c>
      <c r="C50" t="s">
        <v>48</v>
      </c>
      <c r="D50" t="s">
        <v>49</v>
      </c>
      <c r="E50" s="2">
        <v>45674</v>
      </c>
      <c r="F50" t="s">
        <v>140</v>
      </c>
      <c r="G50" s="3" t="s">
        <v>93</v>
      </c>
      <c r="H50" s="3">
        <v>5759.44</v>
      </c>
      <c r="I50" s="3">
        <v>5759.44</v>
      </c>
      <c r="J50">
        <v>0</v>
      </c>
      <c r="K50" s="3">
        <v>5759.44</v>
      </c>
      <c r="L50" s="3">
        <v>1504.21</v>
      </c>
      <c r="M50" s="3">
        <v>436.22</v>
      </c>
      <c r="N50" t="s">
        <v>105</v>
      </c>
      <c r="O50" t="s">
        <v>53</v>
      </c>
      <c r="P50" t="s">
        <v>53</v>
      </c>
      <c r="Q50" t="s">
        <v>53</v>
      </c>
      <c r="R50" t="s">
        <v>54</v>
      </c>
      <c r="S50" t="s">
        <v>54</v>
      </c>
      <c r="T50" t="s">
        <v>55</v>
      </c>
      <c r="U50">
        <v>145</v>
      </c>
      <c r="W50" t="s">
        <v>141</v>
      </c>
      <c r="X50" s="4">
        <v>0</v>
      </c>
      <c r="Y50" t="s">
        <v>62</v>
      </c>
      <c r="AB50" s="3"/>
      <c r="AE50" s="3"/>
      <c r="AK50" s="5"/>
    </row>
    <row r="51" spans="1:47" hidden="1" x14ac:dyDescent="0.25">
      <c r="A51" t="s">
        <v>63</v>
      </c>
      <c r="B51" s="1">
        <v>1504.21</v>
      </c>
      <c r="C51">
        <v>0</v>
      </c>
      <c r="D51">
        <v>0</v>
      </c>
      <c r="E51" s="2">
        <v>0</v>
      </c>
      <c r="F51">
        <v>0</v>
      </c>
      <c r="G51" s="3">
        <v>2793</v>
      </c>
      <c r="H51" s="3" t="s">
        <v>54</v>
      </c>
      <c r="I51" s="3" t="s">
        <v>59</v>
      </c>
      <c r="J51" t="s">
        <v>142</v>
      </c>
      <c r="K51" s="3" t="s">
        <v>73</v>
      </c>
      <c r="L51" s="3" t="s">
        <v>73</v>
      </c>
      <c r="M51" s="3">
        <v>45674.446226851855</v>
      </c>
      <c r="Q51" t="s">
        <v>54</v>
      </c>
      <c r="R51">
        <v>0</v>
      </c>
      <c r="T51" t="s">
        <v>54</v>
      </c>
      <c r="U51" t="s">
        <v>54</v>
      </c>
      <c r="V51">
        <v>8241</v>
      </c>
      <c r="W51" t="s">
        <v>55</v>
      </c>
      <c r="X51" s="4"/>
      <c r="AB51" s="3"/>
      <c r="AE51" s="3"/>
      <c r="AK51" s="5"/>
    </row>
    <row r="52" spans="1:47" hidden="1" x14ac:dyDescent="0.25">
      <c r="A52" t="s">
        <v>47</v>
      </c>
      <c r="B52" s="1">
        <v>36936</v>
      </c>
      <c r="C52" t="s">
        <v>48</v>
      </c>
      <c r="D52" t="s">
        <v>49</v>
      </c>
      <c r="E52" s="2">
        <v>45674</v>
      </c>
      <c r="F52" t="s">
        <v>189</v>
      </c>
      <c r="G52" t="s">
        <v>190</v>
      </c>
      <c r="H52" s="3">
        <v>24300</v>
      </c>
      <c r="I52" s="3">
        <v>24300</v>
      </c>
      <c r="J52">
        <v>0</v>
      </c>
      <c r="K52" s="3">
        <v>24300</v>
      </c>
      <c r="L52" s="3">
        <v>6468</v>
      </c>
      <c r="M52" s="3">
        <v>2131.41</v>
      </c>
      <c r="N52" t="s">
        <v>191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147</v>
      </c>
      <c r="W52" t="s">
        <v>113</v>
      </c>
      <c r="X52" s="4">
        <v>0</v>
      </c>
      <c r="Y52" t="s">
        <v>62</v>
      </c>
      <c r="Z52" s="3"/>
      <c r="AB52" s="3"/>
      <c r="AD52" s="3"/>
      <c r="AE52" s="3"/>
      <c r="AK52" s="5"/>
    </row>
    <row r="53" spans="1:47" hidden="1" x14ac:dyDescent="0.25">
      <c r="A53" t="s">
        <v>63</v>
      </c>
      <c r="B53" s="1">
        <v>6468</v>
      </c>
      <c r="C53">
        <v>0</v>
      </c>
      <c r="D53">
        <v>0</v>
      </c>
      <c r="E53" s="2">
        <v>0</v>
      </c>
      <c r="F53">
        <v>0</v>
      </c>
      <c r="G53" s="3">
        <v>18000</v>
      </c>
      <c r="H53" s="3" t="s">
        <v>54</v>
      </c>
      <c r="I53" s="3" t="s">
        <v>59</v>
      </c>
      <c r="K53" s="3" t="s">
        <v>73</v>
      </c>
      <c r="L53" s="3" t="s">
        <v>73</v>
      </c>
      <c r="M53" s="3">
        <v>45681.493414351855</v>
      </c>
      <c r="Q53" t="s">
        <v>54</v>
      </c>
      <c r="R53">
        <v>0</v>
      </c>
      <c r="T53" t="s">
        <v>54</v>
      </c>
      <c r="U53" t="s">
        <v>54</v>
      </c>
      <c r="V53">
        <v>8240</v>
      </c>
      <c r="W53" t="s">
        <v>55</v>
      </c>
      <c r="X53" s="4"/>
      <c r="Z53" s="3"/>
      <c r="AD53" s="3"/>
      <c r="AE53" s="3"/>
      <c r="AK53" s="5"/>
    </row>
    <row r="54" spans="1:47" hidden="1" x14ac:dyDescent="0.25">
      <c r="A54" t="s">
        <v>47</v>
      </c>
      <c r="B54" s="1">
        <v>36937</v>
      </c>
      <c r="C54" t="s">
        <v>48</v>
      </c>
      <c r="D54" t="s">
        <v>49</v>
      </c>
      <c r="E54" s="2">
        <v>45677</v>
      </c>
      <c r="F54" t="s">
        <v>110</v>
      </c>
      <c r="G54" t="s">
        <v>69</v>
      </c>
      <c r="H54" s="3">
        <v>17275</v>
      </c>
      <c r="I54" s="3">
        <v>17275</v>
      </c>
      <c r="J54">
        <v>0</v>
      </c>
      <c r="K54" s="3">
        <v>19866.25</v>
      </c>
      <c r="L54" s="3">
        <v>4027.5</v>
      </c>
      <c r="M54" s="3">
        <v>1570.73</v>
      </c>
      <c r="N54" t="s">
        <v>172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146</v>
      </c>
      <c r="V54" t="s">
        <v>173</v>
      </c>
      <c r="W54" t="s">
        <v>94</v>
      </c>
      <c r="X54" s="4">
        <v>0</v>
      </c>
      <c r="Y54" t="s">
        <v>58</v>
      </c>
      <c r="Z54" s="3">
        <v>4027.5</v>
      </c>
      <c r="AA54">
        <v>0</v>
      </c>
      <c r="AB54">
        <v>0</v>
      </c>
      <c r="AC54">
        <v>0</v>
      </c>
      <c r="AD54">
        <v>0</v>
      </c>
      <c r="AE54" s="3">
        <v>4000</v>
      </c>
      <c r="AF54" t="s">
        <v>54</v>
      </c>
      <c r="AG54" t="s">
        <v>59</v>
      </c>
      <c r="AI54" t="s">
        <v>73</v>
      </c>
      <c r="AJ54" t="s">
        <v>73</v>
      </c>
      <c r="AK54" s="5">
        <v>45677.421759259261</v>
      </c>
      <c r="AO54" t="s">
        <v>54</v>
      </c>
      <c r="AP54">
        <v>0</v>
      </c>
      <c r="AR54" t="s">
        <v>54</v>
      </c>
      <c r="AS54" t="s">
        <v>54</v>
      </c>
      <c r="AT54">
        <v>1877</v>
      </c>
      <c r="AU54" t="s">
        <v>55</v>
      </c>
    </row>
    <row r="55" spans="1:47" hidden="1" x14ac:dyDescent="0.25">
      <c r="A55" t="s">
        <v>47</v>
      </c>
      <c r="B55" s="1">
        <v>36938</v>
      </c>
      <c r="C55" t="s">
        <v>48</v>
      </c>
      <c r="D55" t="s">
        <v>49</v>
      </c>
      <c r="E55" s="2">
        <v>45677</v>
      </c>
      <c r="F55" s="3" t="s">
        <v>110</v>
      </c>
      <c r="G55" s="3" t="s">
        <v>69</v>
      </c>
      <c r="H55" s="3">
        <v>17275</v>
      </c>
      <c r="I55" s="3">
        <v>17275</v>
      </c>
      <c r="J55">
        <v>0</v>
      </c>
      <c r="K55" s="3">
        <v>19866.25</v>
      </c>
      <c r="L55" s="3">
        <v>4027.5</v>
      </c>
      <c r="M55" s="3">
        <v>1570.73</v>
      </c>
      <c r="N55" t="s">
        <v>172</v>
      </c>
      <c r="O55" t="s">
        <v>53</v>
      </c>
      <c r="P55" t="s">
        <v>53</v>
      </c>
      <c r="Q55" t="s">
        <v>53</v>
      </c>
      <c r="R55" t="s">
        <v>54</v>
      </c>
      <c r="S55" t="s">
        <v>54</v>
      </c>
      <c r="T55" t="s">
        <v>55</v>
      </c>
      <c r="U55">
        <v>146</v>
      </c>
      <c r="V55" t="s">
        <v>173</v>
      </c>
      <c r="W55" t="s">
        <v>94</v>
      </c>
      <c r="X55" s="4">
        <v>0</v>
      </c>
      <c r="Y55" t="s">
        <v>58</v>
      </c>
      <c r="Z55" s="3">
        <v>4027.5</v>
      </c>
      <c r="AA55">
        <v>0</v>
      </c>
      <c r="AB55">
        <v>0</v>
      </c>
      <c r="AC55">
        <v>0</v>
      </c>
      <c r="AD55">
        <v>0</v>
      </c>
      <c r="AE55" s="3">
        <v>4000</v>
      </c>
      <c r="AF55" t="s">
        <v>54</v>
      </c>
      <c r="AG55" t="s">
        <v>59</v>
      </c>
      <c r="AI55" t="s">
        <v>73</v>
      </c>
      <c r="AJ55" t="s">
        <v>73</v>
      </c>
      <c r="AK55" s="5">
        <v>45677.421817129631</v>
      </c>
      <c r="AO55" t="s">
        <v>54</v>
      </c>
      <c r="AP55">
        <v>0</v>
      </c>
      <c r="AR55" t="s">
        <v>54</v>
      </c>
      <c r="AS55" t="s">
        <v>54</v>
      </c>
      <c r="AT55">
        <v>1877</v>
      </c>
      <c r="AU55" t="s">
        <v>55</v>
      </c>
    </row>
    <row r="56" spans="1:47" hidden="1" x14ac:dyDescent="0.25">
      <c r="A56" t="s">
        <v>47</v>
      </c>
      <c r="B56" s="1">
        <v>36939</v>
      </c>
      <c r="C56" t="s">
        <v>48</v>
      </c>
      <c r="D56" t="s">
        <v>49</v>
      </c>
      <c r="E56" s="2">
        <v>45678</v>
      </c>
      <c r="F56" t="s">
        <v>118</v>
      </c>
      <c r="G56" s="3" t="s">
        <v>69</v>
      </c>
      <c r="H56" s="3">
        <v>30832.5</v>
      </c>
      <c r="I56" s="3">
        <v>30832.5</v>
      </c>
      <c r="J56">
        <v>0</v>
      </c>
      <c r="K56" s="3">
        <v>35457.379999999997</v>
      </c>
      <c r="L56" s="3">
        <v>5413.7</v>
      </c>
      <c r="M56" s="3">
        <v>2544.44</v>
      </c>
      <c r="N56" t="s">
        <v>77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83</v>
      </c>
      <c r="V56" t="s">
        <v>56</v>
      </c>
      <c r="W56" t="s">
        <v>78</v>
      </c>
      <c r="X56" s="4">
        <v>0</v>
      </c>
      <c r="Y56" t="s">
        <v>58</v>
      </c>
      <c r="Z56">
        <v>0</v>
      </c>
      <c r="AA56">
        <v>0</v>
      </c>
      <c r="AB56" s="3">
        <v>0</v>
      </c>
      <c r="AC56">
        <v>0</v>
      </c>
      <c r="AD56" s="3">
        <v>5413.7</v>
      </c>
      <c r="AE56" s="3">
        <v>6750</v>
      </c>
      <c r="AF56" t="s">
        <v>54</v>
      </c>
      <c r="AG56" t="s">
        <v>59</v>
      </c>
      <c r="AH56" t="s">
        <v>79</v>
      </c>
      <c r="AI56" t="s">
        <v>80</v>
      </c>
      <c r="AJ56" t="s">
        <v>60</v>
      </c>
      <c r="AK56" s="5">
        <v>45679.314733796295</v>
      </c>
      <c r="AO56" t="s">
        <v>54</v>
      </c>
      <c r="AP56">
        <v>0</v>
      </c>
      <c r="AR56" t="s">
        <v>54</v>
      </c>
      <c r="AS56" t="s">
        <v>54</v>
      </c>
      <c r="AT56">
        <v>6081</v>
      </c>
      <c r="AU56" t="s">
        <v>55</v>
      </c>
    </row>
    <row r="57" spans="1:47" hidden="1" x14ac:dyDescent="0.25">
      <c r="A57" t="s">
        <v>47</v>
      </c>
      <c r="B57" s="1">
        <v>36940</v>
      </c>
      <c r="C57" t="s">
        <v>48</v>
      </c>
      <c r="D57" t="s">
        <v>49</v>
      </c>
      <c r="E57" s="2">
        <v>45678</v>
      </c>
      <c r="F57" t="s">
        <v>192</v>
      </c>
      <c r="G57" s="3" t="s">
        <v>156</v>
      </c>
      <c r="H57" s="3">
        <v>10080</v>
      </c>
      <c r="I57" s="3">
        <v>10080</v>
      </c>
      <c r="J57">
        <v>0</v>
      </c>
      <c r="K57" s="3">
        <v>10080</v>
      </c>
      <c r="L57" s="3">
        <v>1768.4</v>
      </c>
      <c r="M57" s="3">
        <v>831.14</v>
      </c>
      <c r="N57" t="s">
        <v>77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83</v>
      </c>
      <c r="W57" t="s">
        <v>78</v>
      </c>
      <c r="X57" s="4">
        <v>0</v>
      </c>
      <c r="Y57" t="s">
        <v>62</v>
      </c>
      <c r="AD57" s="3"/>
      <c r="AE57" s="3"/>
      <c r="AK57" s="5"/>
    </row>
    <row r="58" spans="1:47" hidden="1" x14ac:dyDescent="0.25">
      <c r="A58" t="s">
        <v>63</v>
      </c>
      <c r="B58" s="1">
        <v>0</v>
      </c>
      <c r="C58">
        <v>0</v>
      </c>
      <c r="D58">
        <v>0</v>
      </c>
      <c r="E58" s="2">
        <v>0</v>
      </c>
      <c r="F58" s="3">
        <v>1768.4</v>
      </c>
      <c r="G58" s="3">
        <v>2200</v>
      </c>
      <c r="H58" s="3" t="s">
        <v>54</v>
      </c>
      <c r="I58" s="3" t="s">
        <v>193</v>
      </c>
      <c r="K58" s="3" t="s">
        <v>80</v>
      </c>
      <c r="L58" s="3" t="s">
        <v>60</v>
      </c>
      <c r="M58" s="3">
        <v>45679.315150462964</v>
      </c>
      <c r="Q58" t="s">
        <v>54</v>
      </c>
      <c r="R58">
        <v>0</v>
      </c>
      <c r="T58" t="s">
        <v>54</v>
      </c>
      <c r="U58" t="s">
        <v>54</v>
      </c>
      <c r="V58">
        <v>6082</v>
      </c>
      <c r="W58" t="s">
        <v>55</v>
      </c>
      <c r="X58" s="4"/>
      <c r="AK58" s="5"/>
    </row>
    <row r="59" spans="1:47" hidden="1" x14ac:dyDescent="0.25">
      <c r="A59" t="s">
        <v>95</v>
      </c>
      <c r="B59" s="1">
        <v>36941</v>
      </c>
      <c r="C59" t="s">
        <v>48</v>
      </c>
      <c r="D59" t="s">
        <v>49</v>
      </c>
      <c r="E59" s="2">
        <v>45678</v>
      </c>
      <c r="F59" t="s">
        <v>194</v>
      </c>
      <c r="G59" s="3" t="s">
        <v>69</v>
      </c>
      <c r="H59" s="3">
        <v>5004</v>
      </c>
      <c r="I59" s="3">
        <v>5004</v>
      </c>
      <c r="J59">
        <v>0</v>
      </c>
      <c r="K59" s="3">
        <v>5004</v>
      </c>
      <c r="L59" s="3">
        <v>1026</v>
      </c>
      <c r="M59" s="3">
        <v>400.14</v>
      </c>
      <c r="N59" t="s">
        <v>83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9</v>
      </c>
      <c r="V59" t="s">
        <v>71</v>
      </c>
      <c r="W59" t="s">
        <v>72</v>
      </c>
      <c r="X59" s="4">
        <v>0</v>
      </c>
      <c r="Y59" t="s">
        <v>58</v>
      </c>
      <c r="Z59" s="3">
        <v>1026</v>
      </c>
      <c r="AA59">
        <v>0</v>
      </c>
      <c r="AB59">
        <v>0</v>
      </c>
      <c r="AC59">
        <v>0</v>
      </c>
      <c r="AD59">
        <v>0</v>
      </c>
      <c r="AE59" s="3">
        <v>1800</v>
      </c>
      <c r="AF59" t="s">
        <v>54</v>
      </c>
      <c r="AG59" t="s">
        <v>59</v>
      </c>
      <c r="AI59" t="s">
        <v>73</v>
      </c>
      <c r="AJ59" t="s">
        <v>73</v>
      </c>
      <c r="AK59" s="5">
        <v>45678.575381944444</v>
      </c>
      <c r="AO59" t="s">
        <v>54</v>
      </c>
      <c r="AP59">
        <v>0</v>
      </c>
      <c r="AR59" t="s">
        <v>54</v>
      </c>
      <c r="AS59" t="s">
        <v>54</v>
      </c>
      <c r="AT59">
        <v>3508</v>
      </c>
      <c r="AU59" t="s">
        <v>55</v>
      </c>
    </row>
    <row r="60" spans="1:47" hidden="1" x14ac:dyDescent="0.25">
      <c r="A60" t="s">
        <v>95</v>
      </c>
      <c r="B60" s="1">
        <v>36942</v>
      </c>
      <c r="C60" t="s">
        <v>48</v>
      </c>
      <c r="D60" t="s">
        <v>49</v>
      </c>
      <c r="E60" s="2">
        <v>45678</v>
      </c>
      <c r="F60" t="s">
        <v>427</v>
      </c>
      <c r="G60" t="s">
        <v>66</v>
      </c>
      <c r="H60" s="3">
        <v>2086</v>
      </c>
      <c r="I60" s="3">
        <v>2086</v>
      </c>
      <c r="J60">
        <v>0</v>
      </c>
      <c r="K60" s="3">
        <v>2086</v>
      </c>
      <c r="L60" s="3">
        <v>446.25</v>
      </c>
      <c r="M60" s="3">
        <v>129.41</v>
      </c>
      <c r="N60" t="s">
        <v>172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146</v>
      </c>
      <c r="W60" t="s">
        <v>115</v>
      </c>
      <c r="X60" s="4">
        <v>0</v>
      </c>
      <c r="Y60" t="s">
        <v>62</v>
      </c>
      <c r="Z60" s="3"/>
      <c r="AE60" s="3"/>
      <c r="AK60" s="5"/>
    </row>
    <row r="61" spans="1:47" hidden="1" x14ac:dyDescent="0.25">
      <c r="A61" t="s">
        <v>63</v>
      </c>
      <c r="B61" s="1">
        <v>446.25</v>
      </c>
      <c r="C61">
        <v>0</v>
      </c>
      <c r="D61" s="3">
        <v>0</v>
      </c>
      <c r="E61" s="2">
        <v>0</v>
      </c>
      <c r="F61">
        <v>0</v>
      </c>
      <c r="G61" s="3">
        <v>2450</v>
      </c>
      <c r="H61" s="3" t="s">
        <v>54</v>
      </c>
      <c r="I61" s="3" t="s">
        <v>59</v>
      </c>
      <c r="J61" t="s">
        <v>161</v>
      </c>
      <c r="K61" s="3" t="s">
        <v>73</v>
      </c>
      <c r="L61" s="3" t="s">
        <v>73</v>
      </c>
      <c r="M61" s="3">
        <v>45678.684745370374</v>
      </c>
      <c r="Q61" t="s">
        <v>54</v>
      </c>
      <c r="R61">
        <v>0</v>
      </c>
      <c r="T61" t="s">
        <v>54</v>
      </c>
      <c r="U61" t="s">
        <v>54</v>
      </c>
      <c r="V61">
        <v>8247</v>
      </c>
      <c r="W61" t="s">
        <v>55</v>
      </c>
      <c r="X61" s="4"/>
      <c r="Z61" s="3"/>
      <c r="AE61" s="3"/>
      <c r="AK61" s="5"/>
    </row>
    <row r="62" spans="1:47" hidden="1" x14ac:dyDescent="0.25">
      <c r="A62" t="s">
        <v>47</v>
      </c>
      <c r="B62" s="1">
        <v>36943</v>
      </c>
      <c r="C62" t="s">
        <v>48</v>
      </c>
      <c r="D62" t="s">
        <v>49</v>
      </c>
      <c r="E62" s="2">
        <v>45678</v>
      </c>
      <c r="F62" t="s">
        <v>68</v>
      </c>
      <c r="G62" s="3" t="s">
        <v>69</v>
      </c>
      <c r="H62" s="3">
        <v>4830</v>
      </c>
      <c r="I62" s="3">
        <v>4830</v>
      </c>
      <c r="J62">
        <v>0</v>
      </c>
      <c r="K62" s="3">
        <v>5554.5</v>
      </c>
      <c r="L62" s="3">
        <v>774</v>
      </c>
      <c r="M62" s="3">
        <v>363.78</v>
      </c>
      <c r="N62" t="s">
        <v>70</v>
      </c>
      <c r="O62" t="s">
        <v>53</v>
      </c>
      <c r="P62" t="s">
        <v>53</v>
      </c>
      <c r="Q62" t="s">
        <v>53</v>
      </c>
      <c r="R62" t="s">
        <v>54</v>
      </c>
      <c r="S62" t="s">
        <v>54</v>
      </c>
      <c r="T62" t="s">
        <v>55</v>
      </c>
      <c r="U62">
        <v>76</v>
      </c>
      <c r="V62" t="s">
        <v>71</v>
      </c>
      <c r="W62" t="s">
        <v>72</v>
      </c>
      <c r="X62" s="4">
        <v>0</v>
      </c>
      <c r="Y62" t="s">
        <v>62</v>
      </c>
      <c r="AB62" s="3"/>
      <c r="AD62" s="3"/>
      <c r="AE62" s="3"/>
      <c r="AK62" s="5"/>
    </row>
    <row r="63" spans="1:47" hidden="1" x14ac:dyDescent="0.25">
      <c r="A63" t="s">
        <v>63</v>
      </c>
      <c r="B63" s="1">
        <v>0</v>
      </c>
      <c r="C63">
        <v>0</v>
      </c>
      <c r="D63" s="3">
        <v>0</v>
      </c>
      <c r="E63" s="2">
        <v>0</v>
      </c>
      <c r="F63">
        <v>774</v>
      </c>
      <c r="G63" s="3">
        <v>600</v>
      </c>
      <c r="H63" s="3" t="s">
        <v>54</v>
      </c>
      <c r="I63" s="3" t="s">
        <v>59</v>
      </c>
      <c r="K63" s="3" t="s">
        <v>73</v>
      </c>
      <c r="L63" s="3" t="s">
        <v>73</v>
      </c>
      <c r="M63" s="3">
        <v>45678.665138888886</v>
      </c>
      <c r="Q63" t="s">
        <v>54</v>
      </c>
      <c r="R63">
        <v>0</v>
      </c>
      <c r="T63" t="s">
        <v>54</v>
      </c>
      <c r="U63" t="s">
        <v>54</v>
      </c>
      <c r="V63">
        <v>139</v>
      </c>
      <c r="W63" t="s">
        <v>55</v>
      </c>
      <c r="X63" s="4"/>
      <c r="AD63" s="3"/>
      <c r="AE63" s="3"/>
      <c r="AK63" s="5"/>
    </row>
    <row r="64" spans="1:47" hidden="1" x14ac:dyDescent="0.25">
      <c r="A64" t="s">
        <v>47</v>
      </c>
      <c r="B64" s="1">
        <v>36944</v>
      </c>
      <c r="C64" t="s">
        <v>48</v>
      </c>
      <c r="D64" t="s">
        <v>49</v>
      </c>
      <c r="E64" s="2">
        <v>45678</v>
      </c>
      <c r="F64" t="s">
        <v>157</v>
      </c>
      <c r="G64" t="s">
        <v>108</v>
      </c>
      <c r="H64" s="3">
        <v>5338</v>
      </c>
      <c r="I64" s="3">
        <v>5338</v>
      </c>
      <c r="J64">
        <v>0</v>
      </c>
      <c r="K64" s="3">
        <v>6138.7</v>
      </c>
      <c r="L64" s="3">
        <v>764.34</v>
      </c>
      <c r="M64" s="3">
        <v>454.79</v>
      </c>
      <c r="N64" t="s">
        <v>77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83</v>
      </c>
      <c r="V64" t="s">
        <v>56</v>
      </c>
      <c r="W64" t="s">
        <v>158</v>
      </c>
      <c r="X64" s="4">
        <v>0</v>
      </c>
      <c r="Y64" t="s">
        <v>58</v>
      </c>
      <c r="Z64">
        <v>0</v>
      </c>
      <c r="AA64">
        <v>0</v>
      </c>
      <c r="AB64">
        <v>764.34</v>
      </c>
      <c r="AC64">
        <v>0</v>
      </c>
      <c r="AD64" s="3">
        <v>0</v>
      </c>
      <c r="AE64" s="3">
        <v>600</v>
      </c>
      <c r="AF64" t="s">
        <v>54</v>
      </c>
      <c r="AG64" t="s">
        <v>59</v>
      </c>
      <c r="AI64" t="s">
        <v>80</v>
      </c>
      <c r="AJ64" t="s">
        <v>60</v>
      </c>
      <c r="AK64" s="5">
        <v>45679.317523148151</v>
      </c>
      <c r="AO64" t="s">
        <v>54</v>
      </c>
      <c r="AP64">
        <v>0</v>
      </c>
      <c r="AR64" t="s">
        <v>54</v>
      </c>
      <c r="AS64" t="s">
        <v>54</v>
      </c>
      <c r="AT64">
        <v>4386</v>
      </c>
      <c r="AU64" t="s">
        <v>55</v>
      </c>
    </row>
    <row r="65" spans="1:47" hidden="1" x14ac:dyDescent="0.25">
      <c r="A65" t="s">
        <v>47</v>
      </c>
      <c r="B65" s="1">
        <v>36945</v>
      </c>
      <c r="C65" t="s">
        <v>48</v>
      </c>
      <c r="D65" s="3" t="s">
        <v>49</v>
      </c>
      <c r="E65" s="2">
        <v>45679</v>
      </c>
      <c r="F65" t="s">
        <v>124</v>
      </c>
      <c r="G65" s="3" t="s">
        <v>88</v>
      </c>
      <c r="H65" s="3">
        <v>3879</v>
      </c>
      <c r="I65" s="3">
        <v>3879</v>
      </c>
      <c r="J65">
        <v>0</v>
      </c>
      <c r="K65" s="3">
        <v>4460.8500000000004</v>
      </c>
      <c r="L65" s="3">
        <v>528.5</v>
      </c>
      <c r="M65" s="3">
        <v>327.67</v>
      </c>
      <c r="N65" t="s">
        <v>83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9</v>
      </c>
      <c r="V65" t="s">
        <v>71</v>
      </c>
      <c r="W65" t="s">
        <v>94</v>
      </c>
      <c r="X65" s="4">
        <v>0</v>
      </c>
      <c r="Y65" t="s">
        <v>58</v>
      </c>
      <c r="Z65">
        <v>0</v>
      </c>
      <c r="AA65">
        <v>0</v>
      </c>
      <c r="AB65">
        <v>528.5</v>
      </c>
      <c r="AC65">
        <v>0</v>
      </c>
      <c r="AD65" s="3">
        <v>0</v>
      </c>
      <c r="AE65" s="3">
        <v>500</v>
      </c>
      <c r="AF65" t="s">
        <v>54</v>
      </c>
      <c r="AG65" t="s">
        <v>59</v>
      </c>
      <c r="AI65" t="s">
        <v>73</v>
      </c>
      <c r="AJ65" t="s">
        <v>73</v>
      </c>
      <c r="AK65" s="5">
        <v>45679.336053240739</v>
      </c>
      <c r="AO65" t="s">
        <v>54</v>
      </c>
      <c r="AP65">
        <v>0</v>
      </c>
      <c r="AR65" t="s">
        <v>54</v>
      </c>
      <c r="AS65" t="s">
        <v>54</v>
      </c>
      <c r="AT65">
        <v>3204</v>
      </c>
      <c r="AU65" t="s">
        <v>55</v>
      </c>
    </row>
    <row r="66" spans="1:47" hidden="1" x14ac:dyDescent="0.25">
      <c r="A66" t="s">
        <v>47</v>
      </c>
      <c r="B66" s="1">
        <v>36946</v>
      </c>
      <c r="C66" t="s">
        <v>48</v>
      </c>
      <c r="D66" t="s">
        <v>49</v>
      </c>
      <c r="E66" s="2">
        <v>45679</v>
      </c>
      <c r="F66" t="s">
        <v>124</v>
      </c>
      <c r="G66" s="3" t="s">
        <v>88</v>
      </c>
      <c r="H66" s="3">
        <v>3879</v>
      </c>
      <c r="I66" s="3">
        <v>3879</v>
      </c>
      <c r="J66">
        <v>0</v>
      </c>
      <c r="K66" s="3">
        <v>4460.8500000000004</v>
      </c>
      <c r="L66" s="3">
        <v>528.5</v>
      </c>
      <c r="M66" s="3">
        <v>327.67</v>
      </c>
      <c r="N66" t="s">
        <v>83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9</v>
      </c>
      <c r="V66" t="s">
        <v>71</v>
      </c>
      <c r="W66" t="s">
        <v>94</v>
      </c>
      <c r="X66" s="4">
        <v>0</v>
      </c>
      <c r="Y66" t="s">
        <v>58</v>
      </c>
      <c r="Z66" s="3">
        <v>0</v>
      </c>
      <c r="AA66">
        <v>0</v>
      </c>
      <c r="AB66" s="3">
        <v>528.5</v>
      </c>
      <c r="AC66">
        <v>0</v>
      </c>
      <c r="AD66" s="3">
        <v>0</v>
      </c>
      <c r="AE66" s="3">
        <v>500</v>
      </c>
      <c r="AF66" t="s">
        <v>54</v>
      </c>
      <c r="AG66" t="s">
        <v>59</v>
      </c>
      <c r="AI66" t="s">
        <v>73</v>
      </c>
      <c r="AJ66" t="s">
        <v>73</v>
      </c>
      <c r="AK66" s="5">
        <v>45679.336678240739</v>
      </c>
      <c r="AO66" t="s">
        <v>54</v>
      </c>
      <c r="AP66">
        <v>0</v>
      </c>
      <c r="AR66" t="s">
        <v>54</v>
      </c>
      <c r="AS66" t="s">
        <v>54</v>
      </c>
      <c r="AT66">
        <v>3204</v>
      </c>
      <c r="AU66" t="s">
        <v>55</v>
      </c>
    </row>
    <row r="67" spans="1:47" hidden="1" x14ac:dyDescent="0.25">
      <c r="A67" t="s">
        <v>47</v>
      </c>
      <c r="B67" s="1">
        <v>36947</v>
      </c>
      <c r="C67" t="s">
        <v>48</v>
      </c>
      <c r="D67" s="3" t="s">
        <v>49</v>
      </c>
      <c r="E67" s="2">
        <v>45679</v>
      </c>
      <c r="F67" t="s">
        <v>195</v>
      </c>
      <c r="G67" s="3" t="s">
        <v>168</v>
      </c>
      <c r="H67" s="3">
        <v>40000</v>
      </c>
      <c r="I67" s="3">
        <v>40000</v>
      </c>
      <c r="J67">
        <v>0</v>
      </c>
      <c r="K67" s="3">
        <v>46000</v>
      </c>
      <c r="L67" s="3">
        <v>9920</v>
      </c>
      <c r="M67" s="3">
        <v>2876.8</v>
      </c>
      <c r="N67" t="s">
        <v>105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144</v>
      </c>
      <c r="W67" t="s">
        <v>94</v>
      </c>
      <c r="X67" s="4">
        <v>0</v>
      </c>
      <c r="Y67" t="s">
        <v>196</v>
      </c>
      <c r="AD67" s="3"/>
      <c r="AE67" s="3"/>
      <c r="AK67" s="5"/>
    </row>
    <row r="68" spans="1:47" hidden="1" x14ac:dyDescent="0.25">
      <c r="A68" t="s">
        <v>197</v>
      </c>
      <c r="B68" s="1">
        <v>9920</v>
      </c>
      <c r="C68">
        <v>0</v>
      </c>
      <c r="D68">
        <v>0</v>
      </c>
      <c r="E68" s="2">
        <v>0</v>
      </c>
      <c r="F68">
        <v>0</v>
      </c>
      <c r="G68" s="3">
        <v>80000</v>
      </c>
      <c r="H68" s="3" t="s">
        <v>54</v>
      </c>
      <c r="I68" s="3" t="s">
        <v>59</v>
      </c>
      <c r="K68" s="3" t="s">
        <v>60</v>
      </c>
      <c r="L68" s="3" t="s">
        <v>73</v>
      </c>
      <c r="M68" s="3">
        <v>45680.477233796293</v>
      </c>
      <c r="Q68" t="s">
        <v>54</v>
      </c>
      <c r="R68">
        <v>0</v>
      </c>
      <c r="T68" t="s">
        <v>54</v>
      </c>
      <c r="U68" t="s">
        <v>54</v>
      </c>
      <c r="V68">
        <v>4438</v>
      </c>
      <c r="W68" t="s">
        <v>55</v>
      </c>
      <c r="X68" s="4"/>
      <c r="AD68" s="3"/>
      <c r="AE68" s="3"/>
      <c r="AK68" s="5"/>
    </row>
    <row r="69" spans="1:47" hidden="1" x14ac:dyDescent="0.25">
      <c r="A69" t="s">
        <v>47</v>
      </c>
      <c r="B69" s="1">
        <v>36948</v>
      </c>
      <c r="C69" t="s">
        <v>48</v>
      </c>
      <c r="D69" t="s">
        <v>49</v>
      </c>
      <c r="E69" s="2">
        <v>45679</v>
      </c>
      <c r="F69" t="s">
        <v>428</v>
      </c>
      <c r="G69" t="s">
        <v>136</v>
      </c>
      <c r="H69" s="3">
        <v>51970</v>
      </c>
      <c r="I69" s="3">
        <v>51970</v>
      </c>
      <c r="J69">
        <v>0</v>
      </c>
      <c r="K69" s="3">
        <v>59765.5</v>
      </c>
      <c r="L69" s="3">
        <v>8364.5</v>
      </c>
      <c r="M69" s="3">
        <v>4976.8900000000003</v>
      </c>
      <c r="N69" t="s">
        <v>77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83</v>
      </c>
      <c r="V69" t="s">
        <v>56</v>
      </c>
      <c r="W69" t="s">
        <v>101</v>
      </c>
      <c r="X69" s="4">
        <v>0</v>
      </c>
      <c r="Y69" t="s">
        <v>62</v>
      </c>
      <c r="AD69" s="3"/>
      <c r="AE69" s="3"/>
      <c r="AK69" s="5"/>
    </row>
    <row r="70" spans="1:47" hidden="1" x14ac:dyDescent="0.25">
      <c r="A70" t="s">
        <v>63</v>
      </c>
      <c r="B70" s="1">
        <v>0</v>
      </c>
      <c r="C70">
        <v>0</v>
      </c>
      <c r="D70" s="3">
        <v>8364.5</v>
      </c>
      <c r="E70" s="2">
        <v>0</v>
      </c>
      <c r="F70">
        <v>0</v>
      </c>
      <c r="G70" s="3">
        <v>10000</v>
      </c>
      <c r="H70" s="3" t="s">
        <v>54</v>
      </c>
      <c r="I70" s="3" t="s">
        <v>59</v>
      </c>
      <c r="K70" s="3" t="s">
        <v>80</v>
      </c>
      <c r="L70" s="3" t="s">
        <v>60</v>
      </c>
      <c r="M70" s="3">
        <v>45679.678344907406</v>
      </c>
      <c r="Q70" t="s">
        <v>54</v>
      </c>
      <c r="R70">
        <v>0</v>
      </c>
      <c r="T70" t="s">
        <v>54</v>
      </c>
      <c r="U70" t="s">
        <v>54</v>
      </c>
      <c r="V70">
        <v>4786</v>
      </c>
      <c r="W70" t="s">
        <v>55</v>
      </c>
      <c r="X70" s="4"/>
      <c r="AB70" s="3"/>
      <c r="AE70" s="3"/>
      <c r="AK70" s="5"/>
    </row>
    <row r="71" spans="1:47" hidden="1" x14ac:dyDescent="0.25">
      <c r="A71" t="s">
        <v>47</v>
      </c>
      <c r="B71" s="1">
        <v>36949</v>
      </c>
      <c r="C71" t="s">
        <v>48</v>
      </c>
      <c r="D71" t="s">
        <v>49</v>
      </c>
      <c r="E71" s="2">
        <v>45679</v>
      </c>
      <c r="F71" s="3" t="s">
        <v>171</v>
      </c>
      <c r="G71" s="3" t="s">
        <v>69</v>
      </c>
      <c r="H71" s="3">
        <v>2475</v>
      </c>
      <c r="I71" s="3">
        <v>2475</v>
      </c>
      <c r="J71">
        <v>0</v>
      </c>
      <c r="K71" s="3">
        <v>2475</v>
      </c>
      <c r="L71" s="3">
        <v>391.5</v>
      </c>
      <c r="M71" s="3">
        <v>203.58</v>
      </c>
      <c r="N71" t="s">
        <v>77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83</v>
      </c>
      <c r="W71" t="s">
        <v>198</v>
      </c>
      <c r="X71" s="4">
        <v>0</v>
      </c>
      <c r="Y71" t="s">
        <v>62</v>
      </c>
      <c r="AD71" s="3"/>
      <c r="AE71" s="3"/>
      <c r="AK71" s="5"/>
    </row>
    <row r="72" spans="1:47" hidden="1" x14ac:dyDescent="0.25">
      <c r="A72" t="s">
        <v>63</v>
      </c>
      <c r="B72" s="1">
        <v>0</v>
      </c>
      <c r="C72">
        <v>0</v>
      </c>
      <c r="D72" s="3">
        <v>0</v>
      </c>
      <c r="E72" s="2">
        <v>0</v>
      </c>
      <c r="F72">
        <v>391.5</v>
      </c>
      <c r="G72" s="3">
        <v>500</v>
      </c>
      <c r="H72" s="3" t="s">
        <v>54</v>
      </c>
      <c r="I72" s="3" t="s">
        <v>59</v>
      </c>
      <c r="K72" s="3" t="s">
        <v>80</v>
      </c>
      <c r="L72" s="3" t="s">
        <v>60</v>
      </c>
      <c r="M72" s="3">
        <v>45679.71292824074</v>
      </c>
      <c r="Q72" t="s">
        <v>54</v>
      </c>
      <c r="R72">
        <v>0</v>
      </c>
      <c r="T72" t="s">
        <v>54</v>
      </c>
      <c r="U72" t="s">
        <v>54</v>
      </c>
      <c r="V72">
        <v>6255</v>
      </c>
      <c r="W72" t="s">
        <v>55</v>
      </c>
      <c r="X72" s="4"/>
      <c r="AB72" s="3"/>
      <c r="AK72" s="5"/>
    </row>
    <row r="73" spans="1:47" hidden="1" x14ac:dyDescent="0.25">
      <c r="A73" t="s">
        <v>47</v>
      </c>
      <c r="B73" s="1">
        <v>36950</v>
      </c>
      <c r="C73" t="s">
        <v>48</v>
      </c>
      <c r="D73" t="s">
        <v>49</v>
      </c>
      <c r="E73" s="2">
        <v>45679</v>
      </c>
      <c r="F73" t="s">
        <v>199</v>
      </c>
      <c r="G73" t="s">
        <v>93</v>
      </c>
      <c r="H73" s="3">
        <v>53030</v>
      </c>
      <c r="I73" s="3">
        <v>53030</v>
      </c>
      <c r="J73">
        <v>0</v>
      </c>
      <c r="K73" s="3">
        <v>54045.5</v>
      </c>
      <c r="L73" s="3">
        <v>4648</v>
      </c>
      <c r="M73" s="3">
        <v>3763.93</v>
      </c>
      <c r="N73" t="s">
        <v>83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9</v>
      </c>
      <c r="V73" t="s">
        <v>71</v>
      </c>
      <c r="W73" t="s">
        <v>106</v>
      </c>
      <c r="X73" s="4">
        <v>0</v>
      </c>
      <c r="Y73" t="s">
        <v>58</v>
      </c>
      <c r="Z73">
        <v>0</v>
      </c>
      <c r="AA73">
        <v>0</v>
      </c>
      <c r="AB73" s="3">
        <v>4648</v>
      </c>
      <c r="AC73">
        <v>0</v>
      </c>
      <c r="AD73" s="3">
        <v>0</v>
      </c>
      <c r="AE73" s="3">
        <v>7000</v>
      </c>
      <c r="AF73" t="s">
        <v>54</v>
      </c>
      <c r="AG73" t="s">
        <v>59</v>
      </c>
      <c r="AH73" t="s">
        <v>142</v>
      </c>
      <c r="AI73" t="s">
        <v>60</v>
      </c>
      <c r="AJ73" t="s">
        <v>60</v>
      </c>
      <c r="AK73" s="5">
        <v>45679.720833333333</v>
      </c>
      <c r="AO73" t="s">
        <v>54</v>
      </c>
      <c r="AP73">
        <v>0</v>
      </c>
      <c r="AR73" t="s">
        <v>54</v>
      </c>
      <c r="AS73" t="s">
        <v>54</v>
      </c>
      <c r="AT73">
        <v>3102</v>
      </c>
      <c r="AU73" t="s">
        <v>55</v>
      </c>
    </row>
    <row r="74" spans="1:47" hidden="1" x14ac:dyDescent="0.25">
      <c r="A74" t="s">
        <v>47</v>
      </c>
      <c r="B74" s="3">
        <v>36951</v>
      </c>
      <c r="C74" t="s">
        <v>48</v>
      </c>
      <c r="D74" s="3" t="s">
        <v>49</v>
      </c>
      <c r="E74" s="2">
        <v>45680</v>
      </c>
      <c r="F74" t="s">
        <v>429</v>
      </c>
      <c r="G74" s="3" t="s">
        <v>88</v>
      </c>
      <c r="H74" s="3">
        <v>7850</v>
      </c>
      <c r="I74" s="3">
        <v>7850</v>
      </c>
      <c r="J74">
        <v>0</v>
      </c>
      <c r="K74" s="3">
        <v>9027.5</v>
      </c>
      <c r="L74" s="3">
        <v>1760</v>
      </c>
      <c r="M74" s="3">
        <v>645.91999999999996</v>
      </c>
      <c r="N74" t="s">
        <v>191</v>
      </c>
      <c r="O74" t="s">
        <v>53</v>
      </c>
      <c r="P74" t="s">
        <v>53</v>
      </c>
      <c r="Q74" t="s">
        <v>53</v>
      </c>
      <c r="R74" t="s">
        <v>54</v>
      </c>
      <c r="S74" t="s">
        <v>54</v>
      </c>
      <c r="T74" t="s">
        <v>55</v>
      </c>
      <c r="U74">
        <v>147</v>
      </c>
      <c r="V74" t="s">
        <v>200</v>
      </c>
      <c r="W74" t="s">
        <v>72</v>
      </c>
      <c r="X74" s="4">
        <v>0</v>
      </c>
      <c r="Y74" t="s">
        <v>58</v>
      </c>
      <c r="Z74" s="3">
        <v>1760</v>
      </c>
      <c r="AA74">
        <v>0</v>
      </c>
      <c r="AB74">
        <v>0</v>
      </c>
      <c r="AC74">
        <v>0</v>
      </c>
      <c r="AD74" s="3">
        <v>0</v>
      </c>
      <c r="AE74" s="3">
        <v>1000</v>
      </c>
      <c r="AF74" t="s">
        <v>54</v>
      </c>
      <c r="AG74" t="s">
        <v>59</v>
      </c>
      <c r="AI74" t="s">
        <v>73</v>
      </c>
      <c r="AJ74" t="s">
        <v>73</v>
      </c>
      <c r="AK74" s="5">
        <v>45680.439513888887</v>
      </c>
      <c r="AO74" t="s">
        <v>54</v>
      </c>
      <c r="AP74">
        <v>0</v>
      </c>
      <c r="AR74" t="s">
        <v>54</v>
      </c>
      <c r="AS74" t="s">
        <v>54</v>
      </c>
      <c r="AT74">
        <v>6445</v>
      </c>
      <c r="AU74" t="s">
        <v>55</v>
      </c>
    </row>
    <row r="75" spans="1:47" hidden="1" x14ac:dyDescent="0.25">
      <c r="A75" t="s">
        <v>95</v>
      </c>
      <c r="B75" s="1">
        <v>36952</v>
      </c>
      <c r="C75" t="s">
        <v>48</v>
      </c>
      <c r="D75" t="s">
        <v>49</v>
      </c>
      <c r="E75" s="2">
        <v>45680</v>
      </c>
      <c r="F75" t="s">
        <v>201</v>
      </c>
      <c r="G75" t="s">
        <v>66</v>
      </c>
      <c r="H75" s="3">
        <v>4500</v>
      </c>
      <c r="I75" s="3">
        <v>4500</v>
      </c>
      <c r="J75">
        <v>0</v>
      </c>
      <c r="K75" s="3">
        <v>4500</v>
      </c>
      <c r="L75" s="3">
        <v>1230</v>
      </c>
      <c r="M75" s="3">
        <v>356.7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94</v>
      </c>
      <c r="X75" s="4">
        <v>0</v>
      </c>
      <c r="Y75" t="s">
        <v>58</v>
      </c>
      <c r="Z75" s="3">
        <v>1230</v>
      </c>
      <c r="AA75">
        <v>0</v>
      </c>
      <c r="AB75">
        <v>0</v>
      </c>
      <c r="AC75">
        <v>0</v>
      </c>
      <c r="AD75" s="3">
        <v>0</v>
      </c>
      <c r="AE75" s="3">
        <v>30000</v>
      </c>
      <c r="AF75" t="s">
        <v>54</v>
      </c>
      <c r="AG75" t="s">
        <v>59</v>
      </c>
      <c r="AH75" t="s">
        <v>161</v>
      </c>
      <c r="AI75" t="s">
        <v>60</v>
      </c>
      <c r="AJ75" t="s">
        <v>60</v>
      </c>
      <c r="AK75" s="5">
        <v>45680.702615740738</v>
      </c>
      <c r="AO75" t="s">
        <v>54</v>
      </c>
      <c r="AP75">
        <v>0</v>
      </c>
      <c r="AR75" t="s">
        <v>54</v>
      </c>
      <c r="AS75" t="s">
        <v>54</v>
      </c>
      <c r="AT75">
        <v>4759</v>
      </c>
      <c r="AU75" t="s">
        <v>55</v>
      </c>
    </row>
    <row r="76" spans="1:47" hidden="1" x14ac:dyDescent="0.25">
      <c r="A76" t="s">
        <v>95</v>
      </c>
      <c r="B76" s="1">
        <v>36953</v>
      </c>
      <c r="C76" t="s">
        <v>48</v>
      </c>
      <c r="D76" s="3" t="s">
        <v>49</v>
      </c>
      <c r="E76" s="2">
        <v>45681</v>
      </c>
      <c r="F76" t="s">
        <v>183</v>
      </c>
      <c r="G76" s="3" t="s">
        <v>69</v>
      </c>
      <c r="H76" s="3">
        <v>5784</v>
      </c>
      <c r="I76" s="3">
        <v>5784</v>
      </c>
      <c r="J76">
        <v>0</v>
      </c>
      <c r="K76" s="3">
        <v>5784</v>
      </c>
      <c r="L76" s="3">
        <v>1550.4</v>
      </c>
      <c r="M76" s="3">
        <v>511.63</v>
      </c>
      <c r="N76" t="s">
        <v>172</v>
      </c>
      <c r="O76" t="s">
        <v>53</v>
      </c>
      <c r="P76" t="s">
        <v>53</v>
      </c>
      <c r="Q76" t="s">
        <v>53</v>
      </c>
      <c r="R76" t="s">
        <v>54</v>
      </c>
      <c r="S76" t="s">
        <v>54</v>
      </c>
      <c r="T76" t="s">
        <v>55</v>
      </c>
      <c r="U76">
        <v>146</v>
      </c>
      <c r="V76" t="s">
        <v>424</v>
      </c>
      <c r="W76" t="s">
        <v>132</v>
      </c>
      <c r="X76" s="4">
        <v>0</v>
      </c>
      <c r="Y76" t="s">
        <v>58</v>
      </c>
      <c r="Z76" s="3">
        <v>1550.4</v>
      </c>
      <c r="AA76">
        <v>0</v>
      </c>
      <c r="AB76">
        <v>0</v>
      </c>
      <c r="AC76">
        <v>0</v>
      </c>
      <c r="AD76" s="3">
        <v>0</v>
      </c>
      <c r="AE76" s="3">
        <v>2400</v>
      </c>
      <c r="AF76" t="s">
        <v>54</v>
      </c>
      <c r="AG76" t="s">
        <v>59</v>
      </c>
      <c r="AI76" t="s">
        <v>173</v>
      </c>
      <c r="AJ76" t="s">
        <v>91</v>
      </c>
      <c r="AK76" s="5">
        <v>45681.415717592594</v>
      </c>
      <c r="AO76" t="s">
        <v>54</v>
      </c>
      <c r="AP76">
        <v>0</v>
      </c>
      <c r="AR76" t="s">
        <v>54</v>
      </c>
      <c r="AS76" t="s">
        <v>54</v>
      </c>
      <c r="AT76">
        <v>2991</v>
      </c>
      <c r="AU76" t="s">
        <v>55</v>
      </c>
    </row>
    <row r="77" spans="1:47" hidden="1" x14ac:dyDescent="0.25">
      <c r="A77" t="s">
        <v>47</v>
      </c>
      <c r="B77" s="3">
        <v>36954</v>
      </c>
      <c r="C77" t="s">
        <v>48</v>
      </c>
      <c r="D77" t="s">
        <v>49</v>
      </c>
      <c r="E77" s="2">
        <v>45681</v>
      </c>
      <c r="F77" s="3" t="s">
        <v>202</v>
      </c>
      <c r="G77" s="3" t="s">
        <v>122</v>
      </c>
      <c r="H77" s="3">
        <v>2031.3</v>
      </c>
      <c r="I77" s="3">
        <v>2031.3</v>
      </c>
      <c r="J77">
        <v>0</v>
      </c>
      <c r="K77" s="3">
        <v>2335.9899999999998</v>
      </c>
      <c r="L77" s="3">
        <v>185.76</v>
      </c>
      <c r="M77" s="3">
        <v>138.94999999999999</v>
      </c>
      <c r="N77" t="s">
        <v>75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43</v>
      </c>
      <c r="V77" t="s">
        <v>56</v>
      </c>
      <c r="W77" t="s">
        <v>72</v>
      </c>
      <c r="X77" s="4">
        <v>0</v>
      </c>
      <c r="Y77" t="s">
        <v>58</v>
      </c>
      <c r="Z77">
        <v>0</v>
      </c>
      <c r="AA77">
        <v>0</v>
      </c>
      <c r="AB77">
        <v>185.76</v>
      </c>
      <c r="AC77">
        <v>0</v>
      </c>
      <c r="AD77" s="3">
        <v>0</v>
      </c>
      <c r="AE77" s="3">
        <v>90</v>
      </c>
      <c r="AF77" t="s">
        <v>54</v>
      </c>
      <c r="AG77" t="s">
        <v>59</v>
      </c>
      <c r="AI77" t="s">
        <v>91</v>
      </c>
      <c r="AJ77" t="s">
        <v>91</v>
      </c>
      <c r="AK77" s="5">
        <v>45681.412187499998</v>
      </c>
      <c r="AO77" t="s">
        <v>54</v>
      </c>
      <c r="AP77">
        <v>0</v>
      </c>
      <c r="AR77" t="s">
        <v>54</v>
      </c>
      <c r="AS77" t="s">
        <v>54</v>
      </c>
      <c r="AT77">
        <v>4694</v>
      </c>
      <c r="AU77" t="s">
        <v>55</v>
      </c>
    </row>
    <row r="78" spans="1:47" hidden="1" x14ac:dyDescent="0.25">
      <c r="A78" t="s">
        <v>47</v>
      </c>
      <c r="B78" s="1">
        <v>36955</v>
      </c>
      <c r="C78" t="s">
        <v>48</v>
      </c>
      <c r="D78" s="3" t="s">
        <v>49</v>
      </c>
      <c r="E78" s="2">
        <v>45681</v>
      </c>
      <c r="F78" t="s">
        <v>202</v>
      </c>
      <c r="G78" s="3" t="s">
        <v>122</v>
      </c>
      <c r="H78" s="3">
        <v>2031.3</v>
      </c>
      <c r="I78" s="3">
        <v>2031.3</v>
      </c>
      <c r="J78">
        <v>0</v>
      </c>
      <c r="K78" s="3">
        <v>2335.9899999999998</v>
      </c>
      <c r="L78" s="3">
        <v>185.76</v>
      </c>
      <c r="M78" s="3">
        <v>138.94999999999999</v>
      </c>
      <c r="N78" t="s">
        <v>75</v>
      </c>
      <c r="O78" t="s">
        <v>53</v>
      </c>
      <c r="P78" t="s">
        <v>53</v>
      </c>
      <c r="Q78" t="s">
        <v>53</v>
      </c>
      <c r="R78" t="s">
        <v>54</v>
      </c>
      <c r="S78" t="s">
        <v>54</v>
      </c>
      <c r="T78" t="s">
        <v>55</v>
      </c>
      <c r="U78">
        <v>43</v>
      </c>
      <c r="V78" t="s">
        <v>56</v>
      </c>
      <c r="W78" t="s">
        <v>72</v>
      </c>
      <c r="X78" s="4">
        <v>0</v>
      </c>
      <c r="Y78" t="s">
        <v>58</v>
      </c>
      <c r="Z78">
        <v>0</v>
      </c>
      <c r="AA78">
        <v>0</v>
      </c>
      <c r="AB78">
        <v>185.76</v>
      </c>
      <c r="AC78">
        <v>0</v>
      </c>
      <c r="AD78" s="3">
        <v>0</v>
      </c>
      <c r="AE78" s="3">
        <v>90</v>
      </c>
      <c r="AF78" t="s">
        <v>54</v>
      </c>
      <c r="AG78" t="s">
        <v>59</v>
      </c>
      <c r="AI78" t="s">
        <v>91</v>
      </c>
      <c r="AJ78" t="s">
        <v>91</v>
      </c>
      <c r="AK78" s="5">
        <v>45681.415798611109</v>
      </c>
      <c r="AO78" t="s">
        <v>54</v>
      </c>
      <c r="AP78">
        <v>0</v>
      </c>
      <c r="AR78" t="s">
        <v>54</v>
      </c>
      <c r="AS78" t="s">
        <v>54</v>
      </c>
      <c r="AT78">
        <v>4694</v>
      </c>
      <c r="AU78" t="s">
        <v>55</v>
      </c>
    </row>
    <row r="79" spans="1:47" hidden="1" x14ac:dyDescent="0.25">
      <c r="A79" t="s">
        <v>47</v>
      </c>
      <c r="B79" s="1">
        <v>36956</v>
      </c>
      <c r="C79" t="s">
        <v>48</v>
      </c>
      <c r="D79" t="s">
        <v>49</v>
      </c>
      <c r="E79" s="2">
        <v>45681</v>
      </c>
      <c r="F79" s="3" t="s">
        <v>157</v>
      </c>
      <c r="G79" s="3" t="s">
        <v>108</v>
      </c>
      <c r="H79" s="3">
        <v>31797</v>
      </c>
      <c r="I79" s="3">
        <v>31797</v>
      </c>
      <c r="J79">
        <v>0</v>
      </c>
      <c r="K79" s="3">
        <v>36566.550000000003</v>
      </c>
      <c r="L79" s="3">
        <v>4861.8</v>
      </c>
      <c r="M79" s="3">
        <v>2611.58</v>
      </c>
      <c r="N79" t="s">
        <v>77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83</v>
      </c>
      <c r="V79" t="s">
        <v>56</v>
      </c>
      <c r="W79" t="s">
        <v>158</v>
      </c>
      <c r="X79" s="4">
        <v>0</v>
      </c>
      <c r="Y79" t="s">
        <v>58</v>
      </c>
      <c r="Z79">
        <v>0</v>
      </c>
      <c r="AA79">
        <v>0</v>
      </c>
      <c r="AB79" s="3">
        <v>3109.8</v>
      </c>
      <c r="AC79">
        <v>0</v>
      </c>
      <c r="AD79" s="3">
        <v>1752</v>
      </c>
      <c r="AE79" s="3">
        <v>6300</v>
      </c>
      <c r="AF79" t="s">
        <v>54</v>
      </c>
      <c r="AG79" t="s">
        <v>59</v>
      </c>
      <c r="AI79" t="s">
        <v>80</v>
      </c>
      <c r="AJ79" t="s">
        <v>60</v>
      </c>
      <c r="AK79" s="5">
        <v>45681.672997685186</v>
      </c>
      <c r="AO79" t="s">
        <v>54</v>
      </c>
      <c r="AP79">
        <v>0</v>
      </c>
      <c r="AR79" t="s">
        <v>54</v>
      </c>
      <c r="AS79" t="s">
        <v>54</v>
      </c>
      <c r="AT79">
        <v>4386</v>
      </c>
      <c r="AU79" t="s">
        <v>55</v>
      </c>
    </row>
    <row r="80" spans="1:47" hidden="1" x14ac:dyDescent="0.25">
      <c r="A80" t="s">
        <v>47</v>
      </c>
      <c r="B80" s="1">
        <v>36957</v>
      </c>
      <c r="C80" t="s">
        <v>48</v>
      </c>
      <c r="D80" s="3" t="s">
        <v>49</v>
      </c>
      <c r="E80" s="2">
        <v>45681</v>
      </c>
      <c r="F80" t="s">
        <v>203</v>
      </c>
      <c r="G80" s="3" t="s">
        <v>69</v>
      </c>
      <c r="H80" s="3">
        <v>1300</v>
      </c>
      <c r="I80" s="3">
        <v>1300</v>
      </c>
      <c r="J80">
        <v>0</v>
      </c>
      <c r="K80" s="3">
        <v>1495</v>
      </c>
      <c r="L80" s="3">
        <v>185.4</v>
      </c>
      <c r="M80" s="3">
        <v>57.47</v>
      </c>
      <c r="N80" t="s">
        <v>77</v>
      </c>
      <c r="O80" t="s">
        <v>53</v>
      </c>
      <c r="P80" t="s">
        <v>53</v>
      </c>
      <c r="Q80" t="s">
        <v>53</v>
      </c>
      <c r="R80" t="s">
        <v>54</v>
      </c>
      <c r="S80" t="s">
        <v>54</v>
      </c>
      <c r="T80" t="s">
        <v>55</v>
      </c>
      <c r="U80">
        <v>83</v>
      </c>
      <c r="V80" t="s">
        <v>56</v>
      </c>
      <c r="W80" t="s">
        <v>188</v>
      </c>
      <c r="X80" s="4">
        <v>0</v>
      </c>
      <c r="Y80" t="s">
        <v>62</v>
      </c>
      <c r="Z80" s="3"/>
      <c r="AD80" s="3"/>
      <c r="AE80" s="3"/>
      <c r="AK80" s="5"/>
    </row>
    <row r="81" spans="1:47" hidden="1" x14ac:dyDescent="0.25">
      <c r="A81" t="s">
        <v>63</v>
      </c>
      <c r="B81" s="1">
        <v>185.4</v>
      </c>
      <c r="C81">
        <v>0</v>
      </c>
      <c r="D81">
        <v>0</v>
      </c>
      <c r="E81" s="2">
        <v>0</v>
      </c>
      <c r="F81">
        <v>0</v>
      </c>
      <c r="G81" s="3">
        <v>100</v>
      </c>
      <c r="H81" s="3" t="s">
        <v>54</v>
      </c>
      <c r="I81" s="3" t="s">
        <v>59</v>
      </c>
      <c r="K81" s="3" t="s">
        <v>80</v>
      </c>
      <c r="L81" s="3" t="s">
        <v>73</v>
      </c>
      <c r="M81" s="3">
        <v>45684.689571759256</v>
      </c>
      <c r="Q81" t="s">
        <v>54</v>
      </c>
      <c r="R81">
        <v>0</v>
      </c>
      <c r="T81" t="s">
        <v>54</v>
      </c>
      <c r="U81" t="s">
        <v>54</v>
      </c>
      <c r="V81">
        <v>3807</v>
      </c>
      <c r="W81" t="s">
        <v>55</v>
      </c>
      <c r="X81" s="4"/>
      <c r="AB81" s="3"/>
      <c r="AD81" s="3"/>
      <c r="AE81" s="3"/>
      <c r="AK81" s="5"/>
    </row>
    <row r="82" spans="1:47" hidden="1" x14ac:dyDescent="0.25">
      <c r="A82" t="s">
        <v>47</v>
      </c>
      <c r="B82" s="1">
        <v>36958</v>
      </c>
      <c r="C82" t="s">
        <v>48</v>
      </c>
      <c r="D82" t="s">
        <v>49</v>
      </c>
      <c r="E82" s="2">
        <v>45684</v>
      </c>
      <c r="F82" t="s">
        <v>100</v>
      </c>
      <c r="G82" s="3" t="s">
        <v>93</v>
      </c>
      <c r="H82" s="3">
        <v>42815.7</v>
      </c>
      <c r="I82" s="3">
        <v>42815.7</v>
      </c>
      <c r="J82">
        <v>0</v>
      </c>
      <c r="K82" s="3">
        <v>49238.06</v>
      </c>
      <c r="L82" s="3">
        <v>7015</v>
      </c>
      <c r="M82" s="3">
        <v>3875.73</v>
      </c>
      <c r="N82" t="s">
        <v>83</v>
      </c>
      <c r="O82" t="s">
        <v>53</v>
      </c>
      <c r="P82" t="s">
        <v>53</v>
      </c>
      <c r="Q82" t="s">
        <v>53</v>
      </c>
      <c r="R82" t="s">
        <v>54</v>
      </c>
      <c r="S82" t="s">
        <v>54</v>
      </c>
      <c r="T82" t="s">
        <v>55</v>
      </c>
      <c r="U82">
        <v>9</v>
      </c>
      <c r="V82" t="s">
        <v>71</v>
      </c>
      <c r="W82" t="s">
        <v>101</v>
      </c>
      <c r="X82" s="4">
        <v>0</v>
      </c>
      <c r="Y82" t="s">
        <v>58</v>
      </c>
      <c r="Z82" s="3">
        <v>1633</v>
      </c>
      <c r="AA82">
        <v>0</v>
      </c>
      <c r="AB82" s="3">
        <v>5382</v>
      </c>
      <c r="AC82">
        <v>0</v>
      </c>
      <c r="AD82" s="3">
        <v>0</v>
      </c>
      <c r="AE82" s="3">
        <v>4300</v>
      </c>
      <c r="AF82" t="s">
        <v>54</v>
      </c>
      <c r="AG82" t="s">
        <v>59</v>
      </c>
      <c r="AH82" t="s">
        <v>102</v>
      </c>
      <c r="AI82" t="s">
        <v>73</v>
      </c>
      <c r="AJ82" t="s">
        <v>73</v>
      </c>
      <c r="AK82" s="5">
        <v>45684.403761574074</v>
      </c>
      <c r="AO82" t="s">
        <v>54</v>
      </c>
      <c r="AP82">
        <v>0</v>
      </c>
      <c r="AR82" t="s">
        <v>54</v>
      </c>
      <c r="AS82" t="s">
        <v>54</v>
      </c>
      <c r="AT82">
        <v>161</v>
      </c>
      <c r="AU82" t="s">
        <v>55</v>
      </c>
    </row>
    <row r="83" spans="1:47" hidden="1" x14ac:dyDescent="0.25">
      <c r="A83" t="s">
        <v>47</v>
      </c>
      <c r="B83" s="1">
        <v>36960</v>
      </c>
      <c r="C83" t="s">
        <v>48</v>
      </c>
      <c r="D83" t="s">
        <v>49</v>
      </c>
      <c r="E83" s="2">
        <v>45684</v>
      </c>
      <c r="F83" t="s">
        <v>203</v>
      </c>
      <c r="G83" s="3" t="s">
        <v>69</v>
      </c>
      <c r="H83" s="3">
        <v>4670.2</v>
      </c>
      <c r="I83" s="3">
        <v>4670.2</v>
      </c>
      <c r="J83">
        <v>0</v>
      </c>
      <c r="K83" s="3">
        <v>5370.73</v>
      </c>
      <c r="L83" s="3">
        <v>675.26</v>
      </c>
      <c r="M83" s="3">
        <v>388.27</v>
      </c>
      <c r="N83" t="s">
        <v>77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83</v>
      </c>
      <c r="V83" t="s">
        <v>56</v>
      </c>
      <c r="W83" t="s">
        <v>78</v>
      </c>
      <c r="X83" s="4">
        <v>0</v>
      </c>
      <c r="Y83" t="s">
        <v>62</v>
      </c>
      <c r="AB83" s="3"/>
      <c r="AD83" s="3"/>
      <c r="AE83" s="3"/>
      <c r="AK83" s="5"/>
    </row>
    <row r="84" spans="1:47" hidden="1" x14ac:dyDescent="0.25">
      <c r="A84" t="s">
        <v>63</v>
      </c>
      <c r="B84" s="1">
        <v>0</v>
      </c>
      <c r="C84">
        <v>0</v>
      </c>
      <c r="D84">
        <v>675.26</v>
      </c>
      <c r="E84" s="2">
        <v>0</v>
      </c>
      <c r="F84">
        <v>0</v>
      </c>
      <c r="G84">
        <v>380</v>
      </c>
      <c r="H84" s="3" t="s">
        <v>54</v>
      </c>
      <c r="I84" s="3" t="s">
        <v>59</v>
      </c>
      <c r="K84" s="3" t="s">
        <v>80</v>
      </c>
      <c r="L84" s="3" t="s">
        <v>60</v>
      </c>
      <c r="M84" s="3">
        <v>45684.546712962961</v>
      </c>
      <c r="Q84" t="s">
        <v>54</v>
      </c>
      <c r="R84">
        <v>0</v>
      </c>
      <c r="T84" t="s">
        <v>54</v>
      </c>
      <c r="U84" t="s">
        <v>54</v>
      </c>
      <c r="V84">
        <v>3807</v>
      </c>
      <c r="W84" t="s">
        <v>55</v>
      </c>
      <c r="X84" s="4"/>
      <c r="AK84" s="5"/>
    </row>
    <row r="85" spans="1:47" hidden="1" x14ac:dyDescent="0.25">
      <c r="A85" t="s">
        <v>95</v>
      </c>
      <c r="B85" s="1">
        <v>36962</v>
      </c>
      <c r="C85" t="s">
        <v>48</v>
      </c>
      <c r="D85" t="s">
        <v>49</v>
      </c>
      <c r="E85" s="2">
        <v>45684</v>
      </c>
      <c r="F85" t="s">
        <v>204</v>
      </c>
      <c r="G85" t="s">
        <v>66</v>
      </c>
      <c r="H85" s="3">
        <v>6339</v>
      </c>
      <c r="I85" s="3">
        <v>6339</v>
      </c>
      <c r="J85">
        <v>0</v>
      </c>
      <c r="K85" s="3">
        <v>6339</v>
      </c>
      <c r="L85" s="3">
        <v>1512.3</v>
      </c>
      <c r="M85" s="3">
        <v>499.06</v>
      </c>
      <c r="N85" t="s">
        <v>172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146</v>
      </c>
      <c r="W85" t="s">
        <v>151</v>
      </c>
      <c r="X85" s="4">
        <v>0</v>
      </c>
      <c r="Y85" t="s">
        <v>62</v>
      </c>
      <c r="Z85" s="3"/>
      <c r="AB85" s="3"/>
      <c r="AE85" s="3"/>
      <c r="AK85" s="5"/>
    </row>
    <row r="86" spans="1:47" hidden="1" x14ac:dyDescent="0.25">
      <c r="A86" t="s">
        <v>63</v>
      </c>
      <c r="B86" s="3">
        <v>1512.3</v>
      </c>
      <c r="C86">
        <v>0</v>
      </c>
      <c r="D86">
        <v>0</v>
      </c>
      <c r="E86" s="2">
        <v>0</v>
      </c>
      <c r="F86" s="3">
        <v>0</v>
      </c>
      <c r="G86" s="3">
        <v>6900</v>
      </c>
      <c r="H86" s="3" t="s">
        <v>54</v>
      </c>
      <c r="I86" s="3" t="s">
        <v>59</v>
      </c>
      <c r="K86" s="3" t="s">
        <v>73</v>
      </c>
      <c r="L86" s="3" t="s">
        <v>73</v>
      </c>
      <c r="M86" s="3">
        <v>45684.688090277778</v>
      </c>
      <c r="Q86" t="s">
        <v>54</v>
      </c>
      <c r="R86">
        <v>0</v>
      </c>
      <c r="T86" t="s">
        <v>54</v>
      </c>
      <c r="U86" t="s">
        <v>54</v>
      </c>
      <c r="V86">
        <v>8257</v>
      </c>
      <c r="W86" t="s">
        <v>55</v>
      </c>
      <c r="X86" s="4"/>
      <c r="AK86" s="5"/>
    </row>
    <row r="87" spans="1:47" hidden="1" x14ac:dyDescent="0.25">
      <c r="A87" t="s">
        <v>47</v>
      </c>
      <c r="B87" s="1">
        <v>36963</v>
      </c>
      <c r="C87" t="s">
        <v>48</v>
      </c>
      <c r="D87" t="s">
        <v>49</v>
      </c>
      <c r="E87" s="2">
        <v>45684</v>
      </c>
      <c r="F87" t="s">
        <v>205</v>
      </c>
      <c r="G87" s="3" t="s">
        <v>117</v>
      </c>
      <c r="H87" s="3">
        <v>3550</v>
      </c>
      <c r="I87" s="3">
        <v>3550</v>
      </c>
      <c r="J87">
        <v>0</v>
      </c>
      <c r="K87" s="3">
        <v>4082.5</v>
      </c>
      <c r="L87" s="3">
        <v>524</v>
      </c>
      <c r="M87" s="3">
        <v>301.3</v>
      </c>
      <c r="N87" t="s">
        <v>172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146</v>
      </c>
      <c r="V87" t="s">
        <v>173</v>
      </c>
      <c r="W87" t="s">
        <v>115</v>
      </c>
      <c r="X87" s="4">
        <v>0</v>
      </c>
      <c r="Y87" t="s">
        <v>58</v>
      </c>
      <c r="Z87">
        <v>0</v>
      </c>
      <c r="AA87">
        <v>0</v>
      </c>
      <c r="AB87" s="3">
        <v>524</v>
      </c>
      <c r="AC87">
        <v>0</v>
      </c>
      <c r="AD87">
        <v>0</v>
      </c>
      <c r="AE87" s="3">
        <v>1000</v>
      </c>
      <c r="AF87" t="s">
        <v>54</v>
      </c>
      <c r="AG87" t="s">
        <v>59</v>
      </c>
      <c r="AH87" t="s">
        <v>206</v>
      </c>
      <c r="AI87" t="s">
        <v>173</v>
      </c>
      <c r="AJ87" t="s">
        <v>73</v>
      </c>
      <c r="AK87" s="5">
        <v>45684.697442129633</v>
      </c>
      <c r="AO87" t="s">
        <v>54</v>
      </c>
      <c r="AP87">
        <v>0</v>
      </c>
      <c r="AR87" t="s">
        <v>54</v>
      </c>
      <c r="AS87" t="s">
        <v>54</v>
      </c>
      <c r="AT87">
        <v>6910</v>
      </c>
      <c r="AU87" t="s">
        <v>55</v>
      </c>
    </row>
    <row r="88" spans="1:47" hidden="1" x14ac:dyDescent="0.25">
      <c r="A88" t="s">
        <v>47</v>
      </c>
      <c r="B88" s="1">
        <v>36964</v>
      </c>
      <c r="C88" t="s">
        <v>48</v>
      </c>
      <c r="D88" t="s">
        <v>49</v>
      </c>
      <c r="E88" s="2">
        <v>45684</v>
      </c>
      <c r="F88" t="s">
        <v>127</v>
      </c>
      <c r="G88" t="s">
        <v>128</v>
      </c>
      <c r="H88" s="3">
        <v>2480</v>
      </c>
      <c r="I88" s="3">
        <v>2480</v>
      </c>
      <c r="J88">
        <v>0</v>
      </c>
      <c r="K88" s="3">
        <v>2852</v>
      </c>
      <c r="L88" s="3">
        <v>488</v>
      </c>
      <c r="M88" s="3">
        <v>179.1</v>
      </c>
      <c r="N88" t="s">
        <v>191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147</v>
      </c>
      <c r="V88" t="s">
        <v>200</v>
      </c>
      <c r="W88" t="s">
        <v>129</v>
      </c>
      <c r="X88" s="4">
        <v>0</v>
      </c>
      <c r="Y88" t="s">
        <v>62</v>
      </c>
      <c r="AD88" s="3"/>
      <c r="AE88" s="3"/>
      <c r="AK88" s="5"/>
    </row>
    <row r="89" spans="1:47" hidden="1" x14ac:dyDescent="0.25">
      <c r="A89" t="s">
        <v>63</v>
      </c>
      <c r="B89" s="1">
        <v>488</v>
      </c>
      <c r="C89">
        <v>0</v>
      </c>
      <c r="D89">
        <v>0</v>
      </c>
      <c r="E89" s="2">
        <v>0</v>
      </c>
      <c r="F89">
        <v>0</v>
      </c>
      <c r="G89" s="3">
        <v>2000</v>
      </c>
      <c r="H89" s="3" t="s">
        <v>54</v>
      </c>
      <c r="I89" s="3" t="s">
        <v>59</v>
      </c>
      <c r="K89" s="3" t="s">
        <v>73</v>
      </c>
      <c r="L89" s="3" t="s">
        <v>73</v>
      </c>
      <c r="M89" s="3">
        <v>45684.702152777776</v>
      </c>
      <c r="Q89" t="s">
        <v>54</v>
      </c>
      <c r="R89">
        <v>0</v>
      </c>
      <c r="T89" t="s">
        <v>54</v>
      </c>
      <c r="U89" t="s">
        <v>54</v>
      </c>
      <c r="V89">
        <v>6379</v>
      </c>
      <c r="W89" t="s">
        <v>55</v>
      </c>
      <c r="X89" s="4"/>
      <c r="Z89" s="3"/>
      <c r="AB89" s="3"/>
      <c r="AD89" s="3"/>
      <c r="AE89" s="3"/>
      <c r="AK89" s="5"/>
    </row>
    <row r="90" spans="1:47" hidden="1" x14ac:dyDescent="0.25">
      <c r="A90" t="s">
        <v>47</v>
      </c>
      <c r="B90" s="1">
        <v>36965</v>
      </c>
      <c r="C90" t="s">
        <v>48</v>
      </c>
      <c r="D90" t="s">
        <v>49</v>
      </c>
      <c r="E90" s="2">
        <v>45685</v>
      </c>
      <c r="F90" t="s">
        <v>207</v>
      </c>
      <c r="G90" t="s">
        <v>208</v>
      </c>
      <c r="H90" s="3">
        <v>3850</v>
      </c>
      <c r="I90" s="3">
        <v>3850</v>
      </c>
      <c r="J90">
        <v>0</v>
      </c>
      <c r="K90" s="3">
        <v>3850</v>
      </c>
      <c r="L90" s="3">
        <v>591</v>
      </c>
      <c r="M90" s="3">
        <v>366.42</v>
      </c>
      <c r="N90" t="s">
        <v>172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146</v>
      </c>
      <c r="V90" t="s">
        <v>173</v>
      </c>
      <c r="W90" t="s">
        <v>160</v>
      </c>
      <c r="X90" s="4">
        <v>0</v>
      </c>
      <c r="Y90" t="s">
        <v>58</v>
      </c>
      <c r="Z90">
        <v>0</v>
      </c>
      <c r="AA90">
        <v>0</v>
      </c>
      <c r="AB90">
        <v>591</v>
      </c>
      <c r="AC90">
        <v>0</v>
      </c>
      <c r="AD90" s="3">
        <v>0</v>
      </c>
      <c r="AE90" s="3">
        <v>1000</v>
      </c>
      <c r="AF90" t="s">
        <v>54</v>
      </c>
      <c r="AG90" t="s">
        <v>59</v>
      </c>
      <c r="AI90" t="s">
        <v>73</v>
      </c>
      <c r="AJ90" t="s">
        <v>73</v>
      </c>
      <c r="AK90" s="5">
        <v>45685.457106481481</v>
      </c>
      <c r="AO90" t="s">
        <v>54</v>
      </c>
      <c r="AP90">
        <v>0</v>
      </c>
      <c r="AR90" t="s">
        <v>54</v>
      </c>
      <c r="AS90" t="s">
        <v>54</v>
      </c>
      <c r="AT90">
        <v>5395</v>
      </c>
      <c r="AU90" t="s">
        <v>55</v>
      </c>
    </row>
    <row r="91" spans="1:47" hidden="1" x14ac:dyDescent="0.25">
      <c r="A91" t="s">
        <v>47</v>
      </c>
      <c r="B91" s="1">
        <v>36966</v>
      </c>
      <c r="C91" t="s">
        <v>48</v>
      </c>
      <c r="D91" t="s">
        <v>49</v>
      </c>
      <c r="E91" s="2">
        <v>45685</v>
      </c>
      <c r="F91" t="s">
        <v>207</v>
      </c>
      <c r="G91" s="3" t="s">
        <v>208</v>
      </c>
      <c r="H91" s="3">
        <v>3850</v>
      </c>
      <c r="I91" s="3">
        <v>3850</v>
      </c>
      <c r="J91">
        <v>0</v>
      </c>
      <c r="K91" s="3">
        <v>3850</v>
      </c>
      <c r="L91" s="3">
        <v>591</v>
      </c>
      <c r="M91" s="3">
        <v>366.42</v>
      </c>
      <c r="N91" t="s">
        <v>172</v>
      </c>
      <c r="O91" t="s">
        <v>53</v>
      </c>
      <c r="P91" t="s">
        <v>53</v>
      </c>
      <c r="Q91" t="s">
        <v>53</v>
      </c>
      <c r="R91" t="s">
        <v>54</v>
      </c>
      <c r="S91" t="s">
        <v>54</v>
      </c>
      <c r="T91" t="s">
        <v>55</v>
      </c>
      <c r="U91">
        <v>146</v>
      </c>
      <c r="V91" t="s">
        <v>173</v>
      </c>
      <c r="W91" t="s">
        <v>160</v>
      </c>
      <c r="X91" s="4">
        <v>0</v>
      </c>
      <c r="Y91" t="s">
        <v>58</v>
      </c>
      <c r="Z91">
        <v>0</v>
      </c>
      <c r="AA91">
        <v>0</v>
      </c>
      <c r="AB91">
        <v>591</v>
      </c>
      <c r="AC91">
        <v>0</v>
      </c>
      <c r="AD91" s="3">
        <v>0</v>
      </c>
      <c r="AE91" s="3">
        <v>1000</v>
      </c>
      <c r="AF91" t="s">
        <v>54</v>
      </c>
      <c r="AG91" t="s">
        <v>59</v>
      </c>
      <c r="AI91" t="s">
        <v>73</v>
      </c>
      <c r="AJ91" t="s">
        <v>73</v>
      </c>
      <c r="AK91" s="5">
        <v>45685.457175925927</v>
      </c>
      <c r="AO91" t="s">
        <v>54</v>
      </c>
      <c r="AP91">
        <v>0</v>
      </c>
      <c r="AR91" t="s">
        <v>54</v>
      </c>
      <c r="AS91" t="s">
        <v>54</v>
      </c>
      <c r="AT91">
        <v>5395</v>
      </c>
      <c r="AU91" t="s">
        <v>55</v>
      </c>
    </row>
    <row r="92" spans="1:47" hidden="1" x14ac:dyDescent="0.25">
      <c r="A92" t="s">
        <v>95</v>
      </c>
      <c r="B92" s="1">
        <v>36967</v>
      </c>
      <c r="C92" t="s">
        <v>48</v>
      </c>
      <c r="D92" s="3" t="s">
        <v>49</v>
      </c>
      <c r="E92" s="2">
        <v>45685</v>
      </c>
      <c r="F92" t="s">
        <v>176</v>
      </c>
      <c r="G92" s="3" t="s">
        <v>69</v>
      </c>
      <c r="H92" s="3">
        <v>3630</v>
      </c>
      <c r="I92" s="3">
        <v>3630</v>
      </c>
      <c r="J92">
        <v>0</v>
      </c>
      <c r="K92" s="3">
        <v>3630</v>
      </c>
      <c r="L92" s="3">
        <v>532</v>
      </c>
      <c r="M92" s="3">
        <v>305.89999999999998</v>
      </c>
      <c r="N92" t="s">
        <v>172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146</v>
      </c>
      <c r="V92" t="s">
        <v>173</v>
      </c>
      <c r="W92" t="s">
        <v>177</v>
      </c>
      <c r="X92" s="4">
        <v>0</v>
      </c>
      <c r="Y92" t="s">
        <v>62</v>
      </c>
      <c r="AB92" s="3"/>
      <c r="AD92" s="3"/>
      <c r="AE92" s="3"/>
      <c r="AK92" s="5"/>
    </row>
    <row r="93" spans="1:47" hidden="1" x14ac:dyDescent="0.25">
      <c r="A93" t="s">
        <v>63</v>
      </c>
      <c r="B93" s="3">
        <v>0</v>
      </c>
      <c r="C93">
        <v>0</v>
      </c>
      <c r="D93">
        <v>532</v>
      </c>
      <c r="E93" s="2">
        <v>0</v>
      </c>
      <c r="F93">
        <v>0</v>
      </c>
      <c r="G93" s="3">
        <v>1000</v>
      </c>
      <c r="H93" s="3" t="s">
        <v>54</v>
      </c>
      <c r="I93" s="3" t="s">
        <v>59</v>
      </c>
      <c r="K93" s="3" t="s">
        <v>73</v>
      </c>
      <c r="L93" s="3" t="s">
        <v>73</v>
      </c>
      <c r="M93" s="3">
        <v>45685.60359953704</v>
      </c>
      <c r="Q93" t="s">
        <v>54</v>
      </c>
      <c r="R93">
        <v>0</v>
      </c>
      <c r="T93" t="s">
        <v>54</v>
      </c>
      <c r="U93" t="s">
        <v>54</v>
      </c>
      <c r="V93">
        <v>8105</v>
      </c>
      <c r="W93" t="s">
        <v>55</v>
      </c>
      <c r="X93" s="4"/>
      <c r="AD93" s="3"/>
      <c r="AE93" s="3"/>
      <c r="AK93" s="5"/>
    </row>
    <row r="94" spans="1:47" hidden="1" x14ac:dyDescent="0.25">
      <c r="A94" t="s">
        <v>47</v>
      </c>
      <c r="B94" s="3">
        <v>36968</v>
      </c>
      <c r="C94" t="s">
        <v>48</v>
      </c>
      <c r="D94" t="s">
        <v>49</v>
      </c>
      <c r="E94" s="2">
        <v>45685</v>
      </c>
      <c r="F94" t="s">
        <v>209</v>
      </c>
      <c r="G94" s="3" t="s">
        <v>136</v>
      </c>
      <c r="H94" s="3">
        <v>21680</v>
      </c>
      <c r="I94" s="3">
        <v>21680</v>
      </c>
      <c r="J94">
        <v>0</v>
      </c>
      <c r="K94" s="3">
        <v>24932</v>
      </c>
      <c r="L94" s="3">
        <v>2246</v>
      </c>
      <c r="M94" s="3">
        <v>1848.46</v>
      </c>
      <c r="N94" t="s">
        <v>83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9</v>
      </c>
      <c r="W94" t="s">
        <v>210</v>
      </c>
      <c r="X94" s="4">
        <v>0</v>
      </c>
      <c r="Y94" t="s">
        <v>58</v>
      </c>
      <c r="Z94" s="3">
        <v>0</v>
      </c>
      <c r="AA94">
        <v>0</v>
      </c>
      <c r="AB94" s="3">
        <v>2246</v>
      </c>
      <c r="AC94">
        <v>0</v>
      </c>
      <c r="AD94">
        <v>0</v>
      </c>
      <c r="AE94" s="3">
        <v>2000</v>
      </c>
      <c r="AF94" t="s">
        <v>54</v>
      </c>
      <c r="AG94" t="s">
        <v>59</v>
      </c>
      <c r="AI94" t="s">
        <v>73</v>
      </c>
      <c r="AJ94" t="s">
        <v>73</v>
      </c>
      <c r="AK94" s="5">
        <v>45685.587685185186</v>
      </c>
      <c r="AO94" t="s">
        <v>54</v>
      </c>
      <c r="AP94">
        <v>0</v>
      </c>
      <c r="AR94" t="s">
        <v>54</v>
      </c>
      <c r="AS94" t="s">
        <v>54</v>
      </c>
      <c r="AT94">
        <v>3923</v>
      </c>
      <c r="AU94" t="s">
        <v>55</v>
      </c>
    </row>
    <row r="95" spans="1:47" hidden="1" x14ac:dyDescent="0.25">
      <c r="A95" t="s">
        <v>47</v>
      </c>
      <c r="B95" s="1">
        <v>36970</v>
      </c>
      <c r="C95" t="s">
        <v>48</v>
      </c>
      <c r="D95" t="s">
        <v>49</v>
      </c>
      <c r="E95" s="2">
        <v>45685</v>
      </c>
      <c r="F95" t="s">
        <v>131</v>
      </c>
      <c r="G95" t="s">
        <v>88</v>
      </c>
      <c r="H95" s="3">
        <v>8940</v>
      </c>
      <c r="I95" s="3">
        <v>8940</v>
      </c>
      <c r="J95">
        <v>0</v>
      </c>
      <c r="K95" s="3">
        <v>10281</v>
      </c>
      <c r="L95" s="3">
        <v>1709</v>
      </c>
      <c r="M95" s="3">
        <v>803.23</v>
      </c>
      <c r="N95" t="s">
        <v>191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147</v>
      </c>
      <c r="V95" t="s">
        <v>200</v>
      </c>
      <c r="W95" t="s">
        <v>141</v>
      </c>
      <c r="X95" s="4">
        <v>0</v>
      </c>
      <c r="Y95" t="s">
        <v>58</v>
      </c>
      <c r="Z95">
        <v>0</v>
      </c>
      <c r="AA95">
        <v>0</v>
      </c>
      <c r="AB95">
        <v>0</v>
      </c>
      <c r="AC95">
        <v>0</v>
      </c>
      <c r="AD95" s="3">
        <v>1709</v>
      </c>
      <c r="AE95" s="3">
        <v>1000</v>
      </c>
      <c r="AF95" t="s">
        <v>54</v>
      </c>
      <c r="AG95" t="s">
        <v>59</v>
      </c>
      <c r="AI95" t="s">
        <v>73</v>
      </c>
      <c r="AJ95" t="s">
        <v>73</v>
      </c>
      <c r="AK95" s="5">
        <v>45685.603692129633</v>
      </c>
      <c r="AO95" t="s">
        <v>54</v>
      </c>
      <c r="AP95">
        <v>0</v>
      </c>
      <c r="AR95" t="s">
        <v>54</v>
      </c>
      <c r="AS95" t="s">
        <v>54</v>
      </c>
      <c r="AT95">
        <v>6130</v>
      </c>
      <c r="AU95" t="s">
        <v>55</v>
      </c>
    </row>
    <row r="96" spans="1:47" hidden="1" x14ac:dyDescent="0.25">
      <c r="A96" t="s">
        <v>47</v>
      </c>
      <c r="B96" s="1">
        <v>36971</v>
      </c>
      <c r="C96" t="s">
        <v>48</v>
      </c>
      <c r="D96" t="s">
        <v>49</v>
      </c>
      <c r="E96" s="2">
        <v>45685</v>
      </c>
      <c r="F96" s="3" t="s">
        <v>184</v>
      </c>
      <c r="G96" s="3" t="s">
        <v>185</v>
      </c>
      <c r="H96" s="3">
        <v>2.4700000000000002</v>
      </c>
      <c r="I96" s="3">
        <v>2.4700000000000002</v>
      </c>
      <c r="J96">
        <v>0</v>
      </c>
      <c r="K96" s="3">
        <v>2.4700000000000002</v>
      </c>
      <c r="L96" s="3">
        <v>0.56999999999999995</v>
      </c>
      <c r="M96" s="3">
        <v>0.21</v>
      </c>
      <c r="N96" t="s">
        <v>172</v>
      </c>
      <c r="O96" t="s">
        <v>53</v>
      </c>
      <c r="P96" t="s">
        <v>53</v>
      </c>
      <c r="Q96" t="s">
        <v>53</v>
      </c>
      <c r="R96" t="s">
        <v>54</v>
      </c>
      <c r="S96" t="s">
        <v>54</v>
      </c>
      <c r="T96" t="s">
        <v>55</v>
      </c>
      <c r="U96">
        <v>146</v>
      </c>
      <c r="W96" t="s">
        <v>425</v>
      </c>
      <c r="X96" s="4">
        <v>0</v>
      </c>
      <c r="Y96" t="s">
        <v>62</v>
      </c>
      <c r="Z96" s="3"/>
      <c r="AB96" s="3"/>
      <c r="AD96" s="3"/>
      <c r="AE96" s="3"/>
      <c r="AK96" s="5"/>
    </row>
    <row r="97" spans="1:47" hidden="1" x14ac:dyDescent="0.25">
      <c r="A97" t="s">
        <v>63</v>
      </c>
      <c r="B97" s="3">
        <v>0.56999999999999995</v>
      </c>
      <c r="C97">
        <v>0</v>
      </c>
      <c r="D97">
        <v>0</v>
      </c>
      <c r="E97" s="2">
        <v>0</v>
      </c>
      <c r="F97">
        <v>0</v>
      </c>
      <c r="G97" s="3">
        <v>1</v>
      </c>
      <c r="H97" s="3" t="s">
        <v>54</v>
      </c>
      <c r="I97" s="3" t="s">
        <v>59</v>
      </c>
      <c r="J97" t="s">
        <v>186</v>
      </c>
      <c r="K97" s="3" t="s">
        <v>91</v>
      </c>
      <c r="L97" s="3" t="s">
        <v>91</v>
      </c>
      <c r="M97" s="3">
        <v>45685.676423611112</v>
      </c>
      <c r="Q97" t="s">
        <v>54</v>
      </c>
      <c r="R97">
        <v>0</v>
      </c>
      <c r="T97" t="s">
        <v>54</v>
      </c>
      <c r="U97" t="s">
        <v>54</v>
      </c>
      <c r="V97">
        <v>8239</v>
      </c>
      <c r="W97" t="s">
        <v>55</v>
      </c>
      <c r="X97" s="4"/>
      <c r="AB97" s="3"/>
      <c r="AK97" s="5"/>
    </row>
    <row r="98" spans="1:47" hidden="1" x14ac:dyDescent="0.25">
      <c r="A98" t="s">
        <v>47</v>
      </c>
      <c r="B98" s="1">
        <v>36972</v>
      </c>
      <c r="C98" t="s">
        <v>48</v>
      </c>
      <c r="D98" t="s">
        <v>49</v>
      </c>
      <c r="E98" s="2">
        <v>45685</v>
      </c>
      <c r="F98" t="s">
        <v>100</v>
      </c>
      <c r="G98" s="3" t="s">
        <v>93</v>
      </c>
      <c r="H98" s="3">
        <v>4380</v>
      </c>
      <c r="I98" s="3">
        <v>4380</v>
      </c>
      <c r="J98">
        <v>0</v>
      </c>
      <c r="K98" s="3">
        <v>5037</v>
      </c>
      <c r="L98" s="3">
        <v>1198</v>
      </c>
      <c r="M98" s="3">
        <v>347.42</v>
      </c>
      <c r="N98" t="s">
        <v>83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9</v>
      </c>
      <c r="V98" t="s">
        <v>71</v>
      </c>
      <c r="W98" t="s">
        <v>101</v>
      </c>
      <c r="X98" s="4">
        <v>0</v>
      </c>
      <c r="Y98" t="s">
        <v>58</v>
      </c>
      <c r="Z98" s="3">
        <v>1198</v>
      </c>
      <c r="AA98">
        <v>0</v>
      </c>
      <c r="AB98" s="3">
        <v>0</v>
      </c>
      <c r="AC98">
        <v>0</v>
      </c>
      <c r="AD98" s="3">
        <v>0</v>
      </c>
      <c r="AE98" s="3">
        <v>2000</v>
      </c>
      <c r="AF98" t="s">
        <v>54</v>
      </c>
      <c r="AG98" t="s">
        <v>59</v>
      </c>
      <c r="AH98" t="s">
        <v>102</v>
      </c>
      <c r="AI98" t="s">
        <v>91</v>
      </c>
      <c r="AJ98" t="s">
        <v>91</v>
      </c>
      <c r="AK98" s="5">
        <v>45685.681284722225</v>
      </c>
      <c r="AO98" t="s">
        <v>54</v>
      </c>
      <c r="AP98">
        <v>0</v>
      </c>
      <c r="AR98" t="s">
        <v>54</v>
      </c>
      <c r="AS98" t="s">
        <v>54</v>
      </c>
      <c r="AT98">
        <v>161</v>
      </c>
      <c r="AU98" t="s">
        <v>55</v>
      </c>
    </row>
    <row r="99" spans="1:47" hidden="1" x14ac:dyDescent="0.25">
      <c r="A99" t="s">
        <v>47</v>
      </c>
      <c r="B99" s="1">
        <v>36974</v>
      </c>
      <c r="C99" t="s">
        <v>48</v>
      </c>
      <c r="D99" t="s">
        <v>49</v>
      </c>
      <c r="E99" s="2">
        <v>45687</v>
      </c>
      <c r="F99" t="s">
        <v>430</v>
      </c>
      <c r="G99" s="3" t="s">
        <v>69</v>
      </c>
      <c r="H99" s="3">
        <v>3000</v>
      </c>
      <c r="I99" s="3">
        <v>3000</v>
      </c>
      <c r="J99">
        <v>0</v>
      </c>
      <c r="K99" s="3">
        <v>3450</v>
      </c>
      <c r="L99" s="3">
        <v>598</v>
      </c>
      <c r="M99" s="3">
        <v>173.42</v>
      </c>
      <c r="N99" t="s">
        <v>83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9</v>
      </c>
      <c r="V99" t="s">
        <v>71</v>
      </c>
      <c r="W99" t="s">
        <v>94</v>
      </c>
      <c r="X99" s="4">
        <v>0</v>
      </c>
      <c r="Y99" t="s">
        <v>62</v>
      </c>
      <c r="AB99" s="3"/>
      <c r="AK99" s="5"/>
    </row>
    <row r="100" spans="1:47" hidden="1" x14ac:dyDescent="0.25">
      <c r="A100" t="s">
        <v>63</v>
      </c>
      <c r="B100" s="1">
        <v>598</v>
      </c>
      <c r="C100">
        <v>0</v>
      </c>
      <c r="D100">
        <v>0</v>
      </c>
      <c r="E100" s="2">
        <v>0</v>
      </c>
      <c r="F100" s="3">
        <v>0</v>
      </c>
      <c r="G100" s="3">
        <v>1000</v>
      </c>
      <c r="H100" s="3" t="s">
        <v>54</v>
      </c>
      <c r="I100" s="3" t="s">
        <v>59</v>
      </c>
      <c r="K100" s="3" t="s">
        <v>73</v>
      </c>
      <c r="L100" s="3" t="s">
        <v>73</v>
      </c>
      <c r="M100" s="3">
        <v>45687.581446759257</v>
      </c>
      <c r="Q100" t="s">
        <v>54</v>
      </c>
      <c r="R100">
        <v>0</v>
      </c>
      <c r="T100" t="s">
        <v>54</v>
      </c>
      <c r="U100" t="s">
        <v>54</v>
      </c>
      <c r="V100">
        <v>8232</v>
      </c>
      <c r="W100" t="s">
        <v>55</v>
      </c>
      <c r="X100" s="4"/>
      <c r="AB100" s="3"/>
      <c r="AE100" s="3"/>
      <c r="AK100" s="5"/>
    </row>
    <row r="101" spans="1:47" hidden="1" x14ac:dyDescent="0.25">
      <c r="A101" t="s">
        <v>95</v>
      </c>
      <c r="B101" s="1">
        <v>36975</v>
      </c>
      <c r="C101" t="s">
        <v>48</v>
      </c>
      <c r="D101" s="3" t="s">
        <v>49</v>
      </c>
      <c r="E101" s="2">
        <v>45687</v>
      </c>
      <c r="F101" t="s">
        <v>211</v>
      </c>
      <c r="G101" s="3" t="s">
        <v>117</v>
      </c>
      <c r="H101" s="3">
        <v>13170</v>
      </c>
      <c r="I101" s="3">
        <v>13170</v>
      </c>
      <c r="J101">
        <v>0</v>
      </c>
      <c r="K101" s="3">
        <v>13170</v>
      </c>
      <c r="L101" s="3">
        <v>1645.5</v>
      </c>
      <c r="M101" s="3">
        <v>1230.83</v>
      </c>
      <c r="N101" t="s">
        <v>83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9</v>
      </c>
      <c r="V101" t="s">
        <v>71</v>
      </c>
      <c r="W101" t="s">
        <v>84</v>
      </c>
      <c r="X101" s="4">
        <v>0</v>
      </c>
      <c r="Y101" t="s">
        <v>62</v>
      </c>
      <c r="Z101" s="3"/>
      <c r="AB101" s="3"/>
      <c r="AD101" s="3"/>
      <c r="AE101" s="3"/>
      <c r="AK101" s="5"/>
    </row>
    <row r="102" spans="1:47" hidden="1" x14ac:dyDescent="0.25">
      <c r="A102" t="s">
        <v>63</v>
      </c>
      <c r="B102" s="1">
        <v>0</v>
      </c>
      <c r="C102">
        <v>0</v>
      </c>
      <c r="D102" s="3">
        <v>1645.5</v>
      </c>
      <c r="E102" s="2">
        <v>0</v>
      </c>
      <c r="F102">
        <v>0</v>
      </c>
      <c r="G102" s="3">
        <v>1500</v>
      </c>
      <c r="H102" s="3" t="s">
        <v>54</v>
      </c>
      <c r="I102" s="3" t="s">
        <v>59</v>
      </c>
      <c r="K102" s="3" t="s">
        <v>73</v>
      </c>
      <c r="L102" s="3" t="s">
        <v>73</v>
      </c>
      <c r="M102" s="3">
        <v>45687.582812499997</v>
      </c>
      <c r="Q102" t="s">
        <v>54</v>
      </c>
      <c r="R102">
        <v>0</v>
      </c>
      <c r="T102" t="s">
        <v>54</v>
      </c>
      <c r="U102" t="s">
        <v>54</v>
      </c>
      <c r="V102">
        <v>4002</v>
      </c>
      <c r="W102" t="s">
        <v>55</v>
      </c>
      <c r="X102" s="4"/>
      <c r="Z102" s="3"/>
      <c r="AB102" s="3"/>
      <c r="AD102" s="3"/>
      <c r="AE102" s="3"/>
      <c r="AK102" s="5"/>
    </row>
    <row r="103" spans="1:47" hidden="1" x14ac:dyDescent="0.25">
      <c r="A103" t="s">
        <v>47</v>
      </c>
      <c r="B103" s="1">
        <v>36976</v>
      </c>
      <c r="C103" t="s">
        <v>48</v>
      </c>
      <c r="D103" t="s">
        <v>49</v>
      </c>
      <c r="E103" s="2">
        <v>45687</v>
      </c>
      <c r="F103" t="s">
        <v>212</v>
      </c>
      <c r="G103" t="s">
        <v>88</v>
      </c>
      <c r="H103" s="3">
        <v>10976</v>
      </c>
      <c r="I103" s="3">
        <v>10976</v>
      </c>
      <c r="J103">
        <v>0</v>
      </c>
      <c r="K103" s="3">
        <v>12622.4</v>
      </c>
      <c r="L103" s="3">
        <v>1920</v>
      </c>
      <c r="M103" s="3">
        <v>885.12</v>
      </c>
      <c r="N103" t="s">
        <v>191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147</v>
      </c>
      <c r="V103" t="s">
        <v>200</v>
      </c>
      <c r="W103" t="s">
        <v>94</v>
      </c>
      <c r="X103" s="4">
        <v>0</v>
      </c>
      <c r="Y103" t="s">
        <v>58</v>
      </c>
      <c r="Z103">
        <v>0</v>
      </c>
      <c r="AA103" s="3">
        <v>1920</v>
      </c>
      <c r="AB103" s="3">
        <v>0</v>
      </c>
      <c r="AC103">
        <v>0</v>
      </c>
      <c r="AD103">
        <v>0</v>
      </c>
      <c r="AE103" s="3">
        <v>4000</v>
      </c>
      <c r="AF103" t="s">
        <v>54</v>
      </c>
      <c r="AG103" t="s">
        <v>59</v>
      </c>
      <c r="AI103" t="s">
        <v>73</v>
      </c>
      <c r="AJ103" t="s">
        <v>73</v>
      </c>
      <c r="AK103" s="5">
        <v>45687.591539351852</v>
      </c>
      <c r="AO103" t="s">
        <v>54</v>
      </c>
      <c r="AP103">
        <v>0</v>
      </c>
      <c r="AR103" t="s">
        <v>54</v>
      </c>
      <c r="AS103" t="s">
        <v>54</v>
      </c>
      <c r="AT103">
        <v>6614</v>
      </c>
      <c r="AU103" t="s">
        <v>55</v>
      </c>
    </row>
    <row r="104" spans="1:47" hidden="1" x14ac:dyDescent="0.25">
      <c r="A104" t="s">
        <v>47</v>
      </c>
      <c r="B104" s="1">
        <v>36977</v>
      </c>
      <c r="C104" t="s">
        <v>48</v>
      </c>
      <c r="D104" t="s">
        <v>49</v>
      </c>
      <c r="E104" s="2">
        <v>45687</v>
      </c>
      <c r="F104" t="s">
        <v>124</v>
      </c>
      <c r="G104" s="3" t="s">
        <v>88</v>
      </c>
      <c r="H104" s="3">
        <v>9995</v>
      </c>
      <c r="I104" s="3">
        <v>9995</v>
      </c>
      <c r="J104">
        <v>0</v>
      </c>
      <c r="K104" s="3">
        <v>11494.25</v>
      </c>
      <c r="L104" s="3">
        <v>1232</v>
      </c>
      <c r="M104" s="3">
        <v>763.84</v>
      </c>
      <c r="N104" t="s">
        <v>83</v>
      </c>
      <c r="O104" t="s">
        <v>53</v>
      </c>
      <c r="P104" t="s">
        <v>53</v>
      </c>
      <c r="Q104" t="s">
        <v>53</v>
      </c>
      <c r="R104" t="s">
        <v>54</v>
      </c>
      <c r="S104" t="s">
        <v>54</v>
      </c>
      <c r="T104" t="s">
        <v>55</v>
      </c>
      <c r="U104">
        <v>9</v>
      </c>
      <c r="V104" t="s">
        <v>71</v>
      </c>
      <c r="W104" t="s">
        <v>94</v>
      </c>
      <c r="X104" s="4">
        <v>0</v>
      </c>
      <c r="Y104" t="s">
        <v>58</v>
      </c>
      <c r="Z104" s="3">
        <v>0</v>
      </c>
      <c r="AA104">
        <v>0</v>
      </c>
      <c r="AB104" s="3">
        <v>1232</v>
      </c>
      <c r="AC104">
        <v>0</v>
      </c>
      <c r="AD104" s="3">
        <v>0</v>
      </c>
      <c r="AE104" s="3">
        <v>1500</v>
      </c>
      <c r="AF104" t="s">
        <v>54</v>
      </c>
      <c r="AG104" t="s">
        <v>59</v>
      </c>
      <c r="AI104" t="s">
        <v>73</v>
      </c>
      <c r="AJ104" t="s">
        <v>60</v>
      </c>
      <c r="AK104" s="5">
        <v>45687.668171296296</v>
      </c>
      <c r="AO104" t="s">
        <v>54</v>
      </c>
      <c r="AP104">
        <v>0</v>
      </c>
      <c r="AR104" t="s">
        <v>54</v>
      </c>
      <c r="AS104" t="s">
        <v>54</v>
      </c>
      <c r="AT104">
        <v>3204</v>
      </c>
      <c r="AU104" t="s">
        <v>55</v>
      </c>
    </row>
    <row r="105" spans="1:47" hidden="1" x14ac:dyDescent="0.25">
      <c r="A105" t="s">
        <v>47</v>
      </c>
      <c r="B105" s="1">
        <v>36978</v>
      </c>
      <c r="C105" t="s">
        <v>48</v>
      </c>
      <c r="D105" t="s">
        <v>49</v>
      </c>
      <c r="E105" s="2">
        <v>45688</v>
      </c>
      <c r="F105" t="s">
        <v>111</v>
      </c>
      <c r="G105" t="s">
        <v>112</v>
      </c>
      <c r="H105" s="3">
        <v>24720</v>
      </c>
      <c r="I105" s="3">
        <v>24720</v>
      </c>
      <c r="J105">
        <v>0</v>
      </c>
      <c r="K105" s="3">
        <v>24720</v>
      </c>
      <c r="L105" s="3">
        <v>3800</v>
      </c>
      <c r="M105" s="3">
        <v>2255.38</v>
      </c>
      <c r="N105" t="s">
        <v>52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126</v>
      </c>
      <c r="V105" t="s">
        <v>71</v>
      </c>
      <c r="W105" t="s">
        <v>78</v>
      </c>
      <c r="X105" s="4">
        <v>0</v>
      </c>
      <c r="Y105" t="s">
        <v>58</v>
      </c>
      <c r="Z105" s="3">
        <v>1118</v>
      </c>
      <c r="AA105">
        <v>0</v>
      </c>
      <c r="AB105" s="3">
        <v>2682</v>
      </c>
      <c r="AC105">
        <v>0</v>
      </c>
      <c r="AD105">
        <v>0</v>
      </c>
      <c r="AE105" s="3">
        <v>6000</v>
      </c>
      <c r="AF105" t="s">
        <v>54</v>
      </c>
      <c r="AG105" t="s">
        <v>59</v>
      </c>
      <c r="AH105" t="s">
        <v>114</v>
      </c>
      <c r="AI105" t="s">
        <v>73</v>
      </c>
      <c r="AJ105" t="s">
        <v>73</v>
      </c>
      <c r="AK105" s="5">
        <v>45688.341122685182</v>
      </c>
      <c r="AO105" t="s">
        <v>54</v>
      </c>
      <c r="AP105">
        <v>0</v>
      </c>
      <c r="AR105" t="s">
        <v>54</v>
      </c>
      <c r="AS105" t="s">
        <v>54</v>
      </c>
      <c r="AT105">
        <v>4089</v>
      </c>
      <c r="AU105" t="s">
        <v>55</v>
      </c>
    </row>
    <row r="106" spans="1:47" hidden="1" x14ac:dyDescent="0.25">
      <c r="A106" t="s">
        <v>47</v>
      </c>
      <c r="B106" s="1">
        <v>36979</v>
      </c>
      <c r="C106" t="s">
        <v>48</v>
      </c>
      <c r="D106" t="s">
        <v>49</v>
      </c>
      <c r="E106" s="2">
        <v>45688</v>
      </c>
      <c r="F106" t="s">
        <v>92</v>
      </c>
      <c r="G106" t="s">
        <v>93</v>
      </c>
      <c r="H106" s="3">
        <v>1464.8</v>
      </c>
      <c r="I106" s="3">
        <v>1464.8</v>
      </c>
      <c r="J106">
        <v>0</v>
      </c>
      <c r="K106" s="3">
        <v>1684.52</v>
      </c>
      <c r="L106" s="3">
        <v>68.92</v>
      </c>
      <c r="M106" s="3">
        <v>42.73</v>
      </c>
      <c r="N106" t="s">
        <v>83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9</v>
      </c>
      <c r="V106" t="s">
        <v>71</v>
      </c>
      <c r="W106" t="s">
        <v>94</v>
      </c>
      <c r="X106" s="4">
        <v>0</v>
      </c>
      <c r="Y106" t="s">
        <v>62</v>
      </c>
      <c r="Z106" s="3"/>
      <c r="AD106" s="3"/>
      <c r="AE106" s="3"/>
      <c r="AK106" s="5"/>
    </row>
    <row r="107" spans="1:47" hidden="1" x14ac:dyDescent="0.25">
      <c r="A107" t="s">
        <v>63</v>
      </c>
      <c r="B107" s="1">
        <v>0</v>
      </c>
      <c r="C107">
        <v>0</v>
      </c>
      <c r="D107">
        <v>68.92</v>
      </c>
      <c r="E107" s="2">
        <v>0</v>
      </c>
      <c r="F107">
        <v>0</v>
      </c>
      <c r="G107" s="3">
        <v>80</v>
      </c>
      <c r="H107" s="3" t="s">
        <v>54</v>
      </c>
      <c r="I107" s="3" t="s">
        <v>59</v>
      </c>
      <c r="K107" s="3" t="s">
        <v>73</v>
      </c>
      <c r="L107" s="3" t="s">
        <v>73</v>
      </c>
      <c r="M107" s="3">
        <v>45688.361041666663</v>
      </c>
      <c r="Q107" t="s">
        <v>54</v>
      </c>
      <c r="R107">
        <v>0</v>
      </c>
      <c r="T107" t="s">
        <v>54</v>
      </c>
      <c r="U107" t="s">
        <v>54</v>
      </c>
      <c r="V107">
        <v>924</v>
      </c>
      <c r="W107" t="s">
        <v>55</v>
      </c>
      <c r="X107" s="4"/>
      <c r="AB107" s="3"/>
      <c r="AE107" s="3"/>
      <c r="AK107" s="5"/>
    </row>
    <row r="108" spans="1:47" hidden="1" x14ac:dyDescent="0.25">
      <c r="A108" t="s">
        <v>47</v>
      </c>
      <c r="B108" s="1">
        <v>36981</v>
      </c>
      <c r="C108" t="s">
        <v>48</v>
      </c>
      <c r="D108" t="s">
        <v>49</v>
      </c>
      <c r="E108" s="2">
        <v>45688</v>
      </c>
      <c r="F108" t="s">
        <v>107</v>
      </c>
      <c r="G108" s="3" t="s">
        <v>108</v>
      </c>
      <c r="H108" s="3">
        <v>3343</v>
      </c>
      <c r="I108" s="3">
        <v>3343</v>
      </c>
      <c r="J108">
        <v>0</v>
      </c>
      <c r="K108" s="3">
        <v>3343</v>
      </c>
      <c r="L108" s="3">
        <v>343.7</v>
      </c>
      <c r="M108" s="3">
        <v>257.08</v>
      </c>
      <c r="N108" t="s">
        <v>83</v>
      </c>
      <c r="O108" t="s">
        <v>53</v>
      </c>
      <c r="P108" t="s">
        <v>53</v>
      </c>
      <c r="Q108" t="s">
        <v>53</v>
      </c>
      <c r="R108" t="s">
        <v>54</v>
      </c>
      <c r="S108" t="s">
        <v>54</v>
      </c>
      <c r="T108" t="s">
        <v>55</v>
      </c>
      <c r="U108">
        <v>9</v>
      </c>
      <c r="V108" t="s">
        <v>56</v>
      </c>
      <c r="W108" t="s">
        <v>109</v>
      </c>
      <c r="X108" s="4">
        <v>0</v>
      </c>
      <c r="Y108" t="s">
        <v>58</v>
      </c>
      <c r="Z108">
        <v>0</v>
      </c>
      <c r="AA108">
        <v>0</v>
      </c>
      <c r="AB108" s="3">
        <v>343.7</v>
      </c>
      <c r="AC108">
        <v>0</v>
      </c>
      <c r="AD108">
        <v>0</v>
      </c>
      <c r="AE108" s="3">
        <v>150</v>
      </c>
      <c r="AF108" t="s">
        <v>54</v>
      </c>
      <c r="AG108" t="s">
        <v>59</v>
      </c>
      <c r="AI108" t="s">
        <v>91</v>
      </c>
      <c r="AJ108" t="s">
        <v>91</v>
      </c>
      <c r="AK108" s="5">
        <v>45688.640104166669</v>
      </c>
      <c r="AO108" t="s">
        <v>54</v>
      </c>
      <c r="AP108">
        <v>0</v>
      </c>
      <c r="AR108" t="s">
        <v>54</v>
      </c>
      <c r="AS108" t="s">
        <v>54</v>
      </c>
      <c r="AT108">
        <v>3124</v>
      </c>
      <c r="AU108" t="s">
        <v>55</v>
      </c>
    </row>
    <row r="109" spans="1:47" hidden="1" x14ac:dyDescent="0.25">
      <c r="A109" t="s">
        <v>47</v>
      </c>
      <c r="B109" s="1">
        <v>36982</v>
      </c>
      <c r="C109" t="s">
        <v>48</v>
      </c>
      <c r="D109" t="s">
        <v>49</v>
      </c>
      <c r="E109" s="2">
        <v>45688</v>
      </c>
      <c r="F109" t="s">
        <v>124</v>
      </c>
      <c r="G109" t="s">
        <v>88</v>
      </c>
      <c r="H109" s="3">
        <v>7315</v>
      </c>
      <c r="I109" s="3">
        <v>7315</v>
      </c>
      <c r="J109">
        <v>0</v>
      </c>
      <c r="K109" s="3">
        <v>8412.25</v>
      </c>
      <c r="L109" s="3">
        <v>993</v>
      </c>
      <c r="M109" s="3">
        <v>615.66</v>
      </c>
      <c r="N109" t="s">
        <v>83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9</v>
      </c>
      <c r="V109" t="s">
        <v>71</v>
      </c>
      <c r="W109" t="s">
        <v>94</v>
      </c>
      <c r="X109" s="4">
        <v>0</v>
      </c>
      <c r="Y109" t="s">
        <v>58</v>
      </c>
      <c r="Z109">
        <v>0</v>
      </c>
      <c r="AA109">
        <v>0</v>
      </c>
      <c r="AB109">
        <v>993</v>
      </c>
      <c r="AC109">
        <v>0</v>
      </c>
      <c r="AD109" s="3">
        <v>0</v>
      </c>
      <c r="AE109" s="3">
        <v>1000</v>
      </c>
      <c r="AF109" t="s">
        <v>54</v>
      </c>
      <c r="AG109" t="s">
        <v>59</v>
      </c>
      <c r="AI109" t="s">
        <v>73</v>
      </c>
      <c r="AJ109" t="s">
        <v>73</v>
      </c>
      <c r="AK109" s="5">
        <v>45688.663252314815</v>
      </c>
      <c r="AO109" t="s">
        <v>54</v>
      </c>
      <c r="AP109">
        <v>0</v>
      </c>
      <c r="AR109" t="s">
        <v>54</v>
      </c>
      <c r="AS109" t="s">
        <v>54</v>
      </c>
      <c r="AT109">
        <v>3204</v>
      </c>
      <c r="AU109" t="s">
        <v>55</v>
      </c>
    </row>
    <row r="110" spans="1:47" hidden="1" x14ac:dyDescent="0.25">
      <c r="A110" t="s">
        <v>47</v>
      </c>
      <c r="B110" s="1">
        <v>36983</v>
      </c>
      <c r="C110" t="s">
        <v>48</v>
      </c>
      <c r="D110" t="s">
        <v>49</v>
      </c>
      <c r="E110" s="2">
        <v>45688</v>
      </c>
      <c r="F110" t="s">
        <v>431</v>
      </c>
      <c r="G110" t="s">
        <v>213</v>
      </c>
      <c r="H110" s="3">
        <v>3816</v>
      </c>
      <c r="I110" s="3">
        <v>3816</v>
      </c>
      <c r="J110">
        <v>0</v>
      </c>
      <c r="K110" s="3">
        <v>4388.3999999999996</v>
      </c>
      <c r="L110" s="3">
        <v>712.8</v>
      </c>
      <c r="M110" s="3">
        <v>328.6</v>
      </c>
      <c r="N110" t="s">
        <v>105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144</v>
      </c>
      <c r="W110" t="s">
        <v>94</v>
      </c>
      <c r="X110" s="4">
        <v>0</v>
      </c>
      <c r="Y110" t="s">
        <v>58</v>
      </c>
      <c r="Z110">
        <v>0</v>
      </c>
      <c r="AA110">
        <v>712.8</v>
      </c>
      <c r="AB110" s="3">
        <v>0</v>
      </c>
      <c r="AC110">
        <v>0</v>
      </c>
      <c r="AD110" s="3">
        <v>0</v>
      </c>
      <c r="AE110" s="3">
        <v>1200</v>
      </c>
      <c r="AF110" t="s">
        <v>54</v>
      </c>
      <c r="AG110" t="s">
        <v>59</v>
      </c>
      <c r="AI110" t="s">
        <v>214</v>
      </c>
      <c r="AJ110" t="s">
        <v>60</v>
      </c>
      <c r="AK110" s="5">
        <v>45688.714733796296</v>
      </c>
      <c r="AO110" t="s">
        <v>54</v>
      </c>
      <c r="AP110">
        <v>0</v>
      </c>
      <c r="AR110" t="s">
        <v>54</v>
      </c>
      <c r="AS110" t="s">
        <v>54</v>
      </c>
      <c r="AT110">
        <v>5568</v>
      </c>
      <c r="AU110" t="s">
        <v>55</v>
      </c>
    </row>
    <row r="111" spans="1:47" hidden="1" x14ac:dyDescent="0.25">
      <c r="A111" t="s">
        <v>47</v>
      </c>
      <c r="B111" s="1">
        <v>36984</v>
      </c>
      <c r="C111" t="s">
        <v>48</v>
      </c>
      <c r="D111" t="s">
        <v>49</v>
      </c>
      <c r="E111" s="2">
        <v>45688</v>
      </c>
      <c r="F111" t="s">
        <v>212</v>
      </c>
      <c r="G111" t="s">
        <v>88</v>
      </c>
      <c r="H111" s="3">
        <v>6735</v>
      </c>
      <c r="I111" s="3">
        <v>6735</v>
      </c>
      <c r="J111">
        <v>0</v>
      </c>
      <c r="K111" s="3">
        <v>7745.25</v>
      </c>
      <c r="L111" s="3">
        <v>1178.5</v>
      </c>
      <c r="M111" s="3">
        <v>543.29</v>
      </c>
      <c r="N111" t="s">
        <v>191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147</v>
      </c>
      <c r="V111" t="s">
        <v>200</v>
      </c>
      <c r="W111" t="s">
        <v>94</v>
      </c>
      <c r="X111" s="4">
        <v>0</v>
      </c>
      <c r="Y111" t="s">
        <v>58</v>
      </c>
      <c r="Z111" s="3">
        <v>0</v>
      </c>
      <c r="AA111" s="3">
        <v>1178.5</v>
      </c>
      <c r="AB111" s="3">
        <v>0</v>
      </c>
      <c r="AC111">
        <v>0</v>
      </c>
      <c r="AD111">
        <v>0</v>
      </c>
      <c r="AE111" s="3">
        <v>500</v>
      </c>
      <c r="AF111" t="s">
        <v>54</v>
      </c>
      <c r="AG111" t="s">
        <v>59</v>
      </c>
      <c r="AI111" t="s">
        <v>73</v>
      </c>
      <c r="AJ111" t="s">
        <v>73</v>
      </c>
      <c r="AK111" s="5">
        <v>45688.712094907409</v>
      </c>
      <c r="AO111" t="s">
        <v>54</v>
      </c>
      <c r="AP111">
        <v>0</v>
      </c>
      <c r="AR111" t="s">
        <v>54</v>
      </c>
      <c r="AS111" t="s">
        <v>54</v>
      </c>
      <c r="AT111">
        <v>6614</v>
      </c>
      <c r="AU111" t="s">
        <v>55</v>
      </c>
    </row>
    <row r="112" spans="1:47" hidden="1" x14ac:dyDescent="0.25">
      <c r="A112" t="s">
        <v>47</v>
      </c>
      <c r="B112" s="1">
        <v>36985</v>
      </c>
      <c r="C112" t="s">
        <v>48</v>
      </c>
      <c r="D112" t="s">
        <v>49</v>
      </c>
      <c r="E112" s="2">
        <v>45688</v>
      </c>
      <c r="F112" t="s">
        <v>76</v>
      </c>
      <c r="G112" t="s">
        <v>69</v>
      </c>
      <c r="H112" s="3">
        <v>28372.5</v>
      </c>
      <c r="I112" s="3">
        <v>28372.5</v>
      </c>
      <c r="J112">
        <v>0</v>
      </c>
      <c r="K112" s="3">
        <v>32628.38</v>
      </c>
      <c r="L112" s="3">
        <v>5949.95</v>
      </c>
      <c r="M112" s="3">
        <v>2242.7399999999998</v>
      </c>
      <c r="N112" t="s">
        <v>77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83</v>
      </c>
      <c r="W112" t="s">
        <v>78</v>
      </c>
      <c r="X112" s="4">
        <v>0</v>
      </c>
      <c r="Y112" t="s">
        <v>58</v>
      </c>
      <c r="Z112" s="3">
        <v>3955.25</v>
      </c>
      <c r="AA112">
        <v>0</v>
      </c>
      <c r="AB112" s="3">
        <v>0</v>
      </c>
      <c r="AC112">
        <v>0</v>
      </c>
      <c r="AD112" s="3">
        <v>1994.7</v>
      </c>
      <c r="AE112" s="3">
        <v>8450</v>
      </c>
      <c r="AF112" t="s">
        <v>54</v>
      </c>
      <c r="AG112" t="s">
        <v>59</v>
      </c>
      <c r="AI112" t="s">
        <v>80</v>
      </c>
      <c r="AJ112" t="s">
        <v>91</v>
      </c>
      <c r="AK112" s="5">
        <v>45692.349166666667</v>
      </c>
      <c r="AO112" t="s">
        <v>54</v>
      </c>
      <c r="AP112">
        <v>0</v>
      </c>
      <c r="AR112" t="s">
        <v>54</v>
      </c>
      <c r="AS112" t="s">
        <v>54</v>
      </c>
      <c r="AT112">
        <v>3870</v>
      </c>
      <c r="AU112" t="s">
        <v>55</v>
      </c>
    </row>
    <row r="113" spans="1:47" hidden="1" x14ac:dyDescent="0.25">
      <c r="A113" t="s">
        <v>95</v>
      </c>
      <c r="B113" s="1">
        <v>36987</v>
      </c>
      <c r="C113" t="s">
        <v>48</v>
      </c>
      <c r="D113" t="s">
        <v>49</v>
      </c>
      <c r="E113" s="2">
        <v>45688</v>
      </c>
      <c r="F113" t="s">
        <v>405</v>
      </c>
      <c r="G113" t="s">
        <v>88</v>
      </c>
      <c r="H113" s="3">
        <v>4396</v>
      </c>
      <c r="I113" s="3">
        <v>4396</v>
      </c>
      <c r="J113">
        <v>0</v>
      </c>
      <c r="K113" s="3">
        <v>4396</v>
      </c>
      <c r="L113" s="3">
        <v>1072.4000000000001</v>
      </c>
      <c r="M113" s="3">
        <v>393.57</v>
      </c>
      <c r="N113" t="s">
        <v>191</v>
      </c>
      <c r="O113" t="s">
        <v>53</v>
      </c>
      <c r="P113" t="s">
        <v>53</v>
      </c>
      <c r="Q113" t="s">
        <v>53</v>
      </c>
      <c r="R113" t="s">
        <v>54</v>
      </c>
      <c r="S113" t="s">
        <v>54</v>
      </c>
      <c r="T113" t="s">
        <v>55</v>
      </c>
      <c r="U113">
        <v>147</v>
      </c>
      <c r="V113" t="s">
        <v>200</v>
      </c>
      <c r="W113" t="s">
        <v>406</v>
      </c>
      <c r="X113" s="4">
        <v>0</v>
      </c>
      <c r="Y113" t="s">
        <v>58</v>
      </c>
      <c r="Z113" s="3">
        <v>1072.4000000000001</v>
      </c>
      <c r="AA113">
        <v>0</v>
      </c>
      <c r="AB113" s="3">
        <v>0</v>
      </c>
      <c r="AC113">
        <v>0</v>
      </c>
      <c r="AD113">
        <v>0</v>
      </c>
      <c r="AE113" s="3">
        <v>1400</v>
      </c>
      <c r="AF113" t="s">
        <v>54</v>
      </c>
      <c r="AG113" t="s">
        <v>59</v>
      </c>
      <c r="AH113" t="s">
        <v>147</v>
      </c>
      <c r="AI113" t="s">
        <v>73</v>
      </c>
      <c r="AJ113" t="s">
        <v>73</v>
      </c>
      <c r="AK113" s="5">
        <v>45688.724803240744</v>
      </c>
      <c r="AO113" t="s">
        <v>54</v>
      </c>
      <c r="AP113">
        <v>0</v>
      </c>
      <c r="AR113" t="s">
        <v>54</v>
      </c>
      <c r="AS113" t="s">
        <v>54</v>
      </c>
      <c r="AT113">
        <v>5603</v>
      </c>
      <c r="AU113" t="s">
        <v>55</v>
      </c>
    </row>
    <row r="114" spans="1:47" x14ac:dyDescent="0.25">
      <c r="A114" t="s">
        <v>47</v>
      </c>
      <c r="B114" s="1">
        <v>36988</v>
      </c>
      <c r="C114" t="s">
        <v>48</v>
      </c>
      <c r="D114" t="s">
        <v>49</v>
      </c>
      <c r="E114" s="2">
        <v>45691</v>
      </c>
      <c r="F114" t="s">
        <v>215</v>
      </c>
      <c r="G114" s="3" t="s">
        <v>163</v>
      </c>
      <c r="H114" s="3">
        <v>12790</v>
      </c>
      <c r="I114" s="3">
        <v>12790</v>
      </c>
      <c r="J114">
        <v>0</v>
      </c>
      <c r="K114" s="3">
        <v>14708.5</v>
      </c>
      <c r="L114" s="3">
        <v>1836</v>
      </c>
      <c r="M114" s="3">
        <v>923.51</v>
      </c>
      <c r="N114" t="s">
        <v>105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145</v>
      </c>
      <c r="V114" t="s">
        <v>144</v>
      </c>
      <c r="W114" t="s">
        <v>141</v>
      </c>
      <c r="X114" s="4">
        <v>0</v>
      </c>
      <c r="Y114" t="s">
        <v>62</v>
      </c>
    </row>
    <row r="115" spans="1:47" hidden="1" x14ac:dyDescent="0.25">
      <c r="A115" t="s">
        <v>63</v>
      </c>
      <c r="B115" s="3">
        <v>1836</v>
      </c>
      <c r="C115">
        <v>0</v>
      </c>
      <c r="D115">
        <v>0</v>
      </c>
      <c r="E115" s="2">
        <v>0</v>
      </c>
      <c r="F115">
        <v>0</v>
      </c>
      <c r="G115" s="3">
        <v>1000</v>
      </c>
      <c r="H115" s="3" t="s">
        <v>54</v>
      </c>
      <c r="I115" s="3" t="s">
        <v>59</v>
      </c>
      <c r="K115" s="3" t="s">
        <v>73</v>
      </c>
      <c r="L115" t="s">
        <v>73</v>
      </c>
      <c r="M115" s="3">
        <v>45691.486574074072</v>
      </c>
      <c r="Q115" t="s">
        <v>54</v>
      </c>
      <c r="R115">
        <v>0</v>
      </c>
      <c r="T115" t="s">
        <v>54</v>
      </c>
      <c r="U115" t="s">
        <v>54</v>
      </c>
      <c r="V115">
        <v>5323</v>
      </c>
      <c r="W115" t="s">
        <v>55</v>
      </c>
      <c r="X115" s="4"/>
      <c r="AK115" s="5"/>
    </row>
    <row r="116" spans="1:47" x14ac:dyDescent="0.25">
      <c r="A116" t="s">
        <v>95</v>
      </c>
      <c r="B116" s="1">
        <v>36989</v>
      </c>
      <c r="C116" t="s">
        <v>48</v>
      </c>
      <c r="D116" t="s">
        <v>49</v>
      </c>
      <c r="E116" s="2">
        <v>45691</v>
      </c>
      <c r="F116" t="s">
        <v>216</v>
      </c>
      <c r="G116" t="s">
        <v>163</v>
      </c>
      <c r="H116" s="3">
        <v>6045</v>
      </c>
      <c r="I116" s="3">
        <v>6045</v>
      </c>
      <c r="J116">
        <v>0</v>
      </c>
      <c r="K116" s="3">
        <v>6045</v>
      </c>
      <c r="L116" s="3">
        <v>1186.5</v>
      </c>
      <c r="M116" s="3">
        <v>557.66</v>
      </c>
      <c r="N116" t="s">
        <v>105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145</v>
      </c>
      <c r="V116" t="s">
        <v>144</v>
      </c>
      <c r="W116" t="s">
        <v>151</v>
      </c>
      <c r="X116" s="4">
        <v>0</v>
      </c>
      <c r="Y116" t="s">
        <v>58</v>
      </c>
      <c r="Z116">
        <v>0</v>
      </c>
      <c r="AA116">
        <v>0</v>
      </c>
      <c r="AB116">
        <v>0</v>
      </c>
      <c r="AC116">
        <v>0</v>
      </c>
      <c r="AD116" s="3">
        <v>1186.5</v>
      </c>
      <c r="AE116" s="3">
        <v>1500</v>
      </c>
      <c r="AF116" t="s">
        <v>54</v>
      </c>
      <c r="AG116" t="s">
        <v>59</v>
      </c>
      <c r="AI116" t="s">
        <v>73</v>
      </c>
      <c r="AJ116" t="s">
        <v>73</v>
      </c>
      <c r="AK116" s="5">
        <v>45691.569178240738</v>
      </c>
      <c r="AO116" t="s">
        <v>54</v>
      </c>
      <c r="AP116">
        <v>0</v>
      </c>
      <c r="AR116" t="s">
        <v>54</v>
      </c>
      <c r="AS116" t="s">
        <v>54</v>
      </c>
      <c r="AT116">
        <v>554</v>
      </c>
      <c r="AU116" t="s">
        <v>55</v>
      </c>
    </row>
    <row r="117" spans="1:47" x14ac:dyDescent="0.25">
      <c r="A117" t="s">
        <v>47</v>
      </c>
      <c r="B117" s="1">
        <v>36993</v>
      </c>
      <c r="C117" t="s">
        <v>48</v>
      </c>
      <c r="D117" t="s">
        <v>49</v>
      </c>
      <c r="E117" s="2">
        <v>45691</v>
      </c>
      <c r="F117" t="s">
        <v>217</v>
      </c>
      <c r="G117" t="s">
        <v>69</v>
      </c>
      <c r="H117" s="3">
        <v>16060</v>
      </c>
      <c r="I117" s="3">
        <v>16060</v>
      </c>
      <c r="J117">
        <v>0</v>
      </c>
      <c r="K117" s="3">
        <v>18469</v>
      </c>
      <c r="L117" s="3">
        <v>2245</v>
      </c>
      <c r="M117" s="3">
        <v>1055.1500000000001</v>
      </c>
      <c r="N117" t="s">
        <v>105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145</v>
      </c>
      <c r="V117" t="s">
        <v>144</v>
      </c>
      <c r="W117">
        <v>10</v>
      </c>
      <c r="X117" s="4">
        <v>0</v>
      </c>
      <c r="Y117" t="s">
        <v>62</v>
      </c>
      <c r="AD117" s="3"/>
      <c r="AE117" s="3"/>
      <c r="AK117" s="5"/>
    </row>
    <row r="118" spans="1:47" hidden="1" x14ac:dyDescent="0.25">
      <c r="A118" t="s">
        <v>63</v>
      </c>
      <c r="B118" s="1">
        <v>0</v>
      </c>
      <c r="C118">
        <v>0</v>
      </c>
      <c r="D118">
        <v>0</v>
      </c>
      <c r="E118" s="2">
        <v>0</v>
      </c>
      <c r="F118" s="3">
        <v>2245</v>
      </c>
      <c r="G118" s="3">
        <v>1000</v>
      </c>
      <c r="H118" s="3" t="s">
        <v>54</v>
      </c>
      <c r="I118" s="3" t="s">
        <v>59</v>
      </c>
      <c r="J118" t="s">
        <v>79</v>
      </c>
      <c r="K118" s="3" t="s">
        <v>73</v>
      </c>
      <c r="L118" s="3" t="s">
        <v>73</v>
      </c>
      <c r="M118" s="3">
        <v>45691.653726851851</v>
      </c>
      <c r="Q118" t="s">
        <v>54</v>
      </c>
      <c r="R118">
        <v>0</v>
      </c>
      <c r="T118" t="s">
        <v>54</v>
      </c>
      <c r="U118" t="s">
        <v>54</v>
      </c>
      <c r="V118">
        <v>8270</v>
      </c>
      <c r="W118" t="s">
        <v>55</v>
      </c>
      <c r="X118" s="4"/>
      <c r="Z118" s="3"/>
      <c r="AD118" s="3"/>
      <c r="AE118" s="3"/>
      <c r="AK118" s="5"/>
    </row>
    <row r="119" spans="1:47" x14ac:dyDescent="0.25">
      <c r="A119" t="s">
        <v>47</v>
      </c>
      <c r="B119" s="1">
        <v>36994</v>
      </c>
      <c r="C119" t="s">
        <v>48</v>
      </c>
      <c r="D119" t="s">
        <v>49</v>
      </c>
      <c r="E119" s="2">
        <v>45691</v>
      </c>
      <c r="F119" t="s">
        <v>432</v>
      </c>
      <c r="G119" t="s">
        <v>117</v>
      </c>
      <c r="H119" s="3">
        <v>3712</v>
      </c>
      <c r="I119" s="3">
        <v>3712</v>
      </c>
      <c r="J119">
        <v>0</v>
      </c>
      <c r="K119" s="3">
        <v>4268.8</v>
      </c>
      <c r="L119" s="3">
        <v>657.6</v>
      </c>
      <c r="M119" s="3">
        <v>294.60000000000002</v>
      </c>
      <c r="N119" t="s">
        <v>172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146</v>
      </c>
      <c r="V119" t="s">
        <v>173</v>
      </c>
      <c r="W119" t="s">
        <v>115</v>
      </c>
      <c r="X119" s="4">
        <v>0</v>
      </c>
      <c r="Y119" t="s">
        <v>62</v>
      </c>
      <c r="Z119" s="3"/>
      <c r="AD119" s="3"/>
      <c r="AE119" s="3"/>
      <c r="AK119" s="5"/>
    </row>
    <row r="120" spans="1:47" hidden="1" x14ac:dyDescent="0.25">
      <c r="A120" t="s">
        <v>63</v>
      </c>
      <c r="B120" s="1">
        <v>657.6</v>
      </c>
      <c r="C120">
        <v>0</v>
      </c>
      <c r="D120">
        <v>0</v>
      </c>
      <c r="E120" s="2">
        <v>0</v>
      </c>
      <c r="F120" s="3">
        <v>0</v>
      </c>
      <c r="G120" s="3">
        <v>1600</v>
      </c>
      <c r="H120" s="3" t="s">
        <v>54</v>
      </c>
      <c r="I120" s="3" t="s">
        <v>59</v>
      </c>
      <c r="J120" t="s">
        <v>218</v>
      </c>
      <c r="K120" s="3" t="s">
        <v>173</v>
      </c>
      <c r="L120" s="3" t="s">
        <v>73</v>
      </c>
      <c r="M120" s="3">
        <v>45692.312673611108</v>
      </c>
      <c r="Q120" t="s">
        <v>54</v>
      </c>
      <c r="R120">
        <v>0</v>
      </c>
      <c r="T120" t="s">
        <v>54</v>
      </c>
      <c r="U120" t="s">
        <v>54</v>
      </c>
      <c r="V120">
        <v>8246</v>
      </c>
      <c r="W120" t="s">
        <v>55</v>
      </c>
      <c r="X120" s="4"/>
      <c r="Z120" s="3"/>
      <c r="AD120" s="3"/>
      <c r="AE120" s="3"/>
      <c r="AK120" s="5"/>
    </row>
    <row r="121" spans="1:47" x14ac:dyDescent="0.25">
      <c r="A121" t="s">
        <v>47</v>
      </c>
      <c r="B121" s="1">
        <v>36995</v>
      </c>
      <c r="C121" t="s">
        <v>48</v>
      </c>
      <c r="D121" t="s">
        <v>49</v>
      </c>
      <c r="E121" s="2">
        <v>45691</v>
      </c>
      <c r="F121" t="s">
        <v>407</v>
      </c>
      <c r="G121" t="s">
        <v>69</v>
      </c>
      <c r="H121" s="3">
        <v>2775</v>
      </c>
      <c r="I121" s="3">
        <v>2775</v>
      </c>
      <c r="J121">
        <v>0</v>
      </c>
      <c r="K121" s="3">
        <v>2775</v>
      </c>
      <c r="L121" s="3">
        <v>695</v>
      </c>
      <c r="M121" s="3">
        <v>236.3</v>
      </c>
      <c r="N121" t="s">
        <v>77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83</v>
      </c>
      <c r="W121" t="s">
        <v>72</v>
      </c>
      <c r="X121" s="4">
        <v>0</v>
      </c>
      <c r="Y121" t="s">
        <v>58</v>
      </c>
      <c r="Z121" s="3">
        <v>695</v>
      </c>
      <c r="AA121">
        <v>0</v>
      </c>
      <c r="AB121">
        <v>0</v>
      </c>
      <c r="AC121">
        <v>0</v>
      </c>
      <c r="AD121" s="3">
        <v>0</v>
      </c>
      <c r="AE121" s="3">
        <v>2500</v>
      </c>
      <c r="AF121" t="s">
        <v>54</v>
      </c>
      <c r="AG121" t="s">
        <v>59</v>
      </c>
      <c r="AI121" t="s">
        <v>80</v>
      </c>
      <c r="AJ121" t="s">
        <v>91</v>
      </c>
      <c r="AK121" s="5">
        <v>45692.314571759256</v>
      </c>
      <c r="AO121" t="s">
        <v>54</v>
      </c>
      <c r="AP121">
        <v>0</v>
      </c>
      <c r="AR121" t="s">
        <v>54</v>
      </c>
      <c r="AS121" t="s">
        <v>54</v>
      </c>
      <c r="AT121">
        <v>7201</v>
      </c>
      <c r="AU121" t="s">
        <v>55</v>
      </c>
    </row>
    <row r="122" spans="1:47" x14ac:dyDescent="0.25">
      <c r="A122" t="s">
        <v>47</v>
      </c>
      <c r="B122" s="1">
        <v>36996</v>
      </c>
      <c r="C122" t="s">
        <v>48</v>
      </c>
      <c r="D122" t="s">
        <v>49</v>
      </c>
      <c r="E122" s="2">
        <v>45692</v>
      </c>
      <c r="F122" t="s">
        <v>68</v>
      </c>
      <c r="G122" t="s">
        <v>69</v>
      </c>
      <c r="H122" s="3">
        <v>4242</v>
      </c>
      <c r="I122" s="3">
        <v>4242</v>
      </c>
      <c r="J122">
        <v>0</v>
      </c>
      <c r="K122" s="3">
        <v>4878.3</v>
      </c>
      <c r="L122" s="3">
        <v>924.8</v>
      </c>
      <c r="M122" s="3">
        <v>350.64</v>
      </c>
      <c r="N122" t="s">
        <v>70</v>
      </c>
      <c r="O122" t="s">
        <v>53</v>
      </c>
      <c r="P122" t="s">
        <v>53</v>
      </c>
      <c r="Q122" t="s">
        <v>53</v>
      </c>
      <c r="R122" t="s">
        <v>54</v>
      </c>
      <c r="S122" t="s">
        <v>54</v>
      </c>
      <c r="T122" t="s">
        <v>55</v>
      </c>
      <c r="U122">
        <v>76</v>
      </c>
      <c r="V122" t="s">
        <v>71</v>
      </c>
      <c r="W122" t="s">
        <v>72</v>
      </c>
      <c r="X122" s="4">
        <v>0</v>
      </c>
      <c r="Y122" t="s">
        <v>62</v>
      </c>
      <c r="Z122" s="3"/>
      <c r="AD122" s="3"/>
      <c r="AE122" s="3"/>
      <c r="AK122" s="5"/>
    </row>
    <row r="123" spans="1:47" hidden="1" x14ac:dyDescent="0.25">
      <c r="A123" t="s">
        <v>63</v>
      </c>
      <c r="B123" s="1">
        <v>924.8</v>
      </c>
      <c r="C123">
        <v>0</v>
      </c>
      <c r="D123">
        <v>0</v>
      </c>
      <c r="E123" s="2">
        <v>0</v>
      </c>
      <c r="F123">
        <v>0</v>
      </c>
      <c r="G123" s="3">
        <v>1000</v>
      </c>
      <c r="H123" s="3" t="s">
        <v>54</v>
      </c>
      <c r="I123" s="3" t="s">
        <v>59</v>
      </c>
      <c r="K123" s="3" t="s">
        <v>73</v>
      </c>
      <c r="L123" s="3" t="s">
        <v>73</v>
      </c>
      <c r="M123" s="3">
        <v>45692.472951388889</v>
      </c>
      <c r="Q123" t="s">
        <v>54</v>
      </c>
      <c r="R123">
        <v>0</v>
      </c>
      <c r="T123" t="s">
        <v>54</v>
      </c>
      <c r="U123" t="s">
        <v>54</v>
      </c>
      <c r="V123">
        <v>139</v>
      </c>
      <c r="W123" t="s">
        <v>55</v>
      </c>
      <c r="X123" s="4"/>
      <c r="Z123" s="3"/>
      <c r="AA123" s="3"/>
      <c r="AD123" s="3"/>
      <c r="AE123" s="3"/>
      <c r="AK123" s="5"/>
    </row>
    <row r="124" spans="1:47" x14ac:dyDescent="0.25">
      <c r="A124" t="s">
        <v>47</v>
      </c>
      <c r="B124" s="1">
        <v>36997</v>
      </c>
      <c r="C124" t="s">
        <v>48</v>
      </c>
      <c r="D124" t="s">
        <v>49</v>
      </c>
      <c r="E124" s="2">
        <v>45692</v>
      </c>
      <c r="F124" t="s">
        <v>202</v>
      </c>
      <c r="G124" t="s">
        <v>122</v>
      </c>
      <c r="H124" s="3">
        <v>1789.88</v>
      </c>
      <c r="I124" s="3">
        <v>1789.88</v>
      </c>
      <c r="J124">
        <v>0</v>
      </c>
      <c r="K124" s="3">
        <v>2058.36</v>
      </c>
      <c r="L124" s="3">
        <v>194.88</v>
      </c>
      <c r="M124" s="3">
        <v>145.77000000000001</v>
      </c>
      <c r="N124" t="s">
        <v>75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43</v>
      </c>
      <c r="V124" t="s">
        <v>56</v>
      </c>
      <c r="W124" t="s">
        <v>72</v>
      </c>
      <c r="X124" s="4">
        <v>0</v>
      </c>
      <c r="Y124" t="s">
        <v>58</v>
      </c>
      <c r="Z124" s="3">
        <v>0</v>
      </c>
      <c r="AA124">
        <v>0</v>
      </c>
      <c r="AB124">
        <v>194.88</v>
      </c>
      <c r="AC124">
        <v>0</v>
      </c>
      <c r="AD124">
        <v>0</v>
      </c>
      <c r="AE124" s="3">
        <v>116</v>
      </c>
      <c r="AF124" t="s">
        <v>54</v>
      </c>
      <c r="AG124" t="s">
        <v>59</v>
      </c>
      <c r="AI124" t="s">
        <v>91</v>
      </c>
      <c r="AJ124" t="s">
        <v>91</v>
      </c>
      <c r="AK124" s="5">
        <v>45692.483287037037</v>
      </c>
      <c r="AO124" t="s">
        <v>54</v>
      </c>
      <c r="AP124">
        <v>0</v>
      </c>
      <c r="AR124" t="s">
        <v>54</v>
      </c>
      <c r="AS124" t="s">
        <v>54</v>
      </c>
      <c r="AT124">
        <v>4694</v>
      </c>
      <c r="AU124" t="s">
        <v>55</v>
      </c>
    </row>
    <row r="125" spans="1:47" x14ac:dyDescent="0.25">
      <c r="A125" t="s">
        <v>47</v>
      </c>
      <c r="B125" s="1">
        <v>36998</v>
      </c>
      <c r="C125" t="s">
        <v>48</v>
      </c>
      <c r="D125" s="3" t="s">
        <v>49</v>
      </c>
      <c r="E125" s="2">
        <v>45692</v>
      </c>
      <c r="F125" t="s">
        <v>202</v>
      </c>
      <c r="G125" s="3" t="s">
        <v>122</v>
      </c>
      <c r="H125" s="3">
        <v>9646.8799999999992</v>
      </c>
      <c r="I125" s="3">
        <v>9646.8799999999992</v>
      </c>
      <c r="J125">
        <v>0</v>
      </c>
      <c r="K125" s="3">
        <v>11093.91</v>
      </c>
      <c r="L125" s="3">
        <v>1264.08</v>
      </c>
      <c r="M125" s="3">
        <v>760.56</v>
      </c>
      <c r="N125" t="s">
        <v>75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43</v>
      </c>
      <c r="V125" t="s">
        <v>56</v>
      </c>
      <c r="W125" t="s">
        <v>72</v>
      </c>
      <c r="X125" s="4">
        <v>0</v>
      </c>
      <c r="Y125" t="s">
        <v>58</v>
      </c>
      <c r="Z125">
        <v>0</v>
      </c>
      <c r="AA125">
        <v>0</v>
      </c>
      <c r="AB125" s="3">
        <v>1264.08</v>
      </c>
      <c r="AC125">
        <v>0</v>
      </c>
      <c r="AD125">
        <v>0</v>
      </c>
      <c r="AE125" s="3">
        <v>1016</v>
      </c>
      <c r="AF125" t="s">
        <v>54</v>
      </c>
      <c r="AG125" t="s">
        <v>59</v>
      </c>
      <c r="AI125" t="s">
        <v>91</v>
      </c>
      <c r="AJ125" t="s">
        <v>91</v>
      </c>
      <c r="AK125" s="5">
        <v>45692.48537037037</v>
      </c>
      <c r="AO125" t="s">
        <v>54</v>
      </c>
      <c r="AP125">
        <v>0</v>
      </c>
      <c r="AR125" t="s">
        <v>54</v>
      </c>
      <c r="AS125" t="s">
        <v>54</v>
      </c>
      <c r="AT125">
        <v>4694</v>
      </c>
      <c r="AU125" t="s">
        <v>55</v>
      </c>
    </row>
    <row r="126" spans="1:47" x14ac:dyDescent="0.25">
      <c r="A126" t="s">
        <v>47</v>
      </c>
      <c r="B126" s="1">
        <v>36999</v>
      </c>
      <c r="C126" t="s">
        <v>48</v>
      </c>
      <c r="D126" t="s">
        <v>49</v>
      </c>
      <c r="E126" s="2">
        <v>45692</v>
      </c>
      <c r="F126" t="s">
        <v>202</v>
      </c>
      <c r="G126" t="s">
        <v>122</v>
      </c>
      <c r="H126" s="3">
        <v>9646.8799999999992</v>
      </c>
      <c r="I126" s="3">
        <v>9646.8799999999992</v>
      </c>
      <c r="J126">
        <v>0</v>
      </c>
      <c r="K126" s="3">
        <v>11093.91</v>
      </c>
      <c r="L126" s="3">
        <v>1264.08</v>
      </c>
      <c r="M126" s="3">
        <v>760.56</v>
      </c>
      <c r="N126" t="s">
        <v>75</v>
      </c>
      <c r="O126" t="s">
        <v>53</v>
      </c>
      <c r="P126" t="s">
        <v>53</v>
      </c>
      <c r="Q126" t="s">
        <v>53</v>
      </c>
      <c r="R126" t="s">
        <v>54</v>
      </c>
      <c r="S126" t="s">
        <v>54</v>
      </c>
      <c r="T126" t="s">
        <v>55</v>
      </c>
      <c r="U126">
        <v>43</v>
      </c>
      <c r="V126" t="s">
        <v>56</v>
      </c>
      <c r="W126" t="s">
        <v>72</v>
      </c>
      <c r="X126" s="4">
        <v>0</v>
      </c>
      <c r="Y126" t="s">
        <v>58</v>
      </c>
      <c r="Z126">
        <v>0</v>
      </c>
      <c r="AA126">
        <v>0</v>
      </c>
      <c r="AB126" s="3">
        <v>1264.08</v>
      </c>
      <c r="AC126">
        <v>0</v>
      </c>
      <c r="AD126">
        <v>0</v>
      </c>
      <c r="AE126" s="3">
        <v>1016</v>
      </c>
      <c r="AF126" t="s">
        <v>54</v>
      </c>
      <c r="AG126" t="s">
        <v>59</v>
      </c>
      <c r="AI126" t="s">
        <v>91</v>
      </c>
      <c r="AJ126" t="s">
        <v>91</v>
      </c>
      <c r="AK126" s="5">
        <v>45692.486817129633</v>
      </c>
      <c r="AO126" t="s">
        <v>54</v>
      </c>
      <c r="AP126">
        <v>0</v>
      </c>
      <c r="AR126" t="s">
        <v>54</v>
      </c>
      <c r="AS126" t="s">
        <v>54</v>
      </c>
      <c r="AT126">
        <v>4694</v>
      </c>
      <c r="AU126" t="s">
        <v>55</v>
      </c>
    </row>
    <row r="127" spans="1:47" x14ac:dyDescent="0.25">
      <c r="A127" t="s">
        <v>47</v>
      </c>
      <c r="B127" s="1">
        <v>37000</v>
      </c>
      <c r="C127" t="s">
        <v>48</v>
      </c>
      <c r="D127" t="s">
        <v>49</v>
      </c>
      <c r="E127" s="2">
        <v>45692</v>
      </c>
      <c r="F127" t="s">
        <v>202</v>
      </c>
      <c r="G127" t="s">
        <v>122</v>
      </c>
      <c r="H127" s="3">
        <v>9646.8799999999992</v>
      </c>
      <c r="I127" s="3">
        <v>9646.8799999999992</v>
      </c>
      <c r="J127">
        <v>0</v>
      </c>
      <c r="K127" s="3">
        <v>11093.91</v>
      </c>
      <c r="L127" s="3">
        <v>1264.08</v>
      </c>
      <c r="M127" s="3">
        <v>760.56</v>
      </c>
      <c r="N127" t="s">
        <v>75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43</v>
      </c>
      <c r="V127" t="s">
        <v>56</v>
      </c>
      <c r="W127" t="s">
        <v>72</v>
      </c>
      <c r="X127" s="4">
        <v>0</v>
      </c>
      <c r="Y127" t="s">
        <v>58</v>
      </c>
      <c r="Z127">
        <v>0</v>
      </c>
      <c r="AA127">
        <v>0</v>
      </c>
      <c r="AB127" s="3">
        <v>1264.08</v>
      </c>
      <c r="AC127">
        <v>0</v>
      </c>
      <c r="AD127">
        <v>0</v>
      </c>
      <c r="AE127" s="3">
        <v>1016</v>
      </c>
      <c r="AF127" t="s">
        <v>54</v>
      </c>
      <c r="AG127" t="s">
        <v>59</v>
      </c>
      <c r="AI127" t="s">
        <v>91</v>
      </c>
      <c r="AJ127" t="s">
        <v>91</v>
      </c>
      <c r="AK127" s="5">
        <v>45692.487951388888</v>
      </c>
      <c r="AO127" t="s">
        <v>54</v>
      </c>
      <c r="AP127">
        <v>0</v>
      </c>
      <c r="AR127" t="s">
        <v>54</v>
      </c>
      <c r="AS127" t="s">
        <v>54</v>
      </c>
      <c r="AT127">
        <v>4694</v>
      </c>
      <c r="AU127" t="s">
        <v>55</v>
      </c>
    </row>
    <row r="128" spans="1:47" x14ac:dyDescent="0.25">
      <c r="A128" t="s">
        <v>47</v>
      </c>
      <c r="B128" s="1">
        <v>37001</v>
      </c>
      <c r="C128" t="s">
        <v>48</v>
      </c>
      <c r="D128" t="s">
        <v>49</v>
      </c>
      <c r="E128" s="2">
        <v>45692</v>
      </c>
      <c r="F128" t="s">
        <v>202</v>
      </c>
      <c r="G128" s="3" t="s">
        <v>122</v>
      </c>
      <c r="H128" s="3">
        <v>9646.8799999999992</v>
      </c>
      <c r="I128" s="3">
        <v>9646.8799999999992</v>
      </c>
      <c r="J128">
        <v>0</v>
      </c>
      <c r="K128" s="3">
        <v>11093.91</v>
      </c>
      <c r="L128" s="3">
        <v>1264.08</v>
      </c>
      <c r="M128" s="3">
        <v>760.56</v>
      </c>
      <c r="N128" t="s">
        <v>75</v>
      </c>
      <c r="O128" t="s">
        <v>53</v>
      </c>
      <c r="P128" t="s">
        <v>53</v>
      </c>
      <c r="Q128" t="s">
        <v>53</v>
      </c>
      <c r="R128" t="s">
        <v>54</v>
      </c>
      <c r="S128" t="s">
        <v>54</v>
      </c>
      <c r="T128" t="s">
        <v>55</v>
      </c>
      <c r="U128">
        <v>43</v>
      </c>
      <c r="V128" t="s">
        <v>56</v>
      </c>
      <c r="W128" t="s">
        <v>72</v>
      </c>
      <c r="X128" s="4">
        <v>0</v>
      </c>
      <c r="Y128" t="s">
        <v>58</v>
      </c>
      <c r="Z128" s="3">
        <v>0</v>
      </c>
      <c r="AA128">
        <v>0</v>
      </c>
      <c r="AB128" s="3">
        <v>1264.08</v>
      </c>
      <c r="AC128">
        <v>0</v>
      </c>
      <c r="AD128">
        <v>0</v>
      </c>
      <c r="AE128" s="3">
        <v>1016</v>
      </c>
      <c r="AF128" t="s">
        <v>54</v>
      </c>
      <c r="AG128" t="s">
        <v>59</v>
      </c>
      <c r="AI128" t="s">
        <v>91</v>
      </c>
      <c r="AJ128" t="s">
        <v>91</v>
      </c>
      <c r="AK128" s="5">
        <v>45692.488796296297</v>
      </c>
      <c r="AO128" t="s">
        <v>54</v>
      </c>
      <c r="AP128">
        <v>0</v>
      </c>
      <c r="AR128" t="s">
        <v>54</v>
      </c>
      <c r="AS128" t="s">
        <v>54</v>
      </c>
      <c r="AT128">
        <v>4694</v>
      </c>
      <c r="AU128" t="s">
        <v>55</v>
      </c>
    </row>
    <row r="129" spans="1:47" x14ac:dyDescent="0.25">
      <c r="A129" t="s">
        <v>95</v>
      </c>
      <c r="B129" s="1">
        <v>37002</v>
      </c>
      <c r="C129" t="s">
        <v>48</v>
      </c>
      <c r="D129" t="s">
        <v>49</v>
      </c>
      <c r="E129" s="2">
        <v>45692</v>
      </c>
      <c r="F129" t="s">
        <v>179</v>
      </c>
      <c r="G129" s="3" t="s">
        <v>69</v>
      </c>
      <c r="H129" s="3">
        <v>7795</v>
      </c>
      <c r="I129" s="3">
        <v>7795</v>
      </c>
      <c r="J129">
        <v>0</v>
      </c>
      <c r="K129" s="3">
        <v>7795</v>
      </c>
      <c r="L129" s="3">
        <v>1061.5</v>
      </c>
      <c r="M129" s="3">
        <v>658.13</v>
      </c>
      <c r="N129" t="s">
        <v>77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83</v>
      </c>
      <c r="V129" t="s">
        <v>56</v>
      </c>
      <c r="W129" t="s">
        <v>132</v>
      </c>
      <c r="X129" s="4">
        <v>0</v>
      </c>
      <c r="Y129" t="s">
        <v>58</v>
      </c>
      <c r="Z129">
        <v>0</v>
      </c>
      <c r="AA129">
        <v>0</v>
      </c>
      <c r="AB129" s="3">
        <v>1061.5</v>
      </c>
      <c r="AC129">
        <v>0</v>
      </c>
      <c r="AD129">
        <v>0</v>
      </c>
      <c r="AE129" s="3">
        <v>500</v>
      </c>
      <c r="AF129" t="s">
        <v>54</v>
      </c>
      <c r="AG129" t="s">
        <v>59</v>
      </c>
      <c r="AH129" t="s">
        <v>79</v>
      </c>
      <c r="AI129" t="s">
        <v>80</v>
      </c>
      <c r="AJ129" t="s">
        <v>60</v>
      </c>
      <c r="AK129" s="5">
        <v>45692.649560185186</v>
      </c>
      <c r="AO129" t="s">
        <v>54</v>
      </c>
      <c r="AP129">
        <v>0</v>
      </c>
      <c r="AR129" t="s">
        <v>54</v>
      </c>
      <c r="AS129" t="s">
        <v>54</v>
      </c>
      <c r="AT129">
        <v>4750</v>
      </c>
      <c r="AU129" t="s">
        <v>55</v>
      </c>
    </row>
    <row r="130" spans="1:47" x14ac:dyDescent="0.25">
      <c r="A130" t="s">
        <v>95</v>
      </c>
      <c r="B130" s="1">
        <v>37003</v>
      </c>
      <c r="C130" t="s">
        <v>48</v>
      </c>
      <c r="D130" t="s">
        <v>49</v>
      </c>
      <c r="E130" s="2">
        <v>45692</v>
      </c>
      <c r="F130" t="s">
        <v>408</v>
      </c>
      <c r="G130" t="s">
        <v>163</v>
      </c>
      <c r="H130" s="3">
        <v>4396</v>
      </c>
      <c r="I130" s="3">
        <v>4396</v>
      </c>
      <c r="J130">
        <v>0</v>
      </c>
      <c r="K130" s="3">
        <v>4396</v>
      </c>
      <c r="L130" s="3">
        <v>718.2</v>
      </c>
      <c r="M130" s="3">
        <v>402.42</v>
      </c>
      <c r="N130" t="s">
        <v>105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145</v>
      </c>
      <c r="V130" t="s">
        <v>144</v>
      </c>
      <c r="W130" t="s">
        <v>219</v>
      </c>
      <c r="X130" s="4">
        <v>0</v>
      </c>
      <c r="Y130" t="s">
        <v>62</v>
      </c>
    </row>
    <row r="131" spans="1:47" hidden="1" x14ac:dyDescent="0.25">
      <c r="A131" t="s">
        <v>63</v>
      </c>
      <c r="B131" s="3">
        <v>37</v>
      </c>
      <c r="C131">
        <v>0</v>
      </c>
      <c r="D131" s="3">
        <v>681.2</v>
      </c>
      <c r="E131">
        <v>0</v>
      </c>
      <c r="F131">
        <v>0</v>
      </c>
      <c r="G131" s="3">
        <v>600</v>
      </c>
      <c r="H131" t="s">
        <v>54</v>
      </c>
      <c r="I131" t="s">
        <v>59</v>
      </c>
      <c r="K131" t="s">
        <v>214</v>
      </c>
      <c r="L131" t="s">
        <v>60</v>
      </c>
      <c r="M131" s="3">
        <v>45692.635393518518</v>
      </c>
      <c r="Q131" t="s">
        <v>54</v>
      </c>
      <c r="R131">
        <v>0</v>
      </c>
      <c r="T131" t="s">
        <v>54</v>
      </c>
      <c r="U131" t="s">
        <v>54</v>
      </c>
      <c r="V131">
        <v>4699</v>
      </c>
      <c r="W131" t="s">
        <v>55</v>
      </c>
    </row>
    <row r="132" spans="1:47" x14ac:dyDescent="0.25">
      <c r="A132" t="s">
        <v>47</v>
      </c>
      <c r="B132" s="1">
        <v>37006</v>
      </c>
      <c r="C132" t="s">
        <v>48</v>
      </c>
      <c r="D132" t="s">
        <v>49</v>
      </c>
      <c r="E132" s="2">
        <v>45692</v>
      </c>
      <c r="F132" t="s">
        <v>175</v>
      </c>
      <c r="G132" t="s">
        <v>93</v>
      </c>
      <c r="H132" s="3">
        <v>1932</v>
      </c>
      <c r="I132" s="3">
        <v>1932</v>
      </c>
      <c r="J132">
        <v>0</v>
      </c>
      <c r="K132" s="3">
        <v>2221.8000000000002</v>
      </c>
      <c r="L132">
        <v>272.16000000000003</v>
      </c>
      <c r="M132" s="3">
        <v>203.58</v>
      </c>
      <c r="N132" t="s">
        <v>105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145</v>
      </c>
      <c r="V132" t="s">
        <v>144</v>
      </c>
      <c r="W132" t="s">
        <v>106</v>
      </c>
      <c r="X132" s="4">
        <v>0</v>
      </c>
      <c r="Y132" t="s">
        <v>62</v>
      </c>
    </row>
    <row r="133" spans="1:47" hidden="1" x14ac:dyDescent="0.25">
      <c r="A133" t="s">
        <v>63</v>
      </c>
      <c r="B133">
        <v>0</v>
      </c>
      <c r="C133">
        <v>0</v>
      </c>
      <c r="D133">
        <v>272.16000000000003</v>
      </c>
      <c r="E133">
        <v>0</v>
      </c>
      <c r="F133">
        <v>0</v>
      </c>
      <c r="G133" s="3">
        <v>70</v>
      </c>
      <c r="H133" t="s">
        <v>54</v>
      </c>
      <c r="I133" t="s">
        <v>59</v>
      </c>
      <c r="J133" t="s">
        <v>142</v>
      </c>
      <c r="K133" t="s">
        <v>214</v>
      </c>
      <c r="L133" t="s">
        <v>73</v>
      </c>
      <c r="M133" s="3">
        <v>45692.704351851855</v>
      </c>
      <c r="Q133" t="s">
        <v>54</v>
      </c>
      <c r="R133">
        <v>0</v>
      </c>
      <c r="T133" t="s">
        <v>54</v>
      </c>
      <c r="U133" t="s">
        <v>54</v>
      </c>
      <c r="V133">
        <v>5509</v>
      </c>
      <c r="W133" t="s">
        <v>55</v>
      </c>
    </row>
    <row r="134" spans="1:47" x14ac:dyDescent="0.25">
      <c r="A134" t="s">
        <v>47</v>
      </c>
      <c r="B134" s="1">
        <v>37007</v>
      </c>
      <c r="C134" t="s">
        <v>48</v>
      </c>
      <c r="D134" t="s">
        <v>49</v>
      </c>
      <c r="E134" s="2">
        <v>45693</v>
      </c>
      <c r="F134" t="s">
        <v>65</v>
      </c>
      <c r="G134" t="s">
        <v>66</v>
      </c>
      <c r="H134" s="3">
        <v>5904</v>
      </c>
      <c r="I134" s="3">
        <v>5904</v>
      </c>
      <c r="J134">
        <v>0</v>
      </c>
      <c r="K134" s="3">
        <v>6789.6</v>
      </c>
      <c r="L134" s="3">
        <v>595.4</v>
      </c>
      <c r="M134" s="3">
        <v>369.15</v>
      </c>
      <c r="N134" t="s">
        <v>172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146</v>
      </c>
      <c r="V134" t="s">
        <v>173</v>
      </c>
      <c r="W134" t="s">
        <v>67</v>
      </c>
      <c r="X134" s="4">
        <v>0</v>
      </c>
      <c r="Y134" t="s">
        <v>58</v>
      </c>
      <c r="Z134">
        <v>0</v>
      </c>
      <c r="AA134">
        <v>0</v>
      </c>
      <c r="AB134">
        <v>595.4</v>
      </c>
      <c r="AC134">
        <v>0</v>
      </c>
      <c r="AD134">
        <v>0</v>
      </c>
      <c r="AE134">
        <v>200</v>
      </c>
      <c r="AF134" t="s">
        <v>54</v>
      </c>
      <c r="AG134" t="s">
        <v>59</v>
      </c>
      <c r="AI134" t="s">
        <v>173</v>
      </c>
      <c r="AJ134" t="s">
        <v>73</v>
      </c>
      <c r="AK134" s="5">
        <v>45693.714537037034</v>
      </c>
      <c r="AO134" t="s">
        <v>54</v>
      </c>
      <c r="AP134">
        <v>0</v>
      </c>
      <c r="AR134" t="s">
        <v>54</v>
      </c>
      <c r="AS134" t="s">
        <v>54</v>
      </c>
      <c r="AT134">
        <v>1269</v>
      </c>
      <c r="AU134" t="s">
        <v>55</v>
      </c>
    </row>
    <row r="135" spans="1:47" x14ac:dyDescent="0.25">
      <c r="A135" t="s">
        <v>95</v>
      </c>
      <c r="B135" s="1">
        <v>37009</v>
      </c>
      <c r="C135" t="s">
        <v>48</v>
      </c>
      <c r="D135" s="3" t="s">
        <v>49</v>
      </c>
      <c r="E135" s="2">
        <v>45693</v>
      </c>
      <c r="F135" t="s">
        <v>140</v>
      </c>
      <c r="G135" s="3" t="s">
        <v>93</v>
      </c>
      <c r="H135" s="3">
        <v>5757.61</v>
      </c>
      <c r="I135" s="3">
        <v>5757.61</v>
      </c>
      <c r="J135">
        <v>0</v>
      </c>
      <c r="K135" s="3">
        <v>5757.61</v>
      </c>
      <c r="L135" s="3">
        <v>1503.73</v>
      </c>
      <c r="M135" s="3">
        <v>436.08</v>
      </c>
      <c r="N135" t="s">
        <v>105</v>
      </c>
      <c r="O135" t="s">
        <v>53</v>
      </c>
      <c r="P135" t="s">
        <v>53</v>
      </c>
      <c r="Q135" t="s">
        <v>53</v>
      </c>
      <c r="R135" t="s">
        <v>54</v>
      </c>
      <c r="S135" t="s">
        <v>54</v>
      </c>
      <c r="T135" t="s">
        <v>55</v>
      </c>
      <c r="U135">
        <v>145</v>
      </c>
      <c r="V135" t="s">
        <v>144</v>
      </c>
      <c r="W135" t="s">
        <v>220</v>
      </c>
      <c r="X135" s="4">
        <v>0</v>
      </c>
      <c r="Y135" t="s">
        <v>58</v>
      </c>
      <c r="Z135" s="3">
        <v>1503.73</v>
      </c>
      <c r="AA135">
        <v>0</v>
      </c>
      <c r="AB135">
        <v>0</v>
      </c>
      <c r="AC135">
        <v>0</v>
      </c>
      <c r="AD135">
        <v>0</v>
      </c>
      <c r="AE135" s="3">
        <v>2792</v>
      </c>
      <c r="AF135" t="s">
        <v>54</v>
      </c>
      <c r="AG135" t="s">
        <v>59</v>
      </c>
      <c r="AH135" t="s">
        <v>142</v>
      </c>
      <c r="AI135" t="s">
        <v>73</v>
      </c>
      <c r="AJ135" t="s">
        <v>73</v>
      </c>
      <c r="AK135" s="5">
        <v>45693.414849537039</v>
      </c>
      <c r="AO135" t="s">
        <v>54</v>
      </c>
      <c r="AP135">
        <v>0</v>
      </c>
      <c r="AR135" t="s">
        <v>54</v>
      </c>
      <c r="AS135" t="s">
        <v>54</v>
      </c>
      <c r="AT135">
        <v>8241</v>
      </c>
      <c r="AU135" t="s">
        <v>55</v>
      </c>
    </row>
    <row r="136" spans="1:47" x14ac:dyDescent="0.25">
      <c r="A136" t="s">
        <v>95</v>
      </c>
      <c r="B136" s="1">
        <v>37010</v>
      </c>
      <c r="C136" t="s">
        <v>48</v>
      </c>
      <c r="D136" t="s">
        <v>49</v>
      </c>
      <c r="E136" s="2">
        <v>45693</v>
      </c>
      <c r="F136" t="s">
        <v>140</v>
      </c>
      <c r="G136" t="s">
        <v>93</v>
      </c>
      <c r="H136" s="3">
        <v>5757.61</v>
      </c>
      <c r="I136" s="3">
        <v>5757.61</v>
      </c>
      <c r="J136">
        <v>0</v>
      </c>
      <c r="K136" s="3">
        <v>5757.61</v>
      </c>
      <c r="L136" s="3">
        <v>1503.73</v>
      </c>
      <c r="M136" s="3">
        <v>436.08</v>
      </c>
      <c r="N136" t="s">
        <v>105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145</v>
      </c>
      <c r="W136" t="s">
        <v>141</v>
      </c>
      <c r="X136" s="4">
        <v>0</v>
      </c>
      <c r="Y136" t="s">
        <v>62</v>
      </c>
      <c r="Z136" s="3"/>
      <c r="AK136" s="5"/>
    </row>
    <row r="137" spans="1:47" hidden="1" x14ac:dyDescent="0.25">
      <c r="A137" t="s">
        <v>63</v>
      </c>
      <c r="B137" s="3">
        <v>1503.73</v>
      </c>
      <c r="C137">
        <v>0</v>
      </c>
      <c r="D137">
        <v>0</v>
      </c>
      <c r="E137" s="2">
        <v>0</v>
      </c>
      <c r="F137">
        <v>0</v>
      </c>
      <c r="G137" s="3">
        <v>2792</v>
      </c>
      <c r="H137" s="3" t="s">
        <v>54</v>
      </c>
      <c r="I137" s="3" t="s">
        <v>59</v>
      </c>
      <c r="J137" t="s">
        <v>142</v>
      </c>
      <c r="K137" s="3" t="s">
        <v>73</v>
      </c>
      <c r="L137" s="3" t="s">
        <v>73</v>
      </c>
      <c r="M137" s="3">
        <v>45693.417824074073</v>
      </c>
      <c r="Q137" t="s">
        <v>54</v>
      </c>
      <c r="R137">
        <v>0</v>
      </c>
      <c r="T137" t="s">
        <v>54</v>
      </c>
      <c r="U137" t="s">
        <v>54</v>
      </c>
      <c r="V137">
        <v>8241</v>
      </c>
      <c r="W137" t="s">
        <v>55</v>
      </c>
      <c r="X137" s="4"/>
      <c r="AB137" s="3"/>
      <c r="AE137" s="3"/>
      <c r="AK137" s="5"/>
    </row>
    <row r="138" spans="1:47" x14ac:dyDescent="0.25">
      <c r="A138" t="s">
        <v>95</v>
      </c>
      <c r="B138" s="1">
        <v>37013</v>
      </c>
      <c r="C138" t="s">
        <v>48</v>
      </c>
      <c r="D138" t="s">
        <v>49</v>
      </c>
      <c r="E138" s="2">
        <v>45693</v>
      </c>
      <c r="F138" t="s">
        <v>216</v>
      </c>
      <c r="G138" t="s">
        <v>163</v>
      </c>
      <c r="H138" s="3">
        <v>6045</v>
      </c>
      <c r="I138" s="3">
        <v>6045</v>
      </c>
      <c r="J138">
        <v>0</v>
      </c>
      <c r="K138" s="3">
        <v>6045</v>
      </c>
      <c r="L138" s="3">
        <v>1186.5</v>
      </c>
      <c r="M138" s="3">
        <v>557.66</v>
      </c>
      <c r="N138" t="s">
        <v>105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145</v>
      </c>
      <c r="V138" t="s">
        <v>144</v>
      </c>
      <c r="W138" t="s">
        <v>151</v>
      </c>
      <c r="X138" s="4">
        <v>0</v>
      </c>
      <c r="Y138" t="s">
        <v>58</v>
      </c>
      <c r="Z138" s="3">
        <v>0</v>
      </c>
      <c r="AA138">
        <v>0</v>
      </c>
      <c r="AB138">
        <v>0</v>
      </c>
      <c r="AC138">
        <v>0</v>
      </c>
      <c r="AD138" s="3">
        <v>1186.5</v>
      </c>
      <c r="AE138" s="3">
        <v>1500</v>
      </c>
      <c r="AF138" t="s">
        <v>54</v>
      </c>
      <c r="AG138" t="s">
        <v>59</v>
      </c>
      <c r="AI138" t="s">
        <v>73</v>
      </c>
      <c r="AJ138" t="s">
        <v>73</v>
      </c>
      <c r="AK138" s="5">
        <v>45693.635289351849</v>
      </c>
      <c r="AO138" t="s">
        <v>54</v>
      </c>
      <c r="AP138">
        <v>0</v>
      </c>
      <c r="AR138" t="s">
        <v>54</v>
      </c>
      <c r="AS138" t="s">
        <v>54</v>
      </c>
      <c r="AT138">
        <v>554</v>
      </c>
      <c r="AU138" t="s">
        <v>55</v>
      </c>
    </row>
    <row r="139" spans="1:47" hidden="1" x14ac:dyDescent="0.25">
      <c r="A139" t="s">
        <v>47</v>
      </c>
      <c r="B139" s="1">
        <v>37016</v>
      </c>
      <c r="C139" t="s">
        <v>48</v>
      </c>
      <c r="D139" t="s">
        <v>49</v>
      </c>
      <c r="E139" s="2">
        <v>45694</v>
      </c>
      <c r="F139" t="s">
        <v>217</v>
      </c>
      <c r="G139" t="s">
        <v>69</v>
      </c>
      <c r="H139" s="3">
        <v>11960</v>
      </c>
      <c r="I139" s="3">
        <v>11960</v>
      </c>
      <c r="J139">
        <v>0</v>
      </c>
      <c r="K139" s="3">
        <v>13754</v>
      </c>
      <c r="L139" s="3">
        <v>1730.8</v>
      </c>
      <c r="M139" s="3">
        <v>995.21</v>
      </c>
      <c r="N139" t="s">
        <v>105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145</v>
      </c>
      <c r="V139" t="s">
        <v>144</v>
      </c>
      <c r="W139">
        <v>10</v>
      </c>
      <c r="X139" s="4">
        <v>0</v>
      </c>
      <c r="Y139" t="s">
        <v>62</v>
      </c>
      <c r="Z139" s="3"/>
      <c r="AB139" s="3"/>
      <c r="AE139" s="3"/>
      <c r="AK139" s="5"/>
    </row>
    <row r="140" spans="1:47" hidden="1" x14ac:dyDescent="0.25">
      <c r="A140" t="s">
        <v>63</v>
      </c>
      <c r="B140" s="1">
        <v>0</v>
      </c>
      <c r="C140" s="3">
        <v>0</v>
      </c>
      <c r="D140" s="3">
        <v>1730.8</v>
      </c>
      <c r="E140" s="2">
        <v>0</v>
      </c>
      <c r="F140">
        <v>0</v>
      </c>
      <c r="G140" s="3">
        <v>800</v>
      </c>
      <c r="H140" s="3" t="s">
        <v>54</v>
      </c>
      <c r="I140" s="3" t="s">
        <v>59</v>
      </c>
      <c r="J140" t="s">
        <v>79</v>
      </c>
      <c r="K140" s="3" t="s">
        <v>73</v>
      </c>
      <c r="L140" s="3" t="s">
        <v>73</v>
      </c>
      <c r="M140" s="3">
        <v>45694.727164351854</v>
      </c>
      <c r="Q140" t="s">
        <v>54</v>
      </c>
      <c r="R140">
        <v>0</v>
      </c>
      <c r="T140" t="s">
        <v>54</v>
      </c>
      <c r="U140" t="s">
        <v>54</v>
      </c>
      <c r="V140">
        <v>8270</v>
      </c>
      <c r="W140" t="s">
        <v>55</v>
      </c>
      <c r="X140" s="4"/>
      <c r="AB140" s="3"/>
      <c r="AE140" s="3"/>
      <c r="AK140" s="5"/>
    </row>
    <row r="141" spans="1:47" hidden="1" x14ac:dyDescent="0.25">
      <c r="A141" t="s">
        <v>47</v>
      </c>
      <c r="B141" s="1">
        <v>37017</v>
      </c>
      <c r="C141" t="s">
        <v>48</v>
      </c>
      <c r="D141" t="s">
        <v>49</v>
      </c>
      <c r="E141" s="2">
        <v>45694</v>
      </c>
      <c r="F141" t="s">
        <v>148</v>
      </c>
      <c r="G141" t="s">
        <v>66</v>
      </c>
      <c r="H141" s="3">
        <v>4941.6000000000004</v>
      </c>
      <c r="I141" s="3">
        <v>4941.6000000000004</v>
      </c>
      <c r="J141">
        <v>0</v>
      </c>
      <c r="K141" s="3">
        <v>5296.27</v>
      </c>
      <c r="L141" s="3">
        <v>707.34</v>
      </c>
      <c r="M141" s="3">
        <v>318.14999999999998</v>
      </c>
      <c r="N141" t="s">
        <v>83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9</v>
      </c>
      <c r="V141" t="s">
        <v>71</v>
      </c>
      <c r="W141" t="s">
        <v>57</v>
      </c>
      <c r="X141" s="4">
        <v>0</v>
      </c>
      <c r="Y141" t="s">
        <v>58</v>
      </c>
      <c r="Z141">
        <v>530</v>
      </c>
      <c r="AA141">
        <v>0</v>
      </c>
      <c r="AB141" s="3">
        <v>177.34</v>
      </c>
      <c r="AC141">
        <v>0</v>
      </c>
      <c r="AD141">
        <v>0</v>
      </c>
      <c r="AE141" s="3">
        <v>1050</v>
      </c>
      <c r="AF141" t="s">
        <v>54</v>
      </c>
      <c r="AG141" t="s">
        <v>59</v>
      </c>
      <c r="AI141" t="s">
        <v>73</v>
      </c>
      <c r="AJ141" t="s">
        <v>73</v>
      </c>
      <c r="AK141" s="5">
        <v>45694.640439814815</v>
      </c>
      <c r="AO141" t="s">
        <v>54</v>
      </c>
      <c r="AP141">
        <v>0</v>
      </c>
      <c r="AR141" t="s">
        <v>54</v>
      </c>
      <c r="AS141" t="s">
        <v>54</v>
      </c>
      <c r="AT141">
        <v>1009</v>
      </c>
      <c r="AU141" t="s">
        <v>55</v>
      </c>
    </row>
    <row r="142" spans="1:47" hidden="1" x14ac:dyDescent="0.25">
      <c r="A142" t="s">
        <v>47</v>
      </c>
      <c r="B142" s="1">
        <v>37018</v>
      </c>
      <c r="C142" t="s">
        <v>48</v>
      </c>
      <c r="D142" t="s">
        <v>49</v>
      </c>
      <c r="E142" s="2">
        <v>45694</v>
      </c>
      <c r="F142" t="s">
        <v>148</v>
      </c>
      <c r="G142" t="s">
        <v>66</v>
      </c>
      <c r="H142" s="3">
        <v>945.6</v>
      </c>
      <c r="I142" s="3">
        <v>945.6</v>
      </c>
      <c r="J142">
        <v>0</v>
      </c>
      <c r="K142" s="3">
        <v>1087.44</v>
      </c>
      <c r="L142" s="3">
        <v>117.3</v>
      </c>
      <c r="M142" s="3">
        <v>87.74</v>
      </c>
      <c r="N142" t="s">
        <v>83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9</v>
      </c>
      <c r="V142" t="s">
        <v>71</v>
      </c>
      <c r="W142" t="s">
        <v>57</v>
      </c>
      <c r="X142" s="4">
        <v>0</v>
      </c>
      <c r="Y142" t="s">
        <v>58</v>
      </c>
      <c r="Z142" s="3">
        <v>0</v>
      </c>
      <c r="AA142">
        <v>0</v>
      </c>
      <c r="AB142">
        <v>117.3</v>
      </c>
      <c r="AC142">
        <v>0</v>
      </c>
      <c r="AD142">
        <v>0</v>
      </c>
      <c r="AE142" s="3">
        <v>30</v>
      </c>
      <c r="AF142" t="s">
        <v>54</v>
      </c>
      <c r="AG142" t="s">
        <v>59</v>
      </c>
      <c r="AI142" t="s">
        <v>73</v>
      </c>
      <c r="AJ142" t="s">
        <v>73</v>
      </c>
      <c r="AK142" s="5">
        <v>45694.642060185186</v>
      </c>
      <c r="AO142" t="s">
        <v>54</v>
      </c>
      <c r="AP142">
        <v>0</v>
      </c>
      <c r="AR142" t="s">
        <v>54</v>
      </c>
      <c r="AS142" t="s">
        <v>54</v>
      </c>
      <c r="AT142">
        <v>1009</v>
      </c>
      <c r="AU142" t="s">
        <v>55</v>
      </c>
    </row>
    <row r="143" spans="1:47" hidden="1" x14ac:dyDescent="0.25">
      <c r="A143" t="s">
        <v>47</v>
      </c>
      <c r="B143" s="1">
        <v>37019</v>
      </c>
      <c r="C143" t="s">
        <v>48</v>
      </c>
      <c r="D143" t="s">
        <v>49</v>
      </c>
      <c r="E143" s="2">
        <v>45694</v>
      </c>
      <c r="F143" t="s">
        <v>148</v>
      </c>
      <c r="G143" t="s">
        <v>66</v>
      </c>
      <c r="H143" s="3">
        <v>4941.6000000000004</v>
      </c>
      <c r="I143" s="3">
        <v>4941.6000000000004</v>
      </c>
      <c r="J143">
        <v>0</v>
      </c>
      <c r="K143" s="3">
        <v>5296.27</v>
      </c>
      <c r="L143" s="3">
        <v>707.34</v>
      </c>
      <c r="M143" s="3">
        <v>318.14999999999998</v>
      </c>
      <c r="N143" t="s">
        <v>83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9</v>
      </c>
      <c r="V143" t="s">
        <v>71</v>
      </c>
      <c r="W143" t="s">
        <v>57</v>
      </c>
      <c r="X143" s="4">
        <v>0</v>
      </c>
      <c r="Y143" t="s">
        <v>58</v>
      </c>
      <c r="Z143" s="3">
        <v>530</v>
      </c>
      <c r="AA143">
        <v>0</v>
      </c>
      <c r="AB143">
        <v>177.34</v>
      </c>
      <c r="AC143">
        <v>0</v>
      </c>
      <c r="AD143">
        <v>0</v>
      </c>
      <c r="AE143" s="3">
        <v>1050</v>
      </c>
      <c r="AF143" t="s">
        <v>54</v>
      </c>
      <c r="AG143" t="s">
        <v>59</v>
      </c>
      <c r="AI143" t="s">
        <v>73</v>
      </c>
      <c r="AJ143" t="s">
        <v>73</v>
      </c>
      <c r="AK143" s="5">
        <v>45694.642129629632</v>
      </c>
      <c r="AO143" t="s">
        <v>54</v>
      </c>
      <c r="AP143">
        <v>0</v>
      </c>
      <c r="AR143" t="s">
        <v>54</v>
      </c>
      <c r="AS143" t="s">
        <v>54</v>
      </c>
      <c r="AT143">
        <v>1009</v>
      </c>
      <c r="AU143" t="s">
        <v>55</v>
      </c>
    </row>
    <row r="144" spans="1:47" hidden="1" x14ac:dyDescent="0.25">
      <c r="A144" t="s">
        <v>47</v>
      </c>
      <c r="B144" s="1">
        <v>37020</v>
      </c>
      <c r="C144" t="s">
        <v>48</v>
      </c>
      <c r="D144" t="s">
        <v>49</v>
      </c>
      <c r="E144" s="2">
        <v>45694</v>
      </c>
      <c r="F144" t="s">
        <v>148</v>
      </c>
      <c r="G144" t="s">
        <v>66</v>
      </c>
      <c r="H144" s="3">
        <v>4235.6000000000004</v>
      </c>
      <c r="I144" s="3">
        <v>4235.6000000000004</v>
      </c>
      <c r="J144">
        <v>0</v>
      </c>
      <c r="K144" s="3">
        <v>4870.9399999999996</v>
      </c>
      <c r="L144" s="3">
        <v>869.3</v>
      </c>
      <c r="M144" s="3">
        <v>363.72</v>
      </c>
      <c r="N144" t="s">
        <v>83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9</v>
      </c>
      <c r="V144" t="s">
        <v>71</v>
      </c>
      <c r="W144" t="s">
        <v>57</v>
      </c>
      <c r="X144" s="4">
        <v>0</v>
      </c>
      <c r="Y144" t="s">
        <v>58</v>
      </c>
      <c r="Z144">
        <v>752</v>
      </c>
      <c r="AA144">
        <v>0</v>
      </c>
      <c r="AB144">
        <v>117.3</v>
      </c>
      <c r="AC144">
        <v>0</v>
      </c>
      <c r="AD144" s="3">
        <v>0</v>
      </c>
      <c r="AE144" s="3">
        <v>1030</v>
      </c>
      <c r="AF144" t="s">
        <v>54</v>
      </c>
      <c r="AG144" t="s">
        <v>59</v>
      </c>
      <c r="AI144" t="s">
        <v>73</v>
      </c>
      <c r="AJ144" t="s">
        <v>73</v>
      </c>
      <c r="AK144" s="5">
        <v>45694.642210648148</v>
      </c>
      <c r="AO144" t="s">
        <v>54</v>
      </c>
      <c r="AP144">
        <v>0</v>
      </c>
      <c r="AR144" t="s">
        <v>54</v>
      </c>
      <c r="AS144" t="s">
        <v>54</v>
      </c>
      <c r="AT144">
        <v>1009</v>
      </c>
      <c r="AU144" t="s">
        <v>55</v>
      </c>
    </row>
    <row r="145" spans="1:47" hidden="1" x14ac:dyDescent="0.25">
      <c r="A145" t="s">
        <v>47</v>
      </c>
      <c r="B145" s="1">
        <v>37021</v>
      </c>
      <c r="C145" t="s">
        <v>48</v>
      </c>
      <c r="D145" t="s">
        <v>49</v>
      </c>
      <c r="E145" s="2">
        <v>45694</v>
      </c>
      <c r="F145" t="s">
        <v>148</v>
      </c>
      <c r="G145" s="3" t="s">
        <v>66</v>
      </c>
      <c r="H145" s="3">
        <v>1459</v>
      </c>
      <c r="I145" s="3">
        <v>1459</v>
      </c>
      <c r="J145">
        <v>0</v>
      </c>
      <c r="K145" s="3">
        <v>1677.85</v>
      </c>
      <c r="L145" s="3">
        <v>145.12</v>
      </c>
      <c r="M145" s="3">
        <v>108.55</v>
      </c>
      <c r="N145" t="s">
        <v>83</v>
      </c>
      <c r="O145" t="s">
        <v>53</v>
      </c>
      <c r="P145" t="s">
        <v>53</v>
      </c>
      <c r="Q145" t="s">
        <v>53</v>
      </c>
      <c r="R145" t="s">
        <v>54</v>
      </c>
      <c r="S145" t="s">
        <v>54</v>
      </c>
      <c r="T145" t="s">
        <v>55</v>
      </c>
      <c r="U145">
        <v>9</v>
      </c>
      <c r="V145" t="s">
        <v>71</v>
      </c>
      <c r="W145" t="s">
        <v>57</v>
      </c>
      <c r="X145" s="4">
        <v>0</v>
      </c>
      <c r="Y145" t="s">
        <v>58</v>
      </c>
      <c r="Z145">
        <v>0</v>
      </c>
      <c r="AA145">
        <v>0</v>
      </c>
      <c r="AB145">
        <v>145.12</v>
      </c>
      <c r="AC145">
        <v>0</v>
      </c>
      <c r="AD145" s="3">
        <v>0</v>
      </c>
      <c r="AE145" s="3">
        <v>40</v>
      </c>
      <c r="AF145" t="s">
        <v>54</v>
      </c>
      <c r="AG145" t="s">
        <v>59</v>
      </c>
      <c r="AI145" t="s">
        <v>73</v>
      </c>
      <c r="AJ145" t="s">
        <v>73</v>
      </c>
      <c r="AK145" s="5">
        <v>45694.642280092594</v>
      </c>
      <c r="AO145" t="s">
        <v>54</v>
      </c>
      <c r="AP145">
        <v>0</v>
      </c>
      <c r="AR145" t="s">
        <v>54</v>
      </c>
      <c r="AS145" t="s">
        <v>54</v>
      </c>
      <c r="AT145">
        <v>1009</v>
      </c>
      <c r="AU145" t="s">
        <v>55</v>
      </c>
    </row>
    <row r="146" spans="1:47" hidden="1" x14ac:dyDescent="0.25">
      <c r="A146" t="s">
        <v>47</v>
      </c>
      <c r="B146" s="1">
        <v>37025</v>
      </c>
      <c r="C146" t="s">
        <v>48</v>
      </c>
      <c r="D146" t="s">
        <v>49</v>
      </c>
      <c r="E146" s="2">
        <v>45695</v>
      </c>
      <c r="F146" t="s">
        <v>431</v>
      </c>
      <c r="G146" t="s">
        <v>213</v>
      </c>
      <c r="H146" s="3">
        <v>10752</v>
      </c>
      <c r="I146" s="3">
        <v>10752</v>
      </c>
      <c r="J146">
        <v>0</v>
      </c>
      <c r="K146" s="3">
        <v>12364.8</v>
      </c>
      <c r="L146" s="3">
        <v>2008.8</v>
      </c>
      <c r="M146" s="3">
        <v>857.52</v>
      </c>
      <c r="N146" t="s">
        <v>105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145</v>
      </c>
      <c r="V146" t="s">
        <v>144</v>
      </c>
      <c r="W146" t="s">
        <v>94</v>
      </c>
      <c r="X146" s="4">
        <v>0</v>
      </c>
      <c r="Y146" t="s">
        <v>58</v>
      </c>
      <c r="Z146" s="3">
        <v>523.20000000000005</v>
      </c>
      <c r="AA146" s="3">
        <v>1485.6</v>
      </c>
      <c r="AB146">
        <v>0</v>
      </c>
      <c r="AC146">
        <v>0</v>
      </c>
      <c r="AD146">
        <v>0</v>
      </c>
      <c r="AE146" s="3">
        <v>1800</v>
      </c>
      <c r="AF146" t="s">
        <v>54</v>
      </c>
      <c r="AG146" t="s">
        <v>59</v>
      </c>
      <c r="AI146" t="s">
        <v>73</v>
      </c>
      <c r="AJ146" t="s">
        <v>73</v>
      </c>
      <c r="AK146" s="5">
        <v>45700.360011574077</v>
      </c>
      <c r="AO146" t="s">
        <v>54</v>
      </c>
      <c r="AP146">
        <v>0</v>
      </c>
      <c r="AR146" t="s">
        <v>54</v>
      </c>
      <c r="AS146" t="s">
        <v>54</v>
      </c>
      <c r="AT146">
        <v>5568</v>
      </c>
      <c r="AU146" t="s">
        <v>55</v>
      </c>
    </row>
    <row r="147" spans="1:47" hidden="1" x14ac:dyDescent="0.25">
      <c r="A147" t="s">
        <v>47</v>
      </c>
      <c r="B147" s="1">
        <v>37026</v>
      </c>
      <c r="C147" t="s">
        <v>48</v>
      </c>
      <c r="D147" t="s">
        <v>49</v>
      </c>
      <c r="E147" s="2">
        <v>45695</v>
      </c>
      <c r="F147" t="s">
        <v>431</v>
      </c>
      <c r="G147" t="s">
        <v>213</v>
      </c>
      <c r="H147" s="3">
        <v>10752</v>
      </c>
      <c r="I147" s="3">
        <v>10752</v>
      </c>
      <c r="J147">
        <v>0</v>
      </c>
      <c r="K147" s="3">
        <v>12364.8</v>
      </c>
      <c r="L147" s="3">
        <v>2016</v>
      </c>
      <c r="M147" s="3">
        <v>929.37</v>
      </c>
      <c r="N147" t="s">
        <v>105</v>
      </c>
      <c r="O147" t="s">
        <v>53</v>
      </c>
      <c r="P147" t="s">
        <v>53</v>
      </c>
      <c r="Q147" t="s">
        <v>53</v>
      </c>
      <c r="R147" t="s">
        <v>54</v>
      </c>
      <c r="S147" t="s">
        <v>54</v>
      </c>
      <c r="T147" t="s">
        <v>55</v>
      </c>
      <c r="U147">
        <v>145</v>
      </c>
      <c r="V147" t="s">
        <v>144</v>
      </c>
      <c r="W147" t="s">
        <v>94</v>
      </c>
      <c r="X147" s="4">
        <v>0</v>
      </c>
      <c r="Y147" t="s">
        <v>58</v>
      </c>
      <c r="Z147">
        <v>0</v>
      </c>
      <c r="AA147" s="3">
        <v>2016</v>
      </c>
      <c r="AB147">
        <v>0</v>
      </c>
      <c r="AC147">
        <v>0</v>
      </c>
      <c r="AD147">
        <v>0</v>
      </c>
      <c r="AE147" s="3">
        <v>1800</v>
      </c>
      <c r="AF147" t="s">
        <v>54</v>
      </c>
      <c r="AG147" t="s">
        <v>59</v>
      </c>
      <c r="AI147" t="s">
        <v>73</v>
      </c>
      <c r="AJ147" t="s">
        <v>73</v>
      </c>
      <c r="AK147" s="5">
        <v>45700.360138888886</v>
      </c>
      <c r="AO147" t="s">
        <v>54</v>
      </c>
      <c r="AP147">
        <v>0</v>
      </c>
      <c r="AR147" t="s">
        <v>54</v>
      </c>
      <c r="AS147" t="s">
        <v>54</v>
      </c>
      <c r="AT147">
        <v>5568</v>
      </c>
      <c r="AU147" t="s">
        <v>55</v>
      </c>
    </row>
    <row r="148" spans="1:47" hidden="1" x14ac:dyDescent="0.25">
      <c r="A148" t="s">
        <v>47</v>
      </c>
      <c r="B148" s="1">
        <v>37027</v>
      </c>
      <c r="C148" t="s">
        <v>48</v>
      </c>
      <c r="D148" s="3" t="s">
        <v>49</v>
      </c>
      <c r="E148" s="2">
        <v>45695</v>
      </c>
      <c r="F148" t="s">
        <v>209</v>
      </c>
      <c r="G148" s="3" t="s">
        <v>136</v>
      </c>
      <c r="H148" s="3">
        <v>46460</v>
      </c>
      <c r="I148" s="3">
        <v>46460</v>
      </c>
      <c r="J148">
        <v>0</v>
      </c>
      <c r="K148" s="3">
        <v>53429</v>
      </c>
      <c r="L148" s="3">
        <v>6740</v>
      </c>
      <c r="M148" s="3">
        <v>4178.8</v>
      </c>
      <c r="N148" t="s">
        <v>83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9</v>
      </c>
      <c r="W148" t="s">
        <v>141</v>
      </c>
      <c r="X148" s="4">
        <v>0</v>
      </c>
      <c r="Y148" t="s">
        <v>58</v>
      </c>
      <c r="Z148">
        <v>0</v>
      </c>
      <c r="AA148">
        <v>0</v>
      </c>
      <c r="AB148" s="3">
        <v>6740</v>
      </c>
      <c r="AC148">
        <v>0</v>
      </c>
      <c r="AD148">
        <v>0</v>
      </c>
      <c r="AE148" s="3">
        <v>8000</v>
      </c>
      <c r="AF148" t="s">
        <v>54</v>
      </c>
      <c r="AG148" t="s">
        <v>59</v>
      </c>
      <c r="AI148" t="s">
        <v>60</v>
      </c>
      <c r="AJ148" t="s">
        <v>60</v>
      </c>
      <c r="AK148" s="5">
        <v>45695.688993055555</v>
      </c>
      <c r="AO148" t="s">
        <v>54</v>
      </c>
      <c r="AP148">
        <v>0</v>
      </c>
      <c r="AR148" t="s">
        <v>54</v>
      </c>
      <c r="AS148" t="s">
        <v>54</v>
      </c>
      <c r="AT148">
        <v>3923</v>
      </c>
      <c r="AU148" t="s">
        <v>55</v>
      </c>
    </row>
    <row r="149" spans="1:47" hidden="1" x14ac:dyDescent="0.25">
      <c r="A149" t="s">
        <v>95</v>
      </c>
      <c r="B149" s="1">
        <v>37028</v>
      </c>
      <c r="C149" t="s">
        <v>48</v>
      </c>
      <c r="D149" t="s">
        <v>49</v>
      </c>
      <c r="E149" s="2">
        <v>45695</v>
      </c>
      <c r="F149" t="s">
        <v>221</v>
      </c>
      <c r="G149" s="3" t="s">
        <v>222</v>
      </c>
      <c r="H149" s="3">
        <v>4365</v>
      </c>
      <c r="I149" s="3">
        <v>4365</v>
      </c>
      <c r="J149">
        <v>0</v>
      </c>
      <c r="K149" s="3">
        <v>4365</v>
      </c>
      <c r="L149" s="3">
        <v>1023</v>
      </c>
      <c r="M149" s="3">
        <v>329.79</v>
      </c>
      <c r="N149" t="s">
        <v>172</v>
      </c>
      <c r="O149" t="s">
        <v>53</v>
      </c>
      <c r="P149" t="s">
        <v>53</v>
      </c>
      <c r="Q149" t="s">
        <v>53</v>
      </c>
      <c r="R149" t="s">
        <v>54</v>
      </c>
      <c r="S149" t="s">
        <v>54</v>
      </c>
      <c r="T149" t="s">
        <v>55</v>
      </c>
      <c r="U149">
        <v>146</v>
      </c>
      <c r="V149" t="s">
        <v>173</v>
      </c>
      <c r="W149" t="s">
        <v>94</v>
      </c>
      <c r="X149" s="4">
        <v>0</v>
      </c>
      <c r="Y149" t="s">
        <v>58</v>
      </c>
      <c r="Z149" s="3">
        <v>1023</v>
      </c>
      <c r="AA149">
        <v>0</v>
      </c>
      <c r="AB149" s="3">
        <v>0</v>
      </c>
      <c r="AC149">
        <v>0</v>
      </c>
      <c r="AD149">
        <v>0</v>
      </c>
      <c r="AE149" s="3">
        <v>2000</v>
      </c>
      <c r="AF149" t="s">
        <v>54</v>
      </c>
      <c r="AG149" t="s">
        <v>59</v>
      </c>
      <c r="AI149" t="s">
        <v>173</v>
      </c>
      <c r="AJ149" t="s">
        <v>73</v>
      </c>
      <c r="AK149" s="5">
        <v>45695.641863425924</v>
      </c>
      <c r="AO149" t="s">
        <v>54</v>
      </c>
      <c r="AP149">
        <v>0</v>
      </c>
      <c r="AR149" t="s">
        <v>54</v>
      </c>
      <c r="AS149" t="s">
        <v>54</v>
      </c>
      <c r="AT149">
        <v>5478</v>
      </c>
      <c r="AU149" t="s">
        <v>55</v>
      </c>
    </row>
    <row r="150" spans="1:47" hidden="1" x14ac:dyDescent="0.25">
      <c r="A150" t="s">
        <v>95</v>
      </c>
      <c r="B150" s="1">
        <v>37029</v>
      </c>
      <c r="C150" t="s">
        <v>48</v>
      </c>
      <c r="D150" t="s">
        <v>49</v>
      </c>
      <c r="E150" s="2">
        <v>45695</v>
      </c>
      <c r="F150" t="s">
        <v>143</v>
      </c>
      <c r="G150" t="s">
        <v>66</v>
      </c>
      <c r="H150" s="3">
        <v>15400</v>
      </c>
      <c r="I150" s="3">
        <v>15400</v>
      </c>
      <c r="J150">
        <v>0</v>
      </c>
      <c r="K150" s="3">
        <v>15400</v>
      </c>
      <c r="L150" s="3">
        <v>2910</v>
      </c>
      <c r="M150" s="3">
        <v>1367.7</v>
      </c>
      <c r="N150" t="s">
        <v>105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145</v>
      </c>
      <c r="V150" t="s">
        <v>144</v>
      </c>
      <c r="W150" t="s">
        <v>84</v>
      </c>
      <c r="X150" s="4">
        <v>0</v>
      </c>
      <c r="Y150" t="s">
        <v>58</v>
      </c>
      <c r="Z150">
        <v>0</v>
      </c>
      <c r="AA150">
        <v>0</v>
      </c>
      <c r="AB150">
        <v>0</v>
      </c>
      <c r="AC150">
        <v>0</v>
      </c>
      <c r="AD150" s="3">
        <v>2910</v>
      </c>
      <c r="AE150" s="3">
        <v>5000</v>
      </c>
      <c r="AF150" t="s">
        <v>54</v>
      </c>
      <c r="AG150" t="s">
        <v>59</v>
      </c>
      <c r="AI150" t="s">
        <v>73</v>
      </c>
      <c r="AJ150" t="s">
        <v>73</v>
      </c>
      <c r="AK150" s="5">
        <v>45695.590081018519</v>
      </c>
      <c r="AO150" t="s">
        <v>54</v>
      </c>
      <c r="AP150">
        <v>0</v>
      </c>
      <c r="AR150" t="s">
        <v>54</v>
      </c>
      <c r="AS150" t="s">
        <v>54</v>
      </c>
      <c r="AT150">
        <v>1301</v>
      </c>
      <c r="AU150" t="s">
        <v>55</v>
      </c>
    </row>
    <row r="151" spans="1:47" hidden="1" x14ac:dyDescent="0.25">
      <c r="A151" t="s">
        <v>47</v>
      </c>
      <c r="B151" s="1">
        <v>37039</v>
      </c>
      <c r="C151" t="s">
        <v>48</v>
      </c>
      <c r="D151" t="s">
        <v>49</v>
      </c>
      <c r="E151" s="2">
        <v>45698</v>
      </c>
      <c r="F151" t="s">
        <v>65</v>
      </c>
      <c r="G151" s="3" t="s">
        <v>66</v>
      </c>
      <c r="H151" s="3">
        <v>7381</v>
      </c>
      <c r="I151" s="3">
        <v>7381</v>
      </c>
      <c r="J151">
        <v>0</v>
      </c>
      <c r="K151" s="3">
        <v>8488.15</v>
      </c>
      <c r="L151" s="3">
        <v>726.25</v>
      </c>
      <c r="M151" s="3">
        <v>450.27</v>
      </c>
      <c r="N151" t="s">
        <v>172</v>
      </c>
      <c r="O151" t="s">
        <v>53</v>
      </c>
      <c r="P151" t="s">
        <v>53</v>
      </c>
      <c r="Q151" t="s">
        <v>53</v>
      </c>
      <c r="R151" t="s">
        <v>54</v>
      </c>
      <c r="S151" t="s">
        <v>54</v>
      </c>
      <c r="T151" t="s">
        <v>55</v>
      </c>
      <c r="U151">
        <v>146</v>
      </c>
      <c r="V151" t="s">
        <v>173</v>
      </c>
      <c r="W151" t="s">
        <v>67</v>
      </c>
      <c r="X151" s="4">
        <v>0</v>
      </c>
      <c r="Y151" t="s">
        <v>58</v>
      </c>
      <c r="Z151">
        <v>0</v>
      </c>
      <c r="AA151">
        <v>0</v>
      </c>
      <c r="AB151" s="3">
        <v>726.25</v>
      </c>
      <c r="AC151">
        <v>0</v>
      </c>
      <c r="AD151">
        <v>0</v>
      </c>
      <c r="AE151">
        <v>250</v>
      </c>
      <c r="AF151" t="s">
        <v>54</v>
      </c>
      <c r="AG151" t="s">
        <v>59</v>
      </c>
      <c r="AI151" t="s">
        <v>173</v>
      </c>
      <c r="AJ151" t="s">
        <v>73</v>
      </c>
      <c r="AK151" s="5">
        <v>45698.598761574074</v>
      </c>
      <c r="AO151" t="s">
        <v>54</v>
      </c>
      <c r="AP151">
        <v>0</v>
      </c>
      <c r="AR151" t="s">
        <v>54</v>
      </c>
      <c r="AS151" t="s">
        <v>54</v>
      </c>
      <c r="AT151">
        <v>1269</v>
      </c>
      <c r="AU151" t="s">
        <v>55</v>
      </c>
    </row>
    <row r="152" spans="1:47" hidden="1" x14ac:dyDescent="0.25">
      <c r="A152" t="s">
        <v>47</v>
      </c>
      <c r="B152" s="1">
        <v>37040</v>
      </c>
      <c r="C152" t="s">
        <v>48</v>
      </c>
      <c r="D152" t="s">
        <v>49</v>
      </c>
      <c r="E152" s="2">
        <v>45698</v>
      </c>
      <c r="F152" t="s">
        <v>433</v>
      </c>
      <c r="G152" t="s">
        <v>163</v>
      </c>
      <c r="H152" s="3">
        <v>2680</v>
      </c>
      <c r="I152" s="3">
        <v>2680</v>
      </c>
      <c r="J152">
        <v>0</v>
      </c>
      <c r="K152" s="3">
        <v>3082</v>
      </c>
      <c r="L152" s="3">
        <v>232</v>
      </c>
      <c r="M152" s="3">
        <v>133.4</v>
      </c>
      <c r="N152" t="s">
        <v>105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144</v>
      </c>
      <c r="W152" t="s">
        <v>434</v>
      </c>
      <c r="X152" s="4">
        <v>0</v>
      </c>
      <c r="Z152">
        <v>0</v>
      </c>
      <c r="AA152">
        <v>0</v>
      </c>
      <c r="AB152">
        <v>232</v>
      </c>
      <c r="AC152">
        <v>0</v>
      </c>
      <c r="AD152" s="3">
        <v>0</v>
      </c>
      <c r="AE152" s="3">
        <v>400</v>
      </c>
      <c r="AF152" t="s">
        <v>54</v>
      </c>
      <c r="AG152" t="s">
        <v>59</v>
      </c>
      <c r="AH152" t="s">
        <v>435</v>
      </c>
      <c r="AI152" t="s">
        <v>214</v>
      </c>
      <c r="AJ152" t="s">
        <v>73</v>
      </c>
      <c r="AK152" s="5">
        <v>45698.670520833337</v>
      </c>
      <c r="AO152" t="s">
        <v>54</v>
      </c>
      <c r="AP152">
        <v>0</v>
      </c>
      <c r="AR152" t="s">
        <v>54</v>
      </c>
      <c r="AS152" t="s">
        <v>54</v>
      </c>
      <c r="AT152">
        <v>6815</v>
      </c>
      <c r="AU152" t="s">
        <v>55</v>
      </c>
    </row>
    <row r="153" spans="1:47" hidden="1" x14ac:dyDescent="0.25">
      <c r="A153" t="s">
        <v>47</v>
      </c>
      <c r="B153" s="1">
        <v>37043</v>
      </c>
      <c r="C153" t="s">
        <v>48</v>
      </c>
      <c r="D153" s="3" t="s">
        <v>49</v>
      </c>
      <c r="E153" s="2">
        <v>45699</v>
      </c>
      <c r="F153" t="s">
        <v>110</v>
      </c>
      <c r="G153" s="3" t="s">
        <v>69</v>
      </c>
      <c r="H153" s="3">
        <v>17275</v>
      </c>
      <c r="I153" s="3">
        <v>17275</v>
      </c>
      <c r="J153">
        <v>0</v>
      </c>
      <c r="K153" s="3">
        <v>19866.25</v>
      </c>
      <c r="L153" s="3">
        <v>4027.5</v>
      </c>
      <c r="M153" s="3">
        <v>1570.73</v>
      </c>
      <c r="N153" t="s">
        <v>172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146</v>
      </c>
      <c r="V153" t="s">
        <v>173</v>
      </c>
      <c r="W153" t="s">
        <v>94</v>
      </c>
      <c r="X153" s="4">
        <v>0</v>
      </c>
      <c r="Y153" t="s">
        <v>58</v>
      </c>
      <c r="Z153" s="3">
        <v>4027.5</v>
      </c>
      <c r="AA153">
        <v>0</v>
      </c>
      <c r="AB153">
        <v>0</v>
      </c>
      <c r="AC153">
        <v>0</v>
      </c>
      <c r="AD153">
        <v>0</v>
      </c>
      <c r="AE153" s="3">
        <v>4000</v>
      </c>
      <c r="AF153" t="s">
        <v>54</v>
      </c>
      <c r="AG153" t="s">
        <v>59</v>
      </c>
      <c r="AI153" t="s">
        <v>173</v>
      </c>
      <c r="AJ153" t="s">
        <v>60</v>
      </c>
      <c r="AK153" s="5">
        <v>45702.34202546296</v>
      </c>
      <c r="AO153" t="s">
        <v>54</v>
      </c>
      <c r="AP153">
        <v>0</v>
      </c>
      <c r="AR153" t="s">
        <v>54</v>
      </c>
      <c r="AS153" t="s">
        <v>54</v>
      </c>
      <c r="AT153">
        <v>1877</v>
      </c>
      <c r="AU153" t="s">
        <v>55</v>
      </c>
    </row>
    <row r="154" spans="1:47" hidden="1" x14ac:dyDescent="0.25">
      <c r="A154" t="s">
        <v>47</v>
      </c>
      <c r="B154" s="1">
        <v>37044</v>
      </c>
      <c r="C154" t="s">
        <v>48</v>
      </c>
      <c r="D154" t="s">
        <v>49</v>
      </c>
      <c r="E154" s="2">
        <v>45699</v>
      </c>
      <c r="F154" t="s">
        <v>110</v>
      </c>
      <c r="G154" s="3" t="s">
        <v>69</v>
      </c>
      <c r="H154" s="3">
        <v>17275</v>
      </c>
      <c r="I154" s="3">
        <v>17275</v>
      </c>
      <c r="J154">
        <v>0</v>
      </c>
      <c r="K154" s="3">
        <v>19866.25</v>
      </c>
      <c r="L154" s="3">
        <v>4027.5</v>
      </c>
      <c r="M154" s="3">
        <v>1570.73</v>
      </c>
      <c r="N154" t="s">
        <v>172</v>
      </c>
      <c r="O154" t="s">
        <v>53</v>
      </c>
      <c r="P154" t="s">
        <v>53</v>
      </c>
      <c r="Q154" t="s">
        <v>53</v>
      </c>
      <c r="R154" t="s">
        <v>54</v>
      </c>
      <c r="S154" t="s">
        <v>54</v>
      </c>
      <c r="T154" t="s">
        <v>55</v>
      </c>
      <c r="U154">
        <v>146</v>
      </c>
      <c r="V154" t="s">
        <v>173</v>
      </c>
      <c r="W154" t="s">
        <v>94</v>
      </c>
      <c r="X154" s="4">
        <v>0</v>
      </c>
      <c r="Y154" t="s">
        <v>58</v>
      </c>
      <c r="Z154" s="3">
        <v>4027.5</v>
      </c>
      <c r="AA154">
        <v>0</v>
      </c>
      <c r="AB154">
        <v>0</v>
      </c>
      <c r="AC154">
        <v>0</v>
      </c>
      <c r="AD154">
        <v>0</v>
      </c>
      <c r="AE154" s="3">
        <v>4000</v>
      </c>
      <c r="AF154" t="s">
        <v>54</v>
      </c>
      <c r="AG154" t="s">
        <v>59</v>
      </c>
      <c r="AI154" t="s">
        <v>173</v>
      </c>
      <c r="AJ154" t="s">
        <v>60</v>
      </c>
      <c r="AK154" s="5">
        <v>45702.342083333337</v>
      </c>
      <c r="AO154" t="s">
        <v>54</v>
      </c>
      <c r="AP154">
        <v>0</v>
      </c>
      <c r="AR154" t="s">
        <v>54</v>
      </c>
      <c r="AS154" t="s">
        <v>54</v>
      </c>
      <c r="AT154">
        <v>1877</v>
      </c>
      <c r="AU154" t="s">
        <v>55</v>
      </c>
    </row>
    <row r="155" spans="1:47" hidden="1" x14ac:dyDescent="0.25">
      <c r="A155" t="s">
        <v>47</v>
      </c>
      <c r="B155" s="1">
        <v>37045</v>
      </c>
      <c r="C155" t="s">
        <v>48</v>
      </c>
      <c r="D155" t="s">
        <v>49</v>
      </c>
      <c r="E155" s="2">
        <v>45699</v>
      </c>
      <c r="F155" t="s">
        <v>157</v>
      </c>
      <c r="G155" s="3" t="s">
        <v>108</v>
      </c>
      <c r="H155" s="3">
        <v>22108</v>
      </c>
      <c r="I155" s="3">
        <v>22108</v>
      </c>
      <c r="J155">
        <v>0</v>
      </c>
      <c r="K155" s="3">
        <v>25424.2</v>
      </c>
      <c r="L155" s="3">
        <v>3039.2</v>
      </c>
      <c r="M155" s="3">
        <v>1884.3</v>
      </c>
      <c r="N155" t="s">
        <v>77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83</v>
      </c>
      <c r="V155" t="s">
        <v>56</v>
      </c>
      <c r="W155" t="s">
        <v>158</v>
      </c>
      <c r="X155" s="4">
        <v>0</v>
      </c>
      <c r="Y155" t="s">
        <v>58</v>
      </c>
      <c r="Z155">
        <v>0</v>
      </c>
      <c r="AA155">
        <v>0</v>
      </c>
      <c r="AB155" s="3">
        <v>3039.2</v>
      </c>
      <c r="AC155">
        <v>0</v>
      </c>
      <c r="AD155">
        <v>0</v>
      </c>
      <c r="AE155" s="3">
        <v>1500</v>
      </c>
      <c r="AF155" t="s">
        <v>54</v>
      </c>
      <c r="AG155" t="s">
        <v>59</v>
      </c>
      <c r="AI155" t="s">
        <v>80</v>
      </c>
      <c r="AJ155" t="s">
        <v>73</v>
      </c>
      <c r="AK155" s="5">
        <v>45699.726168981484</v>
      </c>
      <c r="AO155" t="s">
        <v>54</v>
      </c>
      <c r="AP155">
        <v>0</v>
      </c>
      <c r="AR155" t="s">
        <v>54</v>
      </c>
      <c r="AS155" t="s">
        <v>54</v>
      </c>
      <c r="AT155">
        <v>4386</v>
      </c>
      <c r="AU155" t="s">
        <v>55</v>
      </c>
    </row>
    <row r="156" spans="1:47" hidden="1" x14ac:dyDescent="0.25">
      <c r="A156" t="s">
        <v>47</v>
      </c>
      <c r="B156" s="1">
        <v>37046</v>
      </c>
      <c r="C156" t="s">
        <v>48</v>
      </c>
      <c r="D156" t="s">
        <v>49</v>
      </c>
      <c r="E156" s="2">
        <v>45699</v>
      </c>
      <c r="F156" s="3" t="s">
        <v>118</v>
      </c>
      <c r="G156" s="3" t="s">
        <v>69</v>
      </c>
      <c r="H156" s="3">
        <v>29645.1</v>
      </c>
      <c r="I156" s="3">
        <v>29645.1</v>
      </c>
      <c r="J156">
        <v>0</v>
      </c>
      <c r="K156" s="3">
        <v>34091.86</v>
      </c>
      <c r="L156" s="3">
        <v>5193.55</v>
      </c>
      <c r="M156" s="3">
        <v>2440.96</v>
      </c>
      <c r="N156" t="s">
        <v>77</v>
      </c>
      <c r="O156" t="s">
        <v>53</v>
      </c>
      <c r="P156" t="s">
        <v>53</v>
      </c>
      <c r="Q156" t="s">
        <v>53</v>
      </c>
      <c r="R156" t="s">
        <v>54</v>
      </c>
      <c r="S156" t="s">
        <v>54</v>
      </c>
      <c r="T156" t="s">
        <v>55</v>
      </c>
      <c r="U156">
        <v>83</v>
      </c>
      <c r="V156" t="s">
        <v>56</v>
      </c>
      <c r="W156" t="s">
        <v>120</v>
      </c>
      <c r="X156" s="4">
        <v>0</v>
      </c>
      <c r="Y156" t="s">
        <v>58</v>
      </c>
      <c r="Z156">
        <v>0</v>
      </c>
      <c r="AA156">
        <v>0</v>
      </c>
      <c r="AB156">
        <v>0</v>
      </c>
      <c r="AC156">
        <v>0</v>
      </c>
      <c r="AD156" s="3">
        <v>5193.55</v>
      </c>
      <c r="AE156" s="3">
        <v>6310</v>
      </c>
      <c r="AF156" t="s">
        <v>54</v>
      </c>
      <c r="AG156" t="s">
        <v>59</v>
      </c>
      <c r="AH156" t="s">
        <v>79</v>
      </c>
      <c r="AI156" t="s">
        <v>80</v>
      </c>
      <c r="AJ156" t="s">
        <v>73</v>
      </c>
      <c r="AK156" s="5">
        <v>45699.728692129633</v>
      </c>
      <c r="AO156" t="s">
        <v>54</v>
      </c>
      <c r="AP156">
        <v>0</v>
      </c>
      <c r="AR156" t="s">
        <v>54</v>
      </c>
      <c r="AS156" t="s">
        <v>54</v>
      </c>
      <c r="AT156">
        <v>6081</v>
      </c>
      <c r="AU156" t="s">
        <v>55</v>
      </c>
    </row>
    <row r="157" spans="1:47" hidden="1" x14ac:dyDescent="0.25">
      <c r="A157" t="s">
        <v>47</v>
      </c>
      <c r="B157" s="1">
        <v>37047</v>
      </c>
      <c r="C157" t="s">
        <v>48</v>
      </c>
      <c r="D157" t="s">
        <v>49</v>
      </c>
      <c r="E157" s="2">
        <v>45699</v>
      </c>
      <c r="F157" t="s">
        <v>118</v>
      </c>
      <c r="G157" t="s">
        <v>69</v>
      </c>
      <c r="H157" s="3">
        <v>29645.1</v>
      </c>
      <c r="I157" s="3">
        <v>29645.1</v>
      </c>
      <c r="J157">
        <v>0</v>
      </c>
      <c r="K157" s="3">
        <v>34091.86</v>
      </c>
      <c r="L157" s="3">
        <v>5193.55</v>
      </c>
      <c r="M157" s="3">
        <v>2440.96</v>
      </c>
      <c r="N157" t="s">
        <v>77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83</v>
      </c>
      <c r="V157" t="s">
        <v>56</v>
      </c>
      <c r="W157" t="s">
        <v>120</v>
      </c>
      <c r="X157" s="4">
        <v>0</v>
      </c>
      <c r="Y157" t="s">
        <v>58</v>
      </c>
      <c r="Z157" s="3">
        <v>0</v>
      </c>
      <c r="AA157">
        <v>0</v>
      </c>
      <c r="AB157">
        <v>0</v>
      </c>
      <c r="AC157">
        <v>0</v>
      </c>
      <c r="AD157" s="3">
        <v>5193.55</v>
      </c>
      <c r="AE157" s="3">
        <v>6310</v>
      </c>
      <c r="AF157" t="s">
        <v>54</v>
      </c>
      <c r="AG157" t="s">
        <v>59</v>
      </c>
      <c r="AH157" t="s">
        <v>79</v>
      </c>
      <c r="AI157" t="s">
        <v>80</v>
      </c>
      <c r="AJ157" t="s">
        <v>73</v>
      </c>
      <c r="AK157" s="5">
        <v>45699.728831018518</v>
      </c>
      <c r="AO157" t="s">
        <v>54</v>
      </c>
      <c r="AP157">
        <v>0</v>
      </c>
      <c r="AR157" t="s">
        <v>54</v>
      </c>
      <c r="AS157" t="s">
        <v>54</v>
      </c>
      <c r="AT157">
        <v>6081</v>
      </c>
      <c r="AU157" t="s">
        <v>55</v>
      </c>
    </row>
    <row r="158" spans="1:47" hidden="1" x14ac:dyDescent="0.25">
      <c r="A158" t="s">
        <v>47</v>
      </c>
      <c r="B158" s="1">
        <v>37048</v>
      </c>
      <c r="C158" t="s">
        <v>48</v>
      </c>
      <c r="D158" t="s">
        <v>49</v>
      </c>
      <c r="E158" s="2">
        <v>45699</v>
      </c>
      <c r="F158" t="s">
        <v>118</v>
      </c>
      <c r="G158" t="s">
        <v>69</v>
      </c>
      <c r="H158" s="3">
        <v>29645.1</v>
      </c>
      <c r="I158" s="3">
        <v>29645.1</v>
      </c>
      <c r="J158">
        <v>0</v>
      </c>
      <c r="K158" s="3">
        <v>34091.86</v>
      </c>
      <c r="L158" s="3">
        <v>5193.55</v>
      </c>
      <c r="M158" s="3">
        <v>2440.96</v>
      </c>
      <c r="N158" t="s">
        <v>77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83</v>
      </c>
      <c r="V158" t="s">
        <v>56</v>
      </c>
      <c r="W158" t="s">
        <v>120</v>
      </c>
      <c r="X158" s="4">
        <v>0</v>
      </c>
      <c r="Y158" t="s">
        <v>58</v>
      </c>
      <c r="Z158" s="3">
        <v>0</v>
      </c>
      <c r="AA158">
        <v>0</v>
      </c>
      <c r="AB158">
        <v>0</v>
      </c>
      <c r="AC158">
        <v>0</v>
      </c>
      <c r="AD158" s="3">
        <v>5193.55</v>
      </c>
      <c r="AE158" s="3">
        <v>6310</v>
      </c>
      <c r="AF158" t="s">
        <v>54</v>
      </c>
      <c r="AG158" t="s">
        <v>59</v>
      </c>
      <c r="AH158" t="s">
        <v>79</v>
      </c>
      <c r="AI158" t="s">
        <v>80</v>
      </c>
      <c r="AJ158" t="s">
        <v>73</v>
      </c>
      <c r="AK158" s="5">
        <v>45699.729016203702</v>
      </c>
      <c r="AO158" t="s">
        <v>54</v>
      </c>
      <c r="AP158">
        <v>0</v>
      </c>
      <c r="AR158" t="s">
        <v>54</v>
      </c>
      <c r="AS158" t="s">
        <v>54</v>
      </c>
      <c r="AT158">
        <v>6081</v>
      </c>
      <c r="AU158" t="s">
        <v>55</v>
      </c>
    </row>
    <row r="159" spans="1:47" hidden="1" x14ac:dyDescent="0.25">
      <c r="A159" t="s">
        <v>47</v>
      </c>
      <c r="B159" s="1">
        <v>37049</v>
      </c>
      <c r="C159" t="s">
        <v>48</v>
      </c>
      <c r="D159" t="s">
        <v>49</v>
      </c>
      <c r="E159" s="2">
        <v>45699</v>
      </c>
      <c r="F159" t="s">
        <v>118</v>
      </c>
      <c r="G159" t="s">
        <v>69</v>
      </c>
      <c r="H159" s="3">
        <v>29645.1</v>
      </c>
      <c r="I159" s="3">
        <v>29645.1</v>
      </c>
      <c r="J159">
        <v>0</v>
      </c>
      <c r="K159" s="3">
        <v>34091.86</v>
      </c>
      <c r="L159" s="3">
        <v>5193.55</v>
      </c>
      <c r="M159" s="3">
        <v>2440.96</v>
      </c>
      <c r="N159" t="s">
        <v>77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83</v>
      </c>
      <c r="V159" t="s">
        <v>56</v>
      </c>
      <c r="W159" t="s">
        <v>120</v>
      </c>
      <c r="X159" s="4">
        <v>0</v>
      </c>
      <c r="Y159" t="s">
        <v>58</v>
      </c>
      <c r="Z159">
        <v>0</v>
      </c>
      <c r="AA159">
        <v>0</v>
      </c>
      <c r="AB159" s="3">
        <v>0</v>
      </c>
      <c r="AC159">
        <v>0</v>
      </c>
      <c r="AD159" s="3">
        <v>5193.55</v>
      </c>
      <c r="AE159" s="3">
        <v>6310</v>
      </c>
      <c r="AF159" t="s">
        <v>54</v>
      </c>
      <c r="AG159" t="s">
        <v>59</v>
      </c>
      <c r="AH159" t="s">
        <v>79</v>
      </c>
      <c r="AI159" t="s">
        <v>80</v>
      </c>
      <c r="AJ159" t="s">
        <v>91</v>
      </c>
      <c r="AK159" s="5">
        <v>45734.413344907407</v>
      </c>
      <c r="AO159" t="s">
        <v>54</v>
      </c>
      <c r="AP159">
        <v>0</v>
      </c>
      <c r="AR159" t="s">
        <v>54</v>
      </c>
      <c r="AS159" t="s">
        <v>54</v>
      </c>
      <c r="AT159">
        <v>6081</v>
      </c>
      <c r="AU159" t="s">
        <v>55</v>
      </c>
    </row>
    <row r="160" spans="1:47" hidden="1" x14ac:dyDescent="0.25">
      <c r="A160" t="s">
        <v>47</v>
      </c>
      <c r="B160" s="1">
        <v>37052</v>
      </c>
      <c r="C160" t="s">
        <v>48</v>
      </c>
      <c r="D160" t="s">
        <v>49</v>
      </c>
      <c r="E160" s="2">
        <v>45700</v>
      </c>
      <c r="F160" t="s">
        <v>223</v>
      </c>
      <c r="G160" t="s">
        <v>88</v>
      </c>
      <c r="H160" s="3">
        <v>3776</v>
      </c>
      <c r="I160" s="3">
        <v>3776</v>
      </c>
      <c r="J160">
        <v>0</v>
      </c>
      <c r="K160" s="3">
        <v>4342.3999999999996</v>
      </c>
      <c r="L160">
        <v>960</v>
      </c>
      <c r="M160" s="3">
        <v>326.39999999999998</v>
      </c>
      <c r="N160" t="s">
        <v>172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146</v>
      </c>
      <c r="V160" t="s">
        <v>173</v>
      </c>
      <c r="W160" t="s">
        <v>72</v>
      </c>
      <c r="X160" s="4">
        <v>0</v>
      </c>
      <c r="Y160" t="s">
        <v>62</v>
      </c>
      <c r="AE160" s="3"/>
      <c r="AK160" s="5"/>
    </row>
    <row r="161" spans="1:47" hidden="1" x14ac:dyDescent="0.25">
      <c r="A161" t="s">
        <v>63</v>
      </c>
      <c r="B161" s="1">
        <v>960</v>
      </c>
      <c r="C161">
        <v>0</v>
      </c>
      <c r="D161">
        <v>0</v>
      </c>
      <c r="E161" s="2">
        <v>0</v>
      </c>
      <c r="F161">
        <v>0</v>
      </c>
      <c r="G161">
        <v>800</v>
      </c>
      <c r="H161" s="3" t="s">
        <v>54</v>
      </c>
      <c r="I161" s="3" t="s">
        <v>59</v>
      </c>
      <c r="J161" t="s">
        <v>147</v>
      </c>
      <c r="K161" s="3" t="s">
        <v>173</v>
      </c>
      <c r="L161" t="s">
        <v>73</v>
      </c>
      <c r="M161" s="3">
        <v>45700.36991898148</v>
      </c>
      <c r="Q161" t="s">
        <v>54</v>
      </c>
      <c r="R161">
        <v>0</v>
      </c>
      <c r="T161" t="s">
        <v>54</v>
      </c>
      <c r="U161" t="s">
        <v>54</v>
      </c>
      <c r="V161">
        <v>7833</v>
      </c>
      <c r="W161" t="s">
        <v>55</v>
      </c>
      <c r="X161" s="4"/>
      <c r="AK161" s="5"/>
    </row>
    <row r="162" spans="1:47" hidden="1" x14ac:dyDescent="0.25">
      <c r="A162" t="s">
        <v>47</v>
      </c>
      <c r="B162" s="1">
        <v>37053</v>
      </c>
      <c r="C162" t="s">
        <v>48</v>
      </c>
      <c r="D162" t="s">
        <v>49</v>
      </c>
      <c r="E162" s="2">
        <v>45700</v>
      </c>
      <c r="F162" t="s">
        <v>65</v>
      </c>
      <c r="G162" t="s">
        <v>66</v>
      </c>
      <c r="H162" s="3">
        <v>5043</v>
      </c>
      <c r="I162" s="3">
        <v>5043</v>
      </c>
      <c r="J162">
        <v>0</v>
      </c>
      <c r="K162" s="3">
        <v>5799.45</v>
      </c>
      <c r="L162" s="3">
        <v>687.3</v>
      </c>
      <c r="M162" s="3">
        <v>426.13</v>
      </c>
      <c r="N162" t="s">
        <v>172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146</v>
      </c>
      <c r="V162" t="s">
        <v>173</v>
      </c>
      <c r="W162" t="s">
        <v>67</v>
      </c>
      <c r="X162" s="4">
        <v>0</v>
      </c>
      <c r="Y162" t="s">
        <v>58</v>
      </c>
      <c r="Z162">
        <v>0</v>
      </c>
      <c r="AA162">
        <v>0</v>
      </c>
      <c r="AB162">
        <v>687.3</v>
      </c>
      <c r="AC162">
        <v>0</v>
      </c>
      <c r="AD162">
        <v>0</v>
      </c>
      <c r="AE162" s="3">
        <v>300</v>
      </c>
      <c r="AF162" t="s">
        <v>54</v>
      </c>
      <c r="AG162" t="s">
        <v>59</v>
      </c>
      <c r="AI162" t="s">
        <v>173</v>
      </c>
      <c r="AJ162" t="s">
        <v>60</v>
      </c>
      <c r="AK162" s="5">
        <v>45700.403715277775</v>
      </c>
      <c r="AO162" t="s">
        <v>54</v>
      </c>
      <c r="AP162">
        <v>0</v>
      </c>
      <c r="AR162" t="s">
        <v>54</v>
      </c>
      <c r="AS162" t="s">
        <v>54</v>
      </c>
      <c r="AT162">
        <v>1269</v>
      </c>
      <c r="AU162" t="s">
        <v>55</v>
      </c>
    </row>
    <row r="163" spans="1:47" hidden="1" x14ac:dyDescent="0.25">
      <c r="A163" t="s">
        <v>47</v>
      </c>
      <c r="B163" s="1">
        <v>37056</v>
      </c>
      <c r="C163" t="s">
        <v>48</v>
      </c>
      <c r="D163" s="3" t="s">
        <v>49</v>
      </c>
      <c r="E163" s="2">
        <v>45700</v>
      </c>
      <c r="F163" t="s">
        <v>217</v>
      </c>
      <c r="G163" s="3" t="s">
        <v>69</v>
      </c>
      <c r="H163" s="3">
        <v>24061.3</v>
      </c>
      <c r="I163" s="3">
        <v>24061.3</v>
      </c>
      <c r="J163">
        <v>0</v>
      </c>
      <c r="K163" s="3">
        <v>27670.49</v>
      </c>
      <c r="L163" s="3">
        <v>4754.05</v>
      </c>
      <c r="M163" s="3">
        <v>2234.4</v>
      </c>
      <c r="N163" t="s">
        <v>105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145</v>
      </c>
      <c r="V163" t="s">
        <v>144</v>
      </c>
      <c r="W163" t="s">
        <v>94</v>
      </c>
      <c r="X163" s="4">
        <v>0</v>
      </c>
      <c r="Y163" t="s">
        <v>62</v>
      </c>
      <c r="AE163" s="3"/>
      <c r="AK163" s="5"/>
    </row>
    <row r="164" spans="1:47" hidden="1" x14ac:dyDescent="0.25">
      <c r="A164" t="s">
        <v>63</v>
      </c>
      <c r="B164" s="1">
        <v>0</v>
      </c>
      <c r="C164">
        <v>0</v>
      </c>
      <c r="D164">
        <v>0</v>
      </c>
      <c r="E164" s="2">
        <v>0</v>
      </c>
      <c r="F164" s="3">
        <v>4754.05</v>
      </c>
      <c r="G164" s="3">
        <v>1970</v>
      </c>
      <c r="H164" s="3" t="s">
        <v>54</v>
      </c>
      <c r="I164" s="3" t="s">
        <v>59</v>
      </c>
      <c r="J164" t="s">
        <v>79</v>
      </c>
      <c r="K164" s="3" t="s">
        <v>60</v>
      </c>
      <c r="L164" s="3" t="s">
        <v>73</v>
      </c>
      <c r="M164" s="3">
        <v>45700.608437499999</v>
      </c>
      <c r="Q164" t="s">
        <v>54</v>
      </c>
      <c r="R164">
        <v>0</v>
      </c>
      <c r="T164" t="s">
        <v>54</v>
      </c>
      <c r="U164" t="s">
        <v>54</v>
      </c>
      <c r="V164">
        <v>8270</v>
      </c>
      <c r="W164" t="s">
        <v>55</v>
      </c>
      <c r="X164" s="4"/>
      <c r="Z164" s="3"/>
      <c r="AE164" s="3"/>
      <c r="AK164" s="5"/>
    </row>
    <row r="165" spans="1:47" hidden="1" x14ac:dyDescent="0.25">
      <c r="A165" t="s">
        <v>47</v>
      </c>
      <c r="B165" s="1">
        <v>37057</v>
      </c>
      <c r="C165" t="s">
        <v>48</v>
      </c>
      <c r="D165" t="s">
        <v>49</v>
      </c>
      <c r="E165" s="2">
        <v>45700</v>
      </c>
      <c r="F165" s="3" t="s">
        <v>68</v>
      </c>
      <c r="G165" s="3" t="s">
        <v>69</v>
      </c>
      <c r="H165" s="3">
        <v>7230</v>
      </c>
      <c r="I165" s="3">
        <v>7230</v>
      </c>
      <c r="J165">
        <v>0</v>
      </c>
      <c r="K165" s="3">
        <v>8314.5</v>
      </c>
      <c r="L165" s="3">
        <v>1129.2</v>
      </c>
      <c r="M165" s="3">
        <v>609.77</v>
      </c>
      <c r="N165" t="s">
        <v>70</v>
      </c>
      <c r="O165" t="s">
        <v>53</v>
      </c>
      <c r="P165" t="s">
        <v>53</v>
      </c>
      <c r="Q165" t="s">
        <v>53</v>
      </c>
      <c r="R165" t="s">
        <v>54</v>
      </c>
      <c r="S165" t="s">
        <v>54</v>
      </c>
      <c r="T165" t="s">
        <v>55</v>
      </c>
      <c r="U165">
        <v>76</v>
      </c>
      <c r="V165" t="s">
        <v>71</v>
      </c>
      <c r="W165" t="s">
        <v>72</v>
      </c>
      <c r="X165" s="4">
        <v>0</v>
      </c>
      <c r="Y165" t="s">
        <v>62</v>
      </c>
    </row>
    <row r="166" spans="1:47" hidden="1" x14ac:dyDescent="0.25">
      <c r="A166" t="s">
        <v>63</v>
      </c>
      <c r="B166" s="1">
        <v>0</v>
      </c>
      <c r="C166">
        <v>0</v>
      </c>
      <c r="D166">
        <v>0</v>
      </c>
      <c r="E166" s="2">
        <v>0</v>
      </c>
      <c r="F166" s="3">
        <v>1129.2</v>
      </c>
      <c r="G166">
        <v>600</v>
      </c>
      <c r="H166" s="3" t="s">
        <v>54</v>
      </c>
      <c r="I166" s="3" t="s">
        <v>59</v>
      </c>
      <c r="K166" s="3" t="s">
        <v>73</v>
      </c>
      <c r="L166" s="3" t="s">
        <v>73</v>
      </c>
      <c r="M166" s="3">
        <v>45700.574259259258</v>
      </c>
      <c r="Q166" t="s">
        <v>54</v>
      </c>
      <c r="R166">
        <v>0</v>
      </c>
      <c r="T166" t="s">
        <v>54</v>
      </c>
      <c r="U166" t="s">
        <v>54</v>
      </c>
      <c r="V166">
        <v>139</v>
      </c>
      <c r="W166" t="s">
        <v>55</v>
      </c>
      <c r="X166" s="4"/>
      <c r="AB166" s="3"/>
      <c r="AE166" s="3"/>
      <c r="AK166" s="5"/>
    </row>
    <row r="167" spans="1:47" hidden="1" x14ac:dyDescent="0.25">
      <c r="A167" t="s">
        <v>47</v>
      </c>
      <c r="B167" s="1">
        <v>37060</v>
      </c>
      <c r="C167" t="s">
        <v>48</v>
      </c>
      <c r="D167" t="s">
        <v>49</v>
      </c>
      <c r="E167" s="2">
        <v>45701</v>
      </c>
      <c r="F167" s="3" t="s">
        <v>153</v>
      </c>
      <c r="G167" s="3" t="s">
        <v>88</v>
      </c>
      <c r="H167" s="3">
        <v>1600</v>
      </c>
      <c r="I167" s="3">
        <v>1600</v>
      </c>
      <c r="J167">
        <v>0</v>
      </c>
      <c r="K167" s="3">
        <v>1840</v>
      </c>
      <c r="L167" s="3">
        <v>213.5</v>
      </c>
      <c r="M167" s="3">
        <v>78.36</v>
      </c>
      <c r="N167" t="s">
        <v>105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145</v>
      </c>
      <c r="V167" t="s">
        <v>144</v>
      </c>
      <c r="W167" t="s">
        <v>84</v>
      </c>
      <c r="X167" s="4">
        <v>0</v>
      </c>
      <c r="Y167" t="s">
        <v>62</v>
      </c>
      <c r="AB167" s="3"/>
      <c r="AE167" s="3"/>
      <c r="AK167" s="5"/>
    </row>
    <row r="168" spans="1:47" hidden="1" x14ac:dyDescent="0.25">
      <c r="A168" t="s">
        <v>63</v>
      </c>
      <c r="B168" s="1">
        <v>213.5</v>
      </c>
      <c r="C168">
        <v>0</v>
      </c>
      <c r="D168">
        <v>0</v>
      </c>
      <c r="E168" s="2">
        <v>0</v>
      </c>
      <c r="F168">
        <v>0</v>
      </c>
      <c r="G168">
        <v>200</v>
      </c>
      <c r="H168" s="3" t="s">
        <v>54</v>
      </c>
      <c r="I168" s="3" t="s">
        <v>59</v>
      </c>
      <c r="J168" t="s">
        <v>147</v>
      </c>
      <c r="K168" s="3" t="s">
        <v>73</v>
      </c>
      <c r="L168" s="3" t="s">
        <v>73</v>
      </c>
      <c r="M168" s="3">
        <v>45701.498530092591</v>
      </c>
      <c r="Q168" t="s">
        <v>54</v>
      </c>
      <c r="R168">
        <v>0</v>
      </c>
      <c r="T168" t="s">
        <v>54</v>
      </c>
      <c r="U168" t="s">
        <v>54</v>
      </c>
      <c r="V168">
        <v>7814</v>
      </c>
      <c r="W168" t="s">
        <v>55</v>
      </c>
      <c r="X168" s="4"/>
      <c r="AK168" s="5"/>
    </row>
    <row r="169" spans="1:47" hidden="1" x14ac:dyDescent="0.25">
      <c r="A169" t="s">
        <v>47</v>
      </c>
      <c r="B169" s="1">
        <v>37061</v>
      </c>
      <c r="C169" t="s">
        <v>48</v>
      </c>
      <c r="D169" s="3" t="s">
        <v>49</v>
      </c>
      <c r="E169" s="2">
        <v>45701</v>
      </c>
      <c r="F169" t="s">
        <v>107</v>
      </c>
      <c r="G169" s="3" t="s">
        <v>108</v>
      </c>
      <c r="H169" s="3">
        <v>21230</v>
      </c>
      <c r="I169" s="3">
        <v>21230</v>
      </c>
      <c r="J169">
        <v>0</v>
      </c>
      <c r="K169" s="3">
        <v>21230</v>
      </c>
      <c r="L169" s="3">
        <v>2948</v>
      </c>
      <c r="M169" s="3">
        <v>1827.76</v>
      </c>
      <c r="N169" t="s">
        <v>83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9</v>
      </c>
      <c r="V169" t="s">
        <v>56</v>
      </c>
      <c r="W169" t="s">
        <v>109</v>
      </c>
      <c r="X169" s="4">
        <v>0</v>
      </c>
      <c r="Y169" t="s">
        <v>58</v>
      </c>
      <c r="Z169">
        <v>0</v>
      </c>
      <c r="AA169">
        <v>0</v>
      </c>
      <c r="AB169" s="3">
        <v>2948</v>
      </c>
      <c r="AC169">
        <v>0</v>
      </c>
      <c r="AD169">
        <v>0</v>
      </c>
      <c r="AE169" s="3">
        <v>3000</v>
      </c>
      <c r="AF169" t="s">
        <v>54</v>
      </c>
      <c r="AG169" t="s">
        <v>59</v>
      </c>
      <c r="AI169" t="s">
        <v>91</v>
      </c>
      <c r="AJ169" t="s">
        <v>91</v>
      </c>
      <c r="AK169" s="5">
        <v>45701.723263888889</v>
      </c>
      <c r="AO169" t="s">
        <v>54</v>
      </c>
      <c r="AP169">
        <v>0</v>
      </c>
      <c r="AR169" t="s">
        <v>54</v>
      </c>
      <c r="AS169" t="s">
        <v>54</v>
      </c>
      <c r="AT169">
        <v>3124</v>
      </c>
      <c r="AU169" t="s">
        <v>55</v>
      </c>
    </row>
    <row r="170" spans="1:47" hidden="1" x14ac:dyDescent="0.25">
      <c r="A170" t="s">
        <v>47</v>
      </c>
      <c r="B170" s="1">
        <v>37063</v>
      </c>
      <c r="C170" t="s">
        <v>48</v>
      </c>
      <c r="D170" t="s">
        <v>49</v>
      </c>
      <c r="E170" s="2">
        <v>45702</v>
      </c>
      <c r="F170" t="s">
        <v>148</v>
      </c>
      <c r="G170" s="3" t="s">
        <v>66</v>
      </c>
      <c r="H170" s="3">
        <v>2405</v>
      </c>
      <c r="I170" s="3">
        <v>2405</v>
      </c>
      <c r="J170">
        <v>0</v>
      </c>
      <c r="K170" s="3">
        <v>2765.75</v>
      </c>
      <c r="L170" s="3">
        <v>325</v>
      </c>
      <c r="M170" s="3">
        <v>201.5</v>
      </c>
      <c r="N170" t="s">
        <v>83</v>
      </c>
      <c r="O170" t="s">
        <v>53</v>
      </c>
      <c r="P170" t="s">
        <v>53</v>
      </c>
      <c r="Q170" t="s">
        <v>53</v>
      </c>
      <c r="R170" t="s">
        <v>54</v>
      </c>
      <c r="S170" t="s">
        <v>54</v>
      </c>
      <c r="T170" t="s">
        <v>55</v>
      </c>
      <c r="U170">
        <v>9</v>
      </c>
      <c r="V170" t="s">
        <v>71</v>
      </c>
      <c r="W170" t="s">
        <v>57</v>
      </c>
      <c r="X170" s="4">
        <v>0</v>
      </c>
      <c r="Y170" t="s">
        <v>58</v>
      </c>
      <c r="Z170">
        <v>0</v>
      </c>
      <c r="AA170">
        <v>0</v>
      </c>
      <c r="AB170">
        <v>325</v>
      </c>
      <c r="AC170">
        <v>0</v>
      </c>
      <c r="AD170" s="3">
        <v>0</v>
      </c>
      <c r="AE170" s="3">
        <v>100</v>
      </c>
      <c r="AF170" t="s">
        <v>54</v>
      </c>
      <c r="AG170" t="s">
        <v>59</v>
      </c>
      <c r="AI170" t="s">
        <v>73</v>
      </c>
      <c r="AJ170" t="s">
        <v>73</v>
      </c>
      <c r="AK170" s="5">
        <v>45702.565347222226</v>
      </c>
      <c r="AO170" t="s">
        <v>54</v>
      </c>
      <c r="AP170">
        <v>0</v>
      </c>
      <c r="AR170" t="s">
        <v>54</v>
      </c>
      <c r="AS170" t="s">
        <v>54</v>
      </c>
      <c r="AT170">
        <v>1009</v>
      </c>
      <c r="AU170" t="s">
        <v>55</v>
      </c>
    </row>
    <row r="171" spans="1:47" hidden="1" x14ac:dyDescent="0.25">
      <c r="A171" t="s">
        <v>95</v>
      </c>
      <c r="B171" s="1">
        <v>37064</v>
      </c>
      <c r="C171" t="s">
        <v>48</v>
      </c>
      <c r="D171" t="s">
        <v>49</v>
      </c>
      <c r="E171" s="2">
        <v>45702</v>
      </c>
      <c r="F171" t="s">
        <v>149</v>
      </c>
      <c r="G171" t="s">
        <v>150</v>
      </c>
      <c r="H171" s="3">
        <v>9384</v>
      </c>
      <c r="I171" s="3">
        <v>9384</v>
      </c>
      <c r="J171">
        <v>0</v>
      </c>
      <c r="K171" s="3">
        <v>9384</v>
      </c>
      <c r="L171" s="3">
        <v>1102.4000000000001</v>
      </c>
      <c r="M171" s="3">
        <v>655.93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71</v>
      </c>
      <c r="W171" t="s">
        <v>151</v>
      </c>
      <c r="X171" s="4">
        <v>0</v>
      </c>
      <c r="Y171" t="s">
        <v>58</v>
      </c>
      <c r="Z171">
        <v>0</v>
      </c>
      <c r="AA171">
        <v>0</v>
      </c>
      <c r="AB171" s="3">
        <v>1102.4000000000001</v>
      </c>
      <c r="AC171">
        <v>0</v>
      </c>
      <c r="AD171">
        <v>0</v>
      </c>
      <c r="AE171">
        <v>800</v>
      </c>
      <c r="AF171" t="s">
        <v>54</v>
      </c>
      <c r="AG171" t="s">
        <v>59</v>
      </c>
      <c r="AI171" t="s">
        <v>60</v>
      </c>
      <c r="AJ171" t="s">
        <v>60</v>
      </c>
      <c r="AK171" s="5">
        <v>45702.447870370372</v>
      </c>
      <c r="AO171" t="s">
        <v>54</v>
      </c>
      <c r="AP171">
        <v>0</v>
      </c>
      <c r="AR171" t="s">
        <v>54</v>
      </c>
      <c r="AS171" t="s">
        <v>54</v>
      </c>
      <c r="AT171">
        <v>4340</v>
      </c>
      <c r="AU171" t="s">
        <v>55</v>
      </c>
    </row>
    <row r="172" spans="1:47" hidden="1" x14ac:dyDescent="0.25">
      <c r="A172" t="s">
        <v>134</v>
      </c>
      <c r="B172" s="1">
        <v>37065</v>
      </c>
      <c r="C172" t="s">
        <v>48</v>
      </c>
      <c r="D172" t="s">
        <v>49</v>
      </c>
      <c r="E172" s="2">
        <v>45702</v>
      </c>
      <c r="F172" t="s">
        <v>224</v>
      </c>
      <c r="G172" s="3" t="s">
        <v>69</v>
      </c>
      <c r="H172">
        <v>90</v>
      </c>
      <c r="I172">
        <v>90</v>
      </c>
      <c r="J172">
        <v>0</v>
      </c>
      <c r="K172">
        <v>90</v>
      </c>
      <c r="L172">
        <v>19.66</v>
      </c>
      <c r="M172" s="3">
        <v>6.83</v>
      </c>
      <c r="N172" t="s">
        <v>77</v>
      </c>
      <c r="O172" t="s">
        <v>53</v>
      </c>
      <c r="P172" t="s">
        <v>53</v>
      </c>
      <c r="Q172" t="s">
        <v>53</v>
      </c>
      <c r="R172" t="s">
        <v>54</v>
      </c>
      <c r="S172" t="s">
        <v>54</v>
      </c>
      <c r="T172" t="s">
        <v>55</v>
      </c>
      <c r="U172">
        <v>83</v>
      </c>
      <c r="W172" t="s">
        <v>113</v>
      </c>
      <c r="X172" s="4">
        <v>0</v>
      </c>
      <c r="Y172" t="s">
        <v>62</v>
      </c>
    </row>
    <row r="173" spans="1:47" hidden="1" x14ac:dyDescent="0.25">
      <c r="A173" t="s">
        <v>63</v>
      </c>
      <c r="B173" s="1">
        <v>19.66</v>
      </c>
      <c r="C173">
        <v>0</v>
      </c>
      <c r="D173">
        <v>0</v>
      </c>
      <c r="E173" s="2">
        <v>0</v>
      </c>
      <c r="F173">
        <v>0</v>
      </c>
      <c r="G173">
        <v>40</v>
      </c>
      <c r="H173" s="3" t="s">
        <v>54</v>
      </c>
      <c r="I173" s="3" t="s">
        <v>59</v>
      </c>
      <c r="J173" t="s">
        <v>79</v>
      </c>
      <c r="K173" s="3" t="s">
        <v>80</v>
      </c>
      <c r="L173" s="3" t="s">
        <v>73</v>
      </c>
      <c r="M173" s="3">
        <v>45702.565405092595</v>
      </c>
      <c r="Q173" t="s">
        <v>54</v>
      </c>
      <c r="R173">
        <v>0</v>
      </c>
      <c r="T173" t="s">
        <v>54</v>
      </c>
      <c r="U173" t="s">
        <v>54</v>
      </c>
      <c r="V173">
        <v>8306</v>
      </c>
      <c r="W173" t="s">
        <v>55</v>
      </c>
      <c r="X173" s="4"/>
      <c r="AB173" s="3"/>
      <c r="AK173" s="5"/>
    </row>
    <row r="174" spans="1:47" hidden="1" x14ac:dyDescent="0.25">
      <c r="A174" t="s">
        <v>47</v>
      </c>
      <c r="B174" s="1">
        <v>37067</v>
      </c>
      <c r="C174" t="s">
        <v>48</v>
      </c>
      <c r="D174" t="s">
        <v>49</v>
      </c>
      <c r="E174" s="2">
        <v>45705</v>
      </c>
      <c r="F174" t="s">
        <v>100</v>
      </c>
      <c r="G174" s="3" t="s">
        <v>93</v>
      </c>
      <c r="H174" s="3">
        <v>11720</v>
      </c>
      <c r="I174" s="3">
        <v>11720</v>
      </c>
      <c r="J174">
        <v>0</v>
      </c>
      <c r="K174" s="3">
        <v>13478</v>
      </c>
      <c r="L174" s="3">
        <v>2744</v>
      </c>
      <c r="M174" s="3">
        <v>932.96</v>
      </c>
      <c r="N174" t="s">
        <v>83</v>
      </c>
      <c r="O174" t="s">
        <v>53</v>
      </c>
      <c r="P174" t="s">
        <v>53</v>
      </c>
      <c r="Q174" t="s">
        <v>53</v>
      </c>
      <c r="R174" t="s">
        <v>54</v>
      </c>
      <c r="S174" t="s">
        <v>54</v>
      </c>
      <c r="T174" t="s">
        <v>55</v>
      </c>
      <c r="U174">
        <v>9</v>
      </c>
      <c r="V174" t="s">
        <v>71</v>
      </c>
      <c r="W174" t="s">
        <v>101</v>
      </c>
      <c r="X174" s="4">
        <v>0</v>
      </c>
      <c r="Y174" t="s">
        <v>58</v>
      </c>
      <c r="Z174" s="3">
        <v>2744</v>
      </c>
      <c r="AA174">
        <v>0</v>
      </c>
      <c r="AB174" s="3">
        <v>0</v>
      </c>
      <c r="AC174">
        <v>0</v>
      </c>
      <c r="AD174">
        <v>0</v>
      </c>
      <c r="AE174" s="3">
        <v>4000</v>
      </c>
      <c r="AF174" t="s">
        <v>54</v>
      </c>
      <c r="AG174" t="s">
        <v>59</v>
      </c>
      <c r="AH174" t="s">
        <v>102</v>
      </c>
      <c r="AI174" t="s">
        <v>91</v>
      </c>
      <c r="AJ174" t="s">
        <v>91</v>
      </c>
      <c r="AK174" s="5">
        <v>45705.53162037037</v>
      </c>
      <c r="AO174" t="s">
        <v>54</v>
      </c>
      <c r="AP174">
        <v>0</v>
      </c>
      <c r="AR174" t="s">
        <v>54</v>
      </c>
      <c r="AS174" t="s">
        <v>54</v>
      </c>
      <c r="AT174">
        <v>161</v>
      </c>
      <c r="AU174" t="s">
        <v>55</v>
      </c>
    </row>
    <row r="175" spans="1:47" hidden="1" x14ac:dyDescent="0.25">
      <c r="A175" t="s">
        <v>47</v>
      </c>
      <c r="B175" s="1">
        <v>37068</v>
      </c>
      <c r="C175" t="s">
        <v>48</v>
      </c>
      <c r="D175" t="s">
        <v>49</v>
      </c>
      <c r="E175" s="2">
        <v>45705</v>
      </c>
      <c r="F175" t="s">
        <v>61</v>
      </c>
      <c r="G175" t="s">
        <v>51</v>
      </c>
      <c r="H175" s="3">
        <v>12390</v>
      </c>
      <c r="I175" s="3">
        <v>12390</v>
      </c>
      <c r="J175">
        <v>0</v>
      </c>
      <c r="K175" s="3">
        <v>14248.5</v>
      </c>
      <c r="L175" s="3">
        <v>1673.8</v>
      </c>
      <c r="M175" s="3">
        <v>1015.94</v>
      </c>
      <c r="N175" t="s">
        <v>172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146</v>
      </c>
      <c r="V175" t="s">
        <v>173</v>
      </c>
      <c r="W175" t="s">
        <v>57</v>
      </c>
      <c r="X175" s="4">
        <v>0</v>
      </c>
      <c r="Y175" t="s">
        <v>62</v>
      </c>
      <c r="AB175" s="3"/>
      <c r="AK175" s="5"/>
    </row>
    <row r="176" spans="1:47" hidden="1" x14ac:dyDescent="0.25">
      <c r="A176" t="s">
        <v>63</v>
      </c>
      <c r="B176" s="3">
        <v>99.2</v>
      </c>
      <c r="C176">
        <v>0</v>
      </c>
      <c r="D176" s="3">
        <v>1574.6</v>
      </c>
      <c r="E176" s="2">
        <v>0</v>
      </c>
      <c r="F176">
        <v>0</v>
      </c>
      <c r="G176" s="3">
        <v>2000</v>
      </c>
      <c r="H176" s="3" t="s">
        <v>54</v>
      </c>
      <c r="I176" s="3" t="s">
        <v>59</v>
      </c>
      <c r="J176" t="s">
        <v>64</v>
      </c>
      <c r="K176" s="3" t="s">
        <v>73</v>
      </c>
      <c r="L176" t="s">
        <v>73</v>
      </c>
      <c r="M176" s="3">
        <v>45706.436064814814</v>
      </c>
      <c r="Q176" t="s">
        <v>54</v>
      </c>
      <c r="R176">
        <v>0</v>
      </c>
      <c r="T176" t="s">
        <v>54</v>
      </c>
      <c r="U176" t="s">
        <v>54</v>
      </c>
      <c r="V176">
        <v>7006</v>
      </c>
      <c r="W176" t="s">
        <v>55</v>
      </c>
      <c r="X176" s="4"/>
    </row>
    <row r="177" spans="1:47" hidden="1" x14ac:dyDescent="0.25">
      <c r="A177" t="s">
        <v>47</v>
      </c>
      <c r="B177" s="1">
        <v>37069</v>
      </c>
      <c r="C177" t="s">
        <v>48</v>
      </c>
      <c r="D177" t="s">
        <v>49</v>
      </c>
      <c r="E177" s="2">
        <v>45705</v>
      </c>
      <c r="F177" t="s">
        <v>225</v>
      </c>
      <c r="G177" t="s">
        <v>185</v>
      </c>
      <c r="H177" s="3">
        <v>7583</v>
      </c>
      <c r="I177" s="3">
        <v>7583</v>
      </c>
      <c r="J177">
        <v>0</v>
      </c>
      <c r="K177" s="3">
        <v>8720.4500000000007</v>
      </c>
      <c r="L177" s="3">
        <v>1070.8</v>
      </c>
      <c r="M177" s="3">
        <v>615.71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115</v>
      </c>
      <c r="X177" s="4">
        <v>0</v>
      </c>
      <c r="Y177" t="s">
        <v>62</v>
      </c>
    </row>
    <row r="178" spans="1:47" hidden="1" x14ac:dyDescent="0.25">
      <c r="A178" t="s">
        <v>63</v>
      </c>
      <c r="B178" s="1">
        <v>0</v>
      </c>
      <c r="C178">
        <v>0</v>
      </c>
      <c r="D178" s="3">
        <v>1070.8</v>
      </c>
      <c r="E178" s="2">
        <v>0</v>
      </c>
      <c r="F178">
        <v>0</v>
      </c>
      <c r="G178" s="3">
        <v>2800</v>
      </c>
      <c r="H178" s="3" t="s">
        <v>54</v>
      </c>
      <c r="I178" s="3" t="s">
        <v>59</v>
      </c>
      <c r="J178" t="s">
        <v>79</v>
      </c>
      <c r="K178" s="3" t="s">
        <v>80</v>
      </c>
      <c r="L178" t="s">
        <v>73</v>
      </c>
      <c r="M178" s="3">
        <v>45705.683321759258</v>
      </c>
      <c r="Q178" t="s">
        <v>54</v>
      </c>
      <c r="R178">
        <v>0</v>
      </c>
      <c r="T178" t="s">
        <v>54</v>
      </c>
      <c r="U178" t="s">
        <v>54</v>
      </c>
      <c r="V178">
        <v>8258</v>
      </c>
      <c r="W178" t="s">
        <v>55</v>
      </c>
      <c r="X178" s="4"/>
      <c r="AK178" s="5"/>
    </row>
    <row r="179" spans="1:47" hidden="1" x14ac:dyDescent="0.25">
      <c r="A179" t="s">
        <v>47</v>
      </c>
      <c r="B179" s="1">
        <v>37070</v>
      </c>
      <c r="C179" t="s">
        <v>48</v>
      </c>
      <c r="D179" t="s">
        <v>49</v>
      </c>
      <c r="E179" s="2">
        <v>45705</v>
      </c>
      <c r="F179" t="s">
        <v>203</v>
      </c>
      <c r="G179" t="s">
        <v>69</v>
      </c>
      <c r="H179" s="3">
        <v>4670.2</v>
      </c>
      <c r="I179" s="3">
        <v>4670.2</v>
      </c>
      <c r="J179">
        <v>0</v>
      </c>
      <c r="K179" s="3">
        <v>5370.73</v>
      </c>
      <c r="L179" s="3">
        <v>675.26</v>
      </c>
      <c r="M179" s="3">
        <v>388.27</v>
      </c>
      <c r="N179" t="s">
        <v>77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83</v>
      </c>
      <c r="V179" t="s">
        <v>56</v>
      </c>
      <c r="W179" t="s">
        <v>78</v>
      </c>
      <c r="X179" s="4">
        <v>0</v>
      </c>
      <c r="Y179" t="s">
        <v>62</v>
      </c>
      <c r="Z179" s="3"/>
      <c r="AE179" s="3"/>
      <c r="AK179" s="5"/>
    </row>
    <row r="180" spans="1:47" hidden="1" x14ac:dyDescent="0.25">
      <c r="A180" t="s">
        <v>63</v>
      </c>
      <c r="B180" s="3">
        <v>0</v>
      </c>
      <c r="C180">
        <v>0</v>
      </c>
      <c r="D180">
        <v>675.26</v>
      </c>
      <c r="E180" s="2">
        <v>0</v>
      </c>
      <c r="F180">
        <v>0</v>
      </c>
      <c r="G180" s="3">
        <v>380</v>
      </c>
      <c r="H180" s="3" t="s">
        <v>54</v>
      </c>
      <c r="I180" s="3" t="s">
        <v>59</v>
      </c>
      <c r="K180" s="3" t="s">
        <v>80</v>
      </c>
      <c r="L180" s="3" t="s">
        <v>73</v>
      </c>
      <c r="M180" s="3">
        <v>45705.688854166663</v>
      </c>
      <c r="Q180" t="s">
        <v>54</v>
      </c>
      <c r="R180">
        <v>0</v>
      </c>
      <c r="T180" t="s">
        <v>54</v>
      </c>
      <c r="U180" t="s">
        <v>54</v>
      </c>
      <c r="V180">
        <v>3807</v>
      </c>
      <c r="W180" t="s">
        <v>55</v>
      </c>
      <c r="X180" s="4"/>
      <c r="AB180" s="3"/>
      <c r="AE180" s="3"/>
      <c r="AK180" s="5"/>
    </row>
    <row r="181" spans="1:47" hidden="1" x14ac:dyDescent="0.25">
      <c r="A181" t="s">
        <v>47</v>
      </c>
      <c r="B181" s="1">
        <v>37071</v>
      </c>
      <c r="C181" t="s">
        <v>48</v>
      </c>
      <c r="D181" t="s">
        <v>49</v>
      </c>
      <c r="E181" s="2">
        <v>45706</v>
      </c>
      <c r="F181" t="s">
        <v>226</v>
      </c>
      <c r="G181" t="s">
        <v>69</v>
      </c>
      <c r="H181" s="3">
        <v>3899</v>
      </c>
      <c r="I181" s="3">
        <v>3899</v>
      </c>
      <c r="J181">
        <v>0</v>
      </c>
      <c r="K181" s="3">
        <v>4483.8500000000004</v>
      </c>
      <c r="L181">
        <v>383.8</v>
      </c>
      <c r="M181" s="3">
        <v>180.38</v>
      </c>
      <c r="N181" t="s">
        <v>77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83</v>
      </c>
      <c r="W181" t="s">
        <v>72</v>
      </c>
      <c r="X181" s="4">
        <v>0</v>
      </c>
      <c r="Y181" t="s">
        <v>62</v>
      </c>
      <c r="AE181" s="3"/>
      <c r="AK181" s="5"/>
    </row>
    <row r="182" spans="1:47" hidden="1" x14ac:dyDescent="0.25">
      <c r="A182" t="s">
        <v>63</v>
      </c>
      <c r="B182" s="1">
        <v>0</v>
      </c>
      <c r="C182">
        <v>0</v>
      </c>
      <c r="D182">
        <v>0</v>
      </c>
      <c r="E182" s="2">
        <v>0</v>
      </c>
      <c r="F182">
        <v>383.8</v>
      </c>
      <c r="G182" s="3">
        <v>550</v>
      </c>
      <c r="H182" s="3" t="s">
        <v>54</v>
      </c>
      <c r="I182" s="3" t="s">
        <v>59</v>
      </c>
      <c r="K182" s="3" t="s">
        <v>80</v>
      </c>
      <c r="L182" s="3" t="s">
        <v>91</v>
      </c>
      <c r="M182" s="3">
        <v>45722.444606481484</v>
      </c>
      <c r="Q182" t="s">
        <v>54</v>
      </c>
      <c r="R182">
        <v>0</v>
      </c>
      <c r="T182" t="s">
        <v>54</v>
      </c>
      <c r="U182" t="s">
        <v>54</v>
      </c>
      <c r="V182">
        <v>8216</v>
      </c>
      <c r="W182" t="s">
        <v>55</v>
      </c>
      <c r="X182" s="4"/>
      <c r="Z182" s="3"/>
      <c r="AE182" s="3"/>
      <c r="AK182" s="5"/>
    </row>
    <row r="183" spans="1:47" hidden="1" x14ac:dyDescent="0.25">
      <c r="A183" t="s">
        <v>47</v>
      </c>
      <c r="B183" s="1">
        <v>37073</v>
      </c>
      <c r="C183" t="s">
        <v>48</v>
      </c>
      <c r="D183" t="s">
        <v>49</v>
      </c>
      <c r="E183" s="2">
        <v>45706</v>
      </c>
      <c r="F183" t="s">
        <v>227</v>
      </c>
      <c r="G183" t="s">
        <v>66</v>
      </c>
      <c r="H183" s="3">
        <v>2328</v>
      </c>
      <c r="I183" s="3">
        <v>2328</v>
      </c>
      <c r="J183">
        <v>0</v>
      </c>
      <c r="K183" s="3">
        <v>2677.2</v>
      </c>
      <c r="L183" s="3">
        <v>396</v>
      </c>
      <c r="M183" s="3">
        <v>145.33000000000001</v>
      </c>
      <c r="N183" t="s">
        <v>83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9</v>
      </c>
      <c r="V183" t="s">
        <v>91</v>
      </c>
      <c r="W183" t="s">
        <v>94</v>
      </c>
      <c r="X183" s="4">
        <v>0</v>
      </c>
      <c r="Y183" t="s">
        <v>62</v>
      </c>
    </row>
    <row r="184" spans="1:47" hidden="1" x14ac:dyDescent="0.25">
      <c r="A184" t="s">
        <v>63</v>
      </c>
      <c r="B184" s="3">
        <v>396</v>
      </c>
      <c r="C184">
        <v>0</v>
      </c>
      <c r="D184">
        <v>0</v>
      </c>
      <c r="E184">
        <v>0</v>
      </c>
      <c r="F184">
        <v>0</v>
      </c>
      <c r="G184" s="3">
        <v>800</v>
      </c>
      <c r="H184" t="s">
        <v>54</v>
      </c>
      <c r="I184" t="s">
        <v>193</v>
      </c>
      <c r="J184" t="s">
        <v>228</v>
      </c>
      <c r="K184" t="s">
        <v>91</v>
      </c>
      <c r="L184" t="s">
        <v>91</v>
      </c>
      <c r="M184" s="3">
        <v>45706.712025462963</v>
      </c>
      <c r="Q184" t="s">
        <v>54</v>
      </c>
      <c r="R184">
        <v>0</v>
      </c>
      <c r="T184" t="s">
        <v>54</v>
      </c>
      <c r="U184" t="s">
        <v>54</v>
      </c>
      <c r="V184">
        <v>4128</v>
      </c>
      <c r="W184" t="s">
        <v>55</v>
      </c>
    </row>
    <row r="185" spans="1:47" hidden="1" x14ac:dyDescent="0.25">
      <c r="A185" t="s">
        <v>47</v>
      </c>
      <c r="B185" s="1">
        <v>37074</v>
      </c>
      <c r="C185" t="s">
        <v>48</v>
      </c>
      <c r="D185" t="s">
        <v>49</v>
      </c>
      <c r="E185" s="2">
        <v>45706</v>
      </c>
      <c r="F185" t="s">
        <v>131</v>
      </c>
      <c r="G185" t="s">
        <v>88</v>
      </c>
      <c r="H185" s="3">
        <v>9660</v>
      </c>
      <c r="I185" s="3">
        <v>9660</v>
      </c>
      <c r="J185">
        <v>0</v>
      </c>
      <c r="K185" s="3">
        <v>11109</v>
      </c>
      <c r="L185" s="3">
        <v>1685</v>
      </c>
      <c r="M185" s="3">
        <v>876.2</v>
      </c>
      <c r="N185" t="s">
        <v>191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147</v>
      </c>
      <c r="V185" t="s">
        <v>200</v>
      </c>
      <c r="W185" t="s">
        <v>141</v>
      </c>
      <c r="X185" s="4">
        <v>0</v>
      </c>
      <c r="Y185" t="s">
        <v>58</v>
      </c>
      <c r="Z185" s="3">
        <v>0</v>
      </c>
      <c r="AA185">
        <v>0</v>
      </c>
      <c r="AB185">
        <v>0</v>
      </c>
      <c r="AC185">
        <v>0</v>
      </c>
      <c r="AD185" s="3">
        <v>1685</v>
      </c>
      <c r="AE185" s="3">
        <v>1000</v>
      </c>
      <c r="AF185" t="s">
        <v>54</v>
      </c>
      <c r="AG185" t="s">
        <v>59</v>
      </c>
      <c r="AI185" t="s">
        <v>73</v>
      </c>
      <c r="AJ185" t="s">
        <v>73</v>
      </c>
      <c r="AK185" s="5">
        <v>45707.322314814817</v>
      </c>
      <c r="AO185" t="s">
        <v>54</v>
      </c>
      <c r="AP185">
        <v>0</v>
      </c>
      <c r="AR185" t="s">
        <v>54</v>
      </c>
      <c r="AS185" t="s">
        <v>54</v>
      </c>
      <c r="AT185">
        <v>6130</v>
      </c>
      <c r="AU185" t="s">
        <v>55</v>
      </c>
    </row>
    <row r="186" spans="1:47" hidden="1" x14ac:dyDescent="0.25">
      <c r="A186" t="s">
        <v>47</v>
      </c>
      <c r="B186" s="1">
        <v>37075</v>
      </c>
      <c r="C186" t="s">
        <v>48</v>
      </c>
      <c r="D186" t="s">
        <v>49</v>
      </c>
      <c r="E186" s="2">
        <v>45706</v>
      </c>
      <c r="F186" t="s">
        <v>229</v>
      </c>
      <c r="G186" s="3" t="s">
        <v>168</v>
      </c>
      <c r="H186" s="3">
        <v>14231</v>
      </c>
      <c r="I186" s="3">
        <v>14231</v>
      </c>
      <c r="J186">
        <v>0</v>
      </c>
      <c r="K186" s="3">
        <v>16365.65</v>
      </c>
      <c r="L186" s="3">
        <v>1949.4</v>
      </c>
      <c r="M186" s="3">
        <v>1159.8900000000001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V186" t="s">
        <v>200</v>
      </c>
      <c r="W186" t="s">
        <v>230</v>
      </c>
      <c r="X186" s="4">
        <v>0</v>
      </c>
      <c r="Y186" t="s">
        <v>62</v>
      </c>
    </row>
    <row r="187" spans="1:47" hidden="1" x14ac:dyDescent="0.25">
      <c r="A187" t="s">
        <v>63</v>
      </c>
      <c r="B187" s="1">
        <v>0</v>
      </c>
      <c r="C187">
        <v>0</v>
      </c>
      <c r="D187" s="3">
        <v>1949.4</v>
      </c>
      <c r="E187" s="2">
        <v>0</v>
      </c>
      <c r="F187">
        <v>0</v>
      </c>
      <c r="G187" s="3">
        <v>1900</v>
      </c>
      <c r="H187" s="3" t="s">
        <v>54</v>
      </c>
      <c r="I187" s="3" t="s">
        <v>59</v>
      </c>
      <c r="K187" s="3" t="s">
        <v>80</v>
      </c>
      <c r="L187" s="3" t="s">
        <v>73</v>
      </c>
      <c r="M187" s="3">
        <v>45706.736967592595</v>
      </c>
      <c r="Q187" t="s">
        <v>54</v>
      </c>
      <c r="R187">
        <v>0</v>
      </c>
      <c r="T187" t="s">
        <v>54</v>
      </c>
      <c r="U187" t="s">
        <v>54</v>
      </c>
      <c r="V187">
        <v>7023</v>
      </c>
      <c r="W187" t="s">
        <v>55</v>
      </c>
      <c r="X187" s="4"/>
    </row>
    <row r="188" spans="1:47" hidden="1" x14ac:dyDescent="0.25">
      <c r="A188" t="s">
        <v>47</v>
      </c>
      <c r="B188" s="1">
        <v>37076</v>
      </c>
      <c r="C188" t="s">
        <v>48</v>
      </c>
      <c r="D188" t="s">
        <v>49</v>
      </c>
      <c r="E188" s="2">
        <v>45706</v>
      </c>
      <c r="F188" t="s">
        <v>131</v>
      </c>
      <c r="G188" s="3" t="s">
        <v>88</v>
      </c>
      <c r="H188" s="3">
        <v>9660</v>
      </c>
      <c r="I188" s="3">
        <v>9660</v>
      </c>
      <c r="J188">
        <v>0</v>
      </c>
      <c r="K188" s="3">
        <v>11109</v>
      </c>
      <c r="L188" s="3">
        <v>1685</v>
      </c>
      <c r="M188" s="3">
        <v>876.2</v>
      </c>
      <c r="N188" t="s">
        <v>191</v>
      </c>
      <c r="O188" t="s">
        <v>53</v>
      </c>
      <c r="P188" t="s">
        <v>53</v>
      </c>
      <c r="Q188" t="s">
        <v>53</v>
      </c>
      <c r="R188" t="s">
        <v>54</v>
      </c>
      <c r="S188" t="s">
        <v>54</v>
      </c>
      <c r="T188" t="s">
        <v>55</v>
      </c>
      <c r="U188">
        <v>147</v>
      </c>
      <c r="V188" t="s">
        <v>200</v>
      </c>
      <c r="W188" t="s">
        <v>141</v>
      </c>
      <c r="X188" s="4">
        <v>0</v>
      </c>
      <c r="Y188" t="s">
        <v>58</v>
      </c>
      <c r="Z188" s="3">
        <v>0</v>
      </c>
      <c r="AA188">
        <v>0</v>
      </c>
      <c r="AB188">
        <v>0</v>
      </c>
      <c r="AC188">
        <v>0</v>
      </c>
      <c r="AD188" s="3">
        <v>1685</v>
      </c>
      <c r="AE188" s="3">
        <v>1000</v>
      </c>
      <c r="AF188" t="s">
        <v>54</v>
      </c>
      <c r="AG188" t="s">
        <v>59</v>
      </c>
      <c r="AI188" t="s">
        <v>73</v>
      </c>
      <c r="AJ188" t="s">
        <v>73</v>
      </c>
      <c r="AK188" s="5">
        <v>45707.322395833333</v>
      </c>
      <c r="AO188" t="s">
        <v>54</v>
      </c>
      <c r="AP188">
        <v>0</v>
      </c>
      <c r="AR188" t="s">
        <v>54</v>
      </c>
      <c r="AS188" t="s">
        <v>54</v>
      </c>
      <c r="AT188">
        <v>6130</v>
      </c>
      <c r="AU188" t="s">
        <v>55</v>
      </c>
    </row>
    <row r="189" spans="1:47" hidden="1" x14ac:dyDescent="0.25">
      <c r="A189" t="s">
        <v>47</v>
      </c>
      <c r="B189" s="1">
        <v>37077</v>
      </c>
      <c r="C189" t="s">
        <v>48</v>
      </c>
      <c r="D189" t="s">
        <v>49</v>
      </c>
      <c r="E189" s="2">
        <v>45706</v>
      </c>
      <c r="F189" t="s">
        <v>131</v>
      </c>
      <c r="G189" t="s">
        <v>88</v>
      </c>
      <c r="H189" s="3">
        <v>9660</v>
      </c>
      <c r="I189" s="3">
        <v>9660</v>
      </c>
      <c r="J189">
        <v>0</v>
      </c>
      <c r="K189" s="3">
        <v>11109</v>
      </c>
      <c r="L189" s="3">
        <v>1685</v>
      </c>
      <c r="M189" s="3">
        <v>876.2</v>
      </c>
      <c r="N189" t="s">
        <v>191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147</v>
      </c>
      <c r="V189" t="s">
        <v>200</v>
      </c>
      <c r="W189" t="s">
        <v>141</v>
      </c>
      <c r="X189" s="4">
        <v>0</v>
      </c>
      <c r="Y189" t="s">
        <v>58</v>
      </c>
      <c r="Z189">
        <v>0</v>
      </c>
      <c r="AA189">
        <v>0</v>
      </c>
      <c r="AB189">
        <v>0</v>
      </c>
      <c r="AC189">
        <v>0</v>
      </c>
      <c r="AD189" s="3">
        <v>1685</v>
      </c>
      <c r="AE189" s="3">
        <v>1000</v>
      </c>
      <c r="AF189" t="s">
        <v>54</v>
      </c>
      <c r="AG189" t="s">
        <v>59</v>
      </c>
      <c r="AI189" t="s">
        <v>73</v>
      </c>
      <c r="AJ189" t="s">
        <v>73</v>
      </c>
      <c r="AK189" s="5">
        <v>45707.322453703702</v>
      </c>
      <c r="AO189" t="s">
        <v>54</v>
      </c>
      <c r="AP189">
        <v>0</v>
      </c>
      <c r="AR189" t="s">
        <v>54</v>
      </c>
      <c r="AS189" t="s">
        <v>54</v>
      </c>
      <c r="AT189">
        <v>6130</v>
      </c>
      <c r="AU189" t="s">
        <v>55</v>
      </c>
    </row>
    <row r="190" spans="1:47" hidden="1" x14ac:dyDescent="0.25">
      <c r="A190" t="s">
        <v>47</v>
      </c>
      <c r="B190" s="1">
        <v>37078</v>
      </c>
      <c r="C190" t="s">
        <v>48</v>
      </c>
      <c r="D190" s="3" t="s">
        <v>49</v>
      </c>
      <c r="E190" s="2">
        <v>45706</v>
      </c>
      <c r="F190" t="s">
        <v>131</v>
      </c>
      <c r="G190" t="s">
        <v>88</v>
      </c>
      <c r="H190" s="3">
        <v>10630</v>
      </c>
      <c r="I190" s="3">
        <v>10630</v>
      </c>
      <c r="J190">
        <v>0</v>
      </c>
      <c r="K190" s="3">
        <v>12224.5</v>
      </c>
      <c r="L190" s="3">
        <v>1685</v>
      </c>
      <c r="M190" s="3">
        <v>876.2</v>
      </c>
      <c r="N190" t="s">
        <v>52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126</v>
      </c>
      <c r="V190" t="s">
        <v>200</v>
      </c>
      <c r="W190" t="s">
        <v>141</v>
      </c>
      <c r="X190" s="4">
        <v>0</v>
      </c>
      <c r="Y190" t="s">
        <v>58</v>
      </c>
      <c r="Z190">
        <v>0</v>
      </c>
      <c r="AA190">
        <v>0</v>
      </c>
      <c r="AB190">
        <v>0</v>
      </c>
      <c r="AC190">
        <v>0</v>
      </c>
      <c r="AD190" s="3">
        <v>1685</v>
      </c>
      <c r="AE190" s="3">
        <v>1000</v>
      </c>
      <c r="AF190" t="s">
        <v>54</v>
      </c>
      <c r="AG190" t="s">
        <v>59</v>
      </c>
      <c r="AI190" t="s">
        <v>73</v>
      </c>
      <c r="AJ190" t="s">
        <v>73</v>
      </c>
      <c r="AK190" s="5">
        <v>45707.322523148148</v>
      </c>
      <c r="AO190" t="s">
        <v>54</v>
      </c>
      <c r="AP190">
        <v>0</v>
      </c>
      <c r="AR190" t="s">
        <v>54</v>
      </c>
      <c r="AS190" t="s">
        <v>54</v>
      </c>
      <c r="AT190">
        <v>6130</v>
      </c>
      <c r="AU190" t="s">
        <v>55</v>
      </c>
    </row>
    <row r="191" spans="1:47" hidden="1" x14ac:dyDescent="0.25">
      <c r="A191" t="s">
        <v>47</v>
      </c>
      <c r="B191" s="1">
        <v>37080</v>
      </c>
      <c r="C191" t="s">
        <v>48</v>
      </c>
      <c r="D191" t="s">
        <v>49</v>
      </c>
      <c r="E191" s="2">
        <v>45707</v>
      </c>
      <c r="F191" t="s">
        <v>65</v>
      </c>
      <c r="G191" t="s">
        <v>66</v>
      </c>
      <c r="H191" s="3">
        <v>3744</v>
      </c>
      <c r="I191" s="3">
        <v>3744</v>
      </c>
      <c r="J191">
        <v>0</v>
      </c>
      <c r="K191" s="3">
        <v>4305.6000000000004</v>
      </c>
      <c r="L191" s="3">
        <v>512.1</v>
      </c>
      <c r="M191" s="3">
        <v>317.5</v>
      </c>
      <c r="N191" t="s">
        <v>172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146</v>
      </c>
      <c r="V191" t="s">
        <v>173</v>
      </c>
      <c r="W191" t="s">
        <v>67</v>
      </c>
      <c r="X191" s="4">
        <v>0</v>
      </c>
      <c r="Y191" t="s">
        <v>58</v>
      </c>
      <c r="Z191" s="3">
        <v>0</v>
      </c>
      <c r="AA191">
        <v>0</v>
      </c>
      <c r="AB191">
        <v>512.1</v>
      </c>
      <c r="AC191">
        <v>0</v>
      </c>
      <c r="AD191">
        <v>0</v>
      </c>
      <c r="AE191" s="3">
        <v>300</v>
      </c>
      <c r="AF191" t="s">
        <v>54</v>
      </c>
      <c r="AG191" t="s">
        <v>59</v>
      </c>
      <c r="AI191" t="s">
        <v>173</v>
      </c>
      <c r="AJ191" t="s">
        <v>73</v>
      </c>
      <c r="AK191" s="5">
        <v>45707.47</v>
      </c>
      <c r="AO191" t="s">
        <v>54</v>
      </c>
      <c r="AP191">
        <v>0</v>
      </c>
      <c r="AR191" t="s">
        <v>54</v>
      </c>
      <c r="AS191" t="s">
        <v>54</v>
      </c>
      <c r="AT191">
        <v>1269</v>
      </c>
      <c r="AU191" t="s">
        <v>55</v>
      </c>
    </row>
    <row r="192" spans="1:47" hidden="1" x14ac:dyDescent="0.25">
      <c r="A192" t="s">
        <v>47</v>
      </c>
      <c r="B192" s="1">
        <v>37081</v>
      </c>
      <c r="C192" t="s">
        <v>48</v>
      </c>
      <c r="D192" t="s">
        <v>49</v>
      </c>
      <c r="E192" s="2">
        <v>45707</v>
      </c>
      <c r="F192" t="s">
        <v>175</v>
      </c>
      <c r="G192" s="3" t="s">
        <v>93</v>
      </c>
      <c r="H192" s="3">
        <v>11225</v>
      </c>
      <c r="I192" s="3">
        <v>11225</v>
      </c>
      <c r="J192">
        <v>0</v>
      </c>
      <c r="K192" s="3">
        <v>12908.75</v>
      </c>
      <c r="L192" s="3">
        <v>1187.8499999999999</v>
      </c>
      <c r="M192" s="3">
        <v>811.11</v>
      </c>
      <c r="N192" t="s">
        <v>105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145</v>
      </c>
      <c r="V192" t="s">
        <v>144</v>
      </c>
      <c r="W192" t="s">
        <v>106</v>
      </c>
      <c r="X192" s="4">
        <v>0</v>
      </c>
      <c r="Y192" t="s">
        <v>62</v>
      </c>
      <c r="Z192" s="3"/>
      <c r="AE192" s="3"/>
      <c r="AK192" s="5"/>
    </row>
    <row r="193" spans="1:47" hidden="1" x14ac:dyDescent="0.25">
      <c r="A193" t="s">
        <v>63</v>
      </c>
      <c r="B193" s="1">
        <v>0</v>
      </c>
      <c r="C193">
        <v>0</v>
      </c>
      <c r="D193" s="3">
        <v>1116.3499999999999</v>
      </c>
      <c r="E193" s="2">
        <v>0</v>
      </c>
      <c r="F193">
        <v>71.5</v>
      </c>
      <c r="G193">
        <v>550</v>
      </c>
      <c r="H193" s="3" t="s">
        <v>54</v>
      </c>
      <c r="I193" s="3" t="s">
        <v>59</v>
      </c>
      <c r="J193" t="s">
        <v>142</v>
      </c>
      <c r="K193" s="3" t="s">
        <v>73</v>
      </c>
      <c r="L193" s="3" t="s">
        <v>73</v>
      </c>
      <c r="M193" s="3">
        <v>45707.585740740738</v>
      </c>
      <c r="Q193" t="s">
        <v>54</v>
      </c>
      <c r="R193">
        <v>0</v>
      </c>
      <c r="T193" t="s">
        <v>54</v>
      </c>
      <c r="U193" t="s">
        <v>54</v>
      </c>
      <c r="V193">
        <v>5509</v>
      </c>
      <c r="W193" t="s">
        <v>55</v>
      </c>
      <c r="X193" s="4"/>
      <c r="Z193" s="3"/>
      <c r="AE193" s="3"/>
      <c r="AK193" s="5"/>
    </row>
    <row r="194" spans="1:47" hidden="1" x14ac:dyDescent="0.25">
      <c r="A194" t="s">
        <v>47</v>
      </c>
      <c r="B194" s="1">
        <v>37082</v>
      </c>
      <c r="C194" t="s">
        <v>48</v>
      </c>
      <c r="D194" t="s">
        <v>49</v>
      </c>
      <c r="E194" s="2">
        <v>45707</v>
      </c>
      <c r="F194" t="s">
        <v>100</v>
      </c>
      <c r="G194" s="3" t="s">
        <v>93</v>
      </c>
      <c r="H194" s="3">
        <v>15976</v>
      </c>
      <c r="I194" s="3">
        <v>15976</v>
      </c>
      <c r="J194">
        <v>0</v>
      </c>
      <c r="K194" s="3">
        <v>18372.400000000001</v>
      </c>
      <c r="L194" s="3">
        <v>3042</v>
      </c>
      <c r="M194" s="3">
        <v>1211.1199999999999</v>
      </c>
      <c r="N194" t="s">
        <v>83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9</v>
      </c>
      <c r="V194" t="s">
        <v>71</v>
      </c>
      <c r="W194" t="s">
        <v>101</v>
      </c>
      <c r="X194" s="4">
        <v>0</v>
      </c>
      <c r="Y194" t="s">
        <v>58</v>
      </c>
      <c r="Z194" s="3">
        <v>3042</v>
      </c>
      <c r="AA194">
        <v>0</v>
      </c>
      <c r="AB194">
        <v>0</v>
      </c>
      <c r="AC194">
        <v>0</v>
      </c>
      <c r="AD194">
        <v>0</v>
      </c>
      <c r="AE194" s="3">
        <v>7000</v>
      </c>
      <c r="AF194" t="s">
        <v>54</v>
      </c>
      <c r="AG194" t="s">
        <v>59</v>
      </c>
      <c r="AH194" t="s">
        <v>102</v>
      </c>
      <c r="AI194" t="s">
        <v>73</v>
      </c>
      <c r="AJ194" t="s">
        <v>73</v>
      </c>
      <c r="AK194" s="5">
        <v>45707.593715277777</v>
      </c>
      <c r="AO194" t="s">
        <v>54</v>
      </c>
      <c r="AP194">
        <v>0</v>
      </c>
      <c r="AR194" t="s">
        <v>54</v>
      </c>
      <c r="AS194" t="s">
        <v>54</v>
      </c>
      <c r="AT194">
        <v>161</v>
      </c>
      <c r="AU194" t="s">
        <v>55</v>
      </c>
    </row>
    <row r="195" spans="1:47" hidden="1" x14ac:dyDescent="0.25">
      <c r="A195" t="s">
        <v>47</v>
      </c>
      <c r="B195" s="1">
        <v>37083</v>
      </c>
      <c r="C195" t="s">
        <v>48</v>
      </c>
      <c r="D195" t="s">
        <v>49</v>
      </c>
      <c r="E195" s="2">
        <v>45707</v>
      </c>
      <c r="F195" t="s">
        <v>231</v>
      </c>
      <c r="G195" t="s">
        <v>108</v>
      </c>
      <c r="H195" s="3">
        <v>7980</v>
      </c>
      <c r="I195" s="3">
        <v>7980</v>
      </c>
      <c r="J195">
        <v>0</v>
      </c>
      <c r="K195" s="3">
        <v>9177</v>
      </c>
      <c r="L195" s="3">
        <v>992.7</v>
      </c>
      <c r="M195" s="3">
        <v>364.32</v>
      </c>
      <c r="N195" t="s">
        <v>83</v>
      </c>
      <c r="O195" t="s">
        <v>53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9</v>
      </c>
      <c r="V195" t="s">
        <v>71</v>
      </c>
      <c r="W195" t="s">
        <v>94</v>
      </c>
      <c r="X195" s="4">
        <v>0</v>
      </c>
      <c r="Y195" t="s">
        <v>62</v>
      </c>
      <c r="Z195" s="3"/>
      <c r="AE195" s="3"/>
      <c r="AK195" s="5"/>
    </row>
    <row r="196" spans="1:47" hidden="1" x14ac:dyDescent="0.25">
      <c r="A196" t="s">
        <v>63</v>
      </c>
      <c r="B196" s="1">
        <v>992.7</v>
      </c>
      <c r="C196">
        <v>0</v>
      </c>
      <c r="D196">
        <v>0</v>
      </c>
      <c r="E196" s="2">
        <v>0</v>
      </c>
      <c r="F196">
        <v>0</v>
      </c>
      <c r="G196" s="3">
        <v>1200</v>
      </c>
      <c r="H196" s="3" t="s">
        <v>54</v>
      </c>
      <c r="I196" s="3" t="s">
        <v>59</v>
      </c>
      <c r="K196" s="3" t="s">
        <v>73</v>
      </c>
      <c r="L196" s="3" t="s">
        <v>73</v>
      </c>
      <c r="M196" s="3">
        <v>45707.654652777775</v>
      </c>
      <c r="Q196" t="s">
        <v>54</v>
      </c>
      <c r="R196">
        <v>0</v>
      </c>
      <c r="T196" t="s">
        <v>54</v>
      </c>
      <c r="U196" t="s">
        <v>54</v>
      </c>
      <c r="V196">
        <v>7671</v>
      </c>
      <c r="W196" t="s">
        <v>55</v>
      </c>
      <c r="X196" s="4"/>
      <c r="AB196" s="3"/>
      <c r="AE196" s="3"/>
      <c r="AK196" s="5"/>
    </row>
    <row r="197" spans="1:47" hidden="1" x14ac:dyDescent="0.25">
      <c r="A197" t="s">
        <v>47</v>
      </c>
      <c r="B197" s="1">
        <v>37089</v>
      </c>
      <c r="C197" t="s">
        <v>48</v>
      </c>
      <c r="D197" t="s">
        <v>49</v>
      </c>
      <c r="E197" s="2">
        <v>45708</v>
      </c>
      <c r="F197" t="s">
        <v>232</v>
      </c>
      <c r="G197" s="3" t="s">
        <v>163</v>
      </c>
      <c r="H197" s="3">
        <v>1500</v>
      </c>
      <c r="I197" s="3">
        <v>1500</v>
      </c>
      <c r="J197">
        <v>0</v>
      </c>
      <c r="K197" s="3">
        <v>1725</v>
      </c>
      <c r="L197">
        <v>352.5</v>
      </c>
      <c r="M197" s="3">
        <v>119.85</v>
      </c>
      <c r="N197" t="s">
        <v>105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145</v>
      </c>
      <c r="V197" t="s">
        <v>144</v>
      </c>
      <c r="W197" t="s">
        <v>109</v>
      </c>
      <c r="X197" s="4">
        <v>0</v>
      </c>
      <c r="Y197" t="s">
        <v>62</v>
      </c>
      <c r="AE197" s="3"/>
      <c r="AK197" s="5"/>
    </row>
    <row r="198" spans="1:47" hidden="1" x14ac:dyDescent="0.25">
      <c r="A198" t="s">
        <v>63</v>
      </c>
      <c r="B198" s="1">
        <v>352.5</v>
      </c>
      <c r="C198">
        <v>0</v>
      </c>
      <c r="D198">
        <v>0</v>
      </c>
      <c r="E198" s="2">
        <v>0</v>
      </c>
      <c r="F198">
        <v>0</v>
      </c>
      <c r="G198">
        <v>500</v>
      </c>
      <c r="H198" s="3" t="s">
        <v>54</v>
      </c>
      <c r="I198" s="3" t="s">
        <v>59</v>
      </c>
      <c r="K198" s="3" t="s">
        <v>73</v>
      </c>
      <c r="L198" s="3" t="s">
        <v>73</v>
      </c>
      <c r="M198" s="3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  <c r="X198" s="4"/>
      <c r="Z198" s="3"/>
      <c r="AD198" s="3"/>
      <c r="AE198" s="3"/>
      <c r="AK198" s="5"/>
    </row>
    <row r="199" spans="1:47" hidden="1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 s="3">
        <v>320.5</v>
      </c>
      <c r="M199" s="3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  <c r="Z199" s="3"/>
      <c r="AE199" s="3"/>
      <c r="AK199" s="5"/>
    </row>
    <row r="200" spans="1:47" hidden="1" x14ac:dyDescent="0.25">
      <c r="A200" t="s">
        <v>63</v>
      </c>
      <c r="B200" s="1">
        <v>320.5</v>
      </c>
      <c r="C200">
        <v>0</v>
      </c>
      <c r="D200">
        <v>0</v>
      </c>
      <c r="E200" s="2">
        <v>0</v>
      </c>
      <c r="F200">
        <v>0</v>
      </c>
      <c r="G200">
        <v>500</v>
      </c>
      <c r="H200" s="3" t="s">
        <v>54</v>
      </c>
      <c r="I200" s="3" t="s">
        <v>59</v>
      </c>
      <c r="K200" s="3" t="s">
        <v>73</v>
      </c>
      <c r="L200" s="3" t="s">
        <v>73</v>
      </c>
      <c r="M200" s="3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  <c r="X200" s="4"/>
      <c r="AB200" s="3"/>
      <c r="AK200" s="5"/>
    </row>
    <row r="201" spans="1:47" hidden="1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233</v>
      </c>
      <c r="G201" t="s">
        <v>155</v>
      </c>
      <c r="H201" s="3">
        <v>3640</v>
      </c>
      <c r="I201" s="3">
        <v>3640</v>
      </c>
      <c r="J201">
        <v>0</v>
      </c>
      <c r="K201" s="3">
        <v>3640</v>
      </c>
      <c r="L201" s="3">
        <v>904.8</v>
      </c>
      <c r="M201" s="3">
        <v>307.63</v>
      </c>
      <c r="N201" t="s">
        <v>172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173</v>
      </c>
      <c r="W201" t="s">
        <v>234</v>
      </c>
      <c r="X201" s="4">
        <v>0</v>
      </c>
      <c r="Y201" t="s">
        <v>62</v>
      </c>
      <c r="AB201" s="3"/>
      <c r="AK201" s="5"/>
    </row>
    <row r="202" spans="1:47" hidden="1" x14ac:dyDescent="0.25">
      <c r="A202" t="s">
        <v>63</v>
      </c>
      <c r="B202" s="1">
        <v>904.8</v>
      </c>
      <c r="C202">
        <v>0</v>
      </c>
      <c r="D202">
        <v>0</v>
      </c>
      <c r="E202" s="2">
        <v>0</v>
      </c>
      <c r="F202">
        <v>0</v>
      </c>
      <c r="G202" s="3">
        <v>1300</v>
      </c>
      <c r="H202" s="3" t="s">
        <v>54</v>
      </c>
      <c r="I202" s="3" t="s">
        <v>59</v>
      </c>
      <c r="J202" t="s">
        <v>235</v>
      </c>
      <c r="K202" s="3" t="s">
        <v>173</v>
      </c>
      <c r="L202" t="s">
        <v>73</v>
      </c>
      <c r="M202" s="3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  <c r="X202" s="4"/>
      <c r="AE202" s="3"/>
      <c r="AK202" s="5"/>
    </row>
    <row r="203" spans="1:47" hidden="1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87</v>
      </c>
      <c r="G203" t="s">
        <v>88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 s="3">
        <v>364.54</v>
      </c>
      <c r="N203" t="s">
        <v>83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89</v>
      </c>
      <c r="X203" s="4">
        <v>0</v>
      </c>
      <c r="Y203" t="s">
        <v>62</v>
      </c>
      <c r="AK203" s="5"/>
    </row>
    <row r="204" spans="1:47" hidden="1" x14ac:dyDescent="0.25">
      <c r="A204" t="s">
        <v>63</v>
      </c>
      <c r="B204" s="1">
        <v>993.3</v>
      </c>
      <c r="C204">
        <v>0</v>
      </c>
      <c r="D204">
        <v>0</v>
      </c>
      <c r="E204" s="2">
        <v>0</v>
      </c>
      <c r="F204">
        <v>0</v>
      </c>
      <c r="G204" s="3">
        <v>1050</v>
      </c>
      <c r="H204" s="3" t="s">
        <v>54</v>
      </c>
      <c r="I204" s="3" t="s">
        <v>90</v>
      </c>
      <c r="K204" s="3" t="s">
        <v>73</v>
      </c>
      <c r="L204" t="s">
        <v>73</v>
      </c>
      <c r="M204" s="3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  <c r="X204" s="4"/>
      <c r="AK204" s="5"/>
    </row>
    <row r="205" spans="1:47" hidden="1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92</v>
      </c>
      <c r="G205" t="s">
        <v>93</v>
      </c>
      <c r="H205" s="3">
        <v>38.700000000000003</v>
      </c>
      <c r="I205" s="3">
        <v>38.700000000000003</v>
      </c>
      <c r="J205">
        <v>0</v>
      </c>
      <c r="K205" s="3">
        <v>44.51</v>
      </c>
      <c r="L205" s="3">
        <v>1.94</v>
      </c>
      <c r="M205" s="3">
        <v>1.2</v>
      </c>
      <c r="N205" t="s">
        <v>83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94</v>
      </c>
      <c r="X205" s="4">
        <v>0</v>
      </c>
      <c r="Y205" t="s">
        <v>62</v>
      </c>
      <c r="AB205" s="3"/>
      <c r="AD205" s="3"/>
      <c r="AE205" s="3"/>
      <c r="AK205" s="5"/>
    </row>
    <row r="206" spans="1:47" hidden="1" x14ac:dyDescent="0.25">
      <c r="A206" t="s">
        <v>63</v>
      </c>
      <c r="B206" s="1">
        <v>0</v>
      </c>
      <c r="C206">
        <v>0</v>
      </c>
      <c r="D206">
        <v>1.94</v>
      </c>
      <c r="E206" s="2">
        <v>0</v>
      </c>
      <c r="F206" s="3">
        <v>0</v>
      </c>
      <c r="G206" s="3">
        <v>15</v>
      </c>
      <c r="H206" s="3" t="s">
        <v>54</v>
      </c>
      <c r="I206" s="3" t="s">
        <v>59</v>
      </c>
      <c r="K206" s="3" t="s">
        <v>73</v>
      </c>
      <c r="L206" s="3" t="s">
        <v>73</v>
      </c>
      <c r="M206" s="3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  <c r="X206" s="4"/>
    </row>
    <row r="207" spans="1:47" hidden="1" x14ac:dyDescent="0.25">
      <c r="A207" t="s">
        <v>134</v>
      </c>
      <c r="B207" s="1">
        <v>37097</v>
      </c>
      <c r="C207" t="s">
        <v>48</v>
      </c>
      <c r="D207" t="s">
        <v>49</v>
      </c>
      <c r="E207" s="2">
        <v>45713</v>
      </c>
      <c r="F207" t="s">
        <v>236</v>
      </c>
      <c r="G207" s="3" t="s">
        <v>237</v>
      </c>
      <c r="H207" s="3">
        <v>5220</v>
      </c>
      <c r="I207" s="3">
        <v>5220</v>
      </c>
      <c r="J207">
        <v>0</v>
      </c>
      <c r="K207" s="3">
        <v>5220</v>
      </c>
      <c r="L207" s="3">
        <v>853</v>
      </c>
      <c r="M207" s="3">
        <v>507.54</v>
      </c>
      <c r="N207" t="s">
        <v>83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160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hidden="1" x14ac:dyDescent="0.25">
      <c r="A208" t="s">
        <v>134</v>
      </c>
      <c r="B208" s="1">
        <v>37098</v>
      </c>
      <c r="C208" t="s">
        <v>48</v>
      </c>
      <c r="D208" t="s">
        <v>49</v>
      </c>
      <c r="E208" s="2">
        <v>45713</v>
      </c>
      <c r="F208" s="3" t="s">
        <v>236</v>
      </c>
      <c r="G208" s="3" t="s">
        <v>237</v>
      </c>
      <c r="H208" s="3">
        <v>5220</v>
      </c>
      <c r="I208" s="3">
        <v>5220</v>
      </c>
      <c r="J208">
        <v>0</v>
      </c>
      <c r="K208" s="3">
        <v>5220</v>
      </c>
      <c r="L208" s="3">
        <v>853</v>
      </c>
      <c r="M208" s="3">
        <v>507.54</v>
      </c>
      <c r="N208" t="s">
        <v>83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160</v>
      </c>
      <c r="X208" s="4">
        <v>0</v>
      </c>
      <c r="Y208" t="s">
        <v>58</v>
      </c>
      <c r="Z208">
        <v>0</v>
      </c>
      <c r="AA208">
        <v>853</v>
      </c>
      <c r="AB208" s="3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hidden="1" x14ac:dyDescent="0.25">
      <c r="A209" t="s">
        <v>134</v>
      </c>
      <c r="B209" s="1">
        <v>37099</v>
      </c>
      <c r="C209" t="s">
        <v>48</v>
      </c>
      <c r="D209" t="s">
        <v>49</v>
      </c>
      <c r="E209" s="2">
        <v>45713</v>
      </c>
      <c r="F209" t="s">
        <v>238</v>
      </c>
      <c r="G209" s="3" t="s">
        <v>237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 s="3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173</v>
      </c>
      <c r="W209" t="s">
        <v>160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173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hidden="1" x14ac:dyDescent="0.25">
      <c r="A210" t="s">
        <v>47</v>
      </c>
      <c r="B210" s="1">
        <v>37100</v>
      </c>
      <c r="C210" t="s">
        <v>48</v>
      </c>
      <c r="D210" s="3" t="s">
        <v>49</v>
      </c>
      <c r="E210" s="2">
        <v>45714</v>
      </c>
      <c r="F210" t="s">
        <v>100</v>
      </c>
      <c r="G210" s="3" t="s">
        <v>93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83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101</v>
      </c>
      <c r="X210" s="4">
        <v>0</v>
      </c>
      <c r="Y210" t="s">
        <v>58</v>
      </c>
      <c r="Z210" s="3">
        <v>28885</v>
      </c>
      <c r="AA210">
        <v>0</v>
      </c>
      <c r="AB210" s="3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102</v>
      </c>
      <c r="AI210" t="s">
        <v>91</v>
      </c>
      <c r="AJ210" t="s">
        <v>91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hidden="1" x14ac:dyDescent="0.25">
      <c r="A211" t="s">
        <v>95</v>
      </c>
      <c r="B211" s="1">
        <v>37102</v>
      </c>
      <c r="C211" t="s">
        <v>48</v>
      </c>
      <c r="D211" t="s">
        <v>49</v>
      </c>
      <c r="E211" s="2">
        <v>45714</v>
      </c>
      <c r="F211" t="s">
        <v>405</v>
      </c>
      <c r="G211" s="3" t="s">
        <v>88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 s="3">
        <v>643.54</v>
      </c>
      <c r="N211" t="s">
        <v>191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200</v>
      </c>
      <c r="W211" t="s">
        <v>406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147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hidden="1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205</v>
      </c>
      <c r="G212" t="s">
        <v>117</v>
      </c>
      <c r="H212" s="3">
        <v>1775</v>
      </c>
      <c r="I212" s="3">
        <v>1775</v>
      </c>
      <c r="J212">
        <v>0</v>
      </c>
      <c r="K212" s="3">
        <v>2041.25</v>
      </c>
      <c r="L212" s="3">
        <v>262</v>
      </c>
      <c r="M212" s="3">
        <v>150.65</v>
      </c>
      <c r="N212" t="s">
        <v>172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173</v>
      </c>
      <c r="W212" t="s">
        <v>115</v>
      </c>
      <c r="X212" s="4">
        <v>0</v>
      </c>
      <c r="Y212" t="s">
        <v>58</v>
      </c>
      <c r="Z212" s="3">
        <v>0</v>
      </c>
      <c r="AA212">
        <v>0</v>
      </c>
      <c r="AB212">
        <v>262</v>
      </c>
      <c r="AC212">
        <v>0</v>
      </c>
      <c r="AD212">
        <v>0</v>
      </c>
      <c r="AE212" s="3">
        <v>500</v>
      </c>
      <c r="AF212" t="s">
        <v>54</v>
      </c>
      <c r="AG212" t="s">
        <v>59</v>
      </c>
      <c r="AH212" t="s">
        <v>206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hidden="1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205</v>
      </c>
      <c r="G213" s="3" t="s">
        <v>117</v>
      </c>
      <c r="H213" s="3">
        <v>1775</v>
      </c>
      <c r="I213" s="3">
        <v>1775</v>
      </c>
      <c r="J213">
        <v>0</v>
      </c>
      <c r="K213" s="3">
        <v>2041.25</v>
      </c>
      <c r="L213" s="3">
        <v>262</v>
      </c>
      <c r="M213" s="3">
        <v>150.65</v>
      </c>
      <c r="N213" t="s">
        <v>172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173</v>
      </c>
      <c r="W213" t="s">
        <v>115</v>
      </c>
      <c r="X213" s="4">
        <v>0</v>
      </c>
      <c r="Y213" t="s">
        <v>58</v>
      </c>
      <c r="Z213" s="3">
        <v>0</v>
      </c>
      <c r="AA213">
        <v>0</v>
      </c>
      <c r="AB213">
        <v>262</v>
      </c>
      <c r="AC213">
        <v>0</v>
      </c>
      <c r="AD213">
        <v>0</v>
      </c>
      <c r="AE213" s="3">
        <v>500</v>
      </c>
      <c r="AF213" t="s">
        <v>54</v>
      </c>
      <c r="AG213" t="s">
        <v>59</v>
      </c>
      <c r="AH213" t="s">
        <v>206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hidden="1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239</v>
      </c>
      <c r="G214" t="s">
        <v>240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83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  <c r="Z214" s="3"/>
      <c r="AE214" s="3"/>
      <c r="AK214" s="5"/>
    </row>
    <row r="215" spans="1:47" hidden="1" x14ac:dyDescent="0.25">
      <c r="A215" t="s">
        <v>58</v>
      </c>
      <c r="B215" s="3">
        <v>3988.75</v>
      </c>
      <c r="C215">
        <v>0</v>
      </c>
      <c r="D215">
        <v>0</v>
      </c>
      <c r="E215" s="2">
        <v>0</v>
      </c>
      <c r="F215">
        <v>431</v>
      </c>
      <c r="G215" s="3">
        <v>11750</v>
      </c>
      <c r="H215" s="3" t="s">
        <v>54</v>
      </c>
      <c r="I215" s="3" t="s">
        <v>59</v>
      </c>
      <c r="K215" s="3" t="s">
        <v>73</v>
      </c>
      <c r="L215" s="3" t="s">
        <v>73</v>
      </c>
      <c r="M215" s="3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  <c r="X215" s="4"/>
      <c r="AE215" s="3"/>
      <c r="AK215" s="5"/>
    </row>
    <row r="216" spans="1:47" hidden="1" x14ac:dyDescent="0.25">
      <c r="A216" t="s">
        <v>47</v>
      </c>
      <c r="B216" s="1">
        <v>37106</v>
      </c>
      <c r="C216" s="3" t="s">
        <v>48</v>
      </c>
      <c r="D216" t="s">
        <v>49</v>
      </c>
      <c r="E216" s="2">
        <v>45715</v>
      </c>
      <c r="F216" t="s">
        <v>239</v>
      </c>
      <c r="G216" s="3" t="s">
        <v>240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83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hidden="1" x14ac:dyDescent="0.25">
      <c r="A217" t="s">
        <v>58</v>
      </c>
      <c r="B217" s="3">
        <v>3988.75</v>
      </c>
      <c r="C217">
        <v>0</v>
      </c>
      <c r="D217">
        <v>0</v>
      </c>
      <c r="E217" s="2">
        <v>0</v>
      </c>
      <c r="F217">
        <v>431</v>
      </c>
      <c r="G217" s="3">
        <v>11750</v>
      </c>
      <c r="H217" s="3" t="s">
        <v>54</v>
      </c>
      <c r="I217" s="3" t="s">
        <v>59</v>
      </c>
      <c r="K217" s="3" t="s">
        <v>73</v>
      </c>
      <c r="L217" s="3" t="s">
        <v>73</v>
      </c>
      <c r="M217" s="3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  <c r="X217" s="4"/>
      <c r="AA217" s="3"/>
      <c r="AE217" s="3"/>
      <c r="AK217" s="5"/>
    </row>
    <row r="218" spans="1:47" hidden="1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157</v>
      </c>
      <c r="G218" t="s">
        <v>108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158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hidden="1" x14ac:dyDescent="0.25">
      <c r="A219" t="s">
        <v>47</v>
      </c>
      <c r="B219" s="1">
        <v>37109</v>
      </c>
      <c r="C219" t="s">
        <v>48</v>
      </c>
      <c r="D219" s="3" t="s">
        <v>49</v>
      </c>
      <c r="E219" s="2">
        <v>45716</v>
      </c>
      <c r="F219" t="s">
        <v>241</v>
      </c>
      <c r="G219" s="3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 s="3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113</v>
      </c>
      <c r="X219" s="4">
        <v>0</v>
      </c>
      <c r="Y219" t="s">
        <v>62</v>
      </c>
    </row>
    <row r="220" spans="1:47" hidden="1" x14ac:dyDescent="0.25">
      <c r="A220" t="s">
        <v>63</v>
      </c>
      <c r="B220" s="1">
        <v>129.78</v>
      </c>
      <c r="C220">
        <v>0</v>
      </c>
      <c r="D220">
        <v>0</v>
      </c>
      <c r="E220" s="2">
        <v>0</v>
      </c>
      <c r="F220">
        <v>0</v>
      </c>
      <c r="G220">
        <v>70</v>
      </c>
      <c r="H220" s="3" t="s">
        <v>54</v>
      </c>
      <c r="I220" s="3" t="s">
        <v>59</v>
      </c>
      <c r="J220" t="s">
        <v>79</v>
      </c>
      <c r="K220" s="3" t="s">
        <v>80</v>
      </c>
      <c r="L220" s="3" t="s">
        <v>73</v>
      </c>
      <c r="M220" s="3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  <c r="X220" s="4"/>
      <c r="AB220" s="3"/>
      <c r="AE220" s="3"/>
      <c r="AK220" s="5"/>
    </row>
    <row r="221" spans="1:47" hidden="1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s="3" t="s">
        <v>242</v>
      </c>
      <c r="G221" s="3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 s="3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  <c r="AB221" s="3"/>
      <c r="AE221" s="3"/>
      <c r="AK221" s="5"/>
    </row>
    <row r="222" spans="1:47" hidden="1" x14ac:dyDescent="0.25">
      <c r="A222" t="s">
        <v>63</v>
      </c>
      <c r="B222" s="3">
        <v>1691.03</v>
      </c>
      <c r="C222">
        <v>0</v>
      </c>
      <c r="D222">
        <v>0</v>
      </c>
      <c r="E222" s="2">
        <v>0</v>
      </c>
      <c r="F222">
        <v>0</v>
      </c>
      <c r="G222" s="3">
        <v>1415</v>
      </c>
      <c r="H222" s="3" t="s">
        <v>54</v>
      </c>
      <c r="I222" s="3" t="s">
        <v>59</v>
      </c>
      <c r="K222" s="3" t="s">
        <v>80</v>
      </c>
      <c r="L222" s="3" t="s">
        <v>60</v>
      </c>
      <c r="M222" s="3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  <c r="X222" s="4"/>
      <c r="AE222" s="3"/>
      <c r="AK222" s="5"/>
    </row>
    <row r="223" spans="1:47" hidden="1" x14ac:dyDescent="0.25">
      <c r="A223" t="s">
        <v>47</v>
      </c>
      <c r="B223" s="1">
        <v>37111</v>
      </c>
      <c r="C223" t="s">
        <v>48</v>
      </c>
      <c r="D223" s="3" t="s">
        <v>49</v>
      </c>
      <c r="E223" s="2">
        <v>45720</v>
      </c>
      <c r="F223" t="s">
        <v>68</v>
      </c>
      <c r="G223" s="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 s="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hidden="1" x14ac:dyDescent="0.25">
      <c r="A224" t="s">
        <v>63</v>
      </c>
      <c r="B224" s="1">
        <v>769.2</v>
      </c>
      <c r="C224">
        <v>0</v>
      </c>
      <c r="D224">
        <v>0</v>
      </c>
      <c r="E224" s="2">
        <v>0</v>
      </c>
      <c r="F224">
        <v>84</v>
      </c>
      <c r="G224" s="3">
        <v>2200</v>
      </c>
      <c r="H224" s="3" t="s">
        <v>54</v>
      </c>
      <c r="I224" s="3" t="s">
        <v>59</v>
      </c>
      <c r="K224" s="3" t="s">
        <v>73</v>
      </c>
      <c r="L224" s="3" t="s">
        <v>73</v>
      </c>
      <c r="M224" s="3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  <c r="X224" s="4"/>
    </row>
    <row r="225" spans="1:47" hidden="1" x14ac:dyDescent="0.25">
      <c r="A225" t="s">
        <v>95</v>
      </c>
      <c r="B225" s="1">
        <v>37116</v>
      </c>
      <c r="C225" t="s">
        <v>48</v>
      </c>
      <c r="D225" t="s">
        <v>49</v>
      </c>
      <c r="E225" s="2">
        <v>45721</v>
      </c>
      <c r="F225" t="s">
        <v>243</v>
      </c>
      <c r="G225" s="3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172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173</v>
      </c>
      <c r="W225" t="s">
        <v>151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hidden="1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s="3" t="s">
        <v>107</v>
      </c>
      <c r="G226" s="3" t="s">
        <v>108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83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109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91</v>
      </c>
      <c r="AJ226" t="s">
        <v>91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hidden="1" x14ac:dyDescent="0.25">
      <c r="A227" t="s">
        <v>47</v>
      </c>
      <c r="B227" s="1">
        <v>37122</v>
      </c>
      <c r="C227" t="s">
        <v>48</v>
      </c>
      <c r="D227" s="3" t="s">
        <v>49</v>
      </c>
      <c r="E227" s="2">
        <v>45722</v>
      </c>
      <c r="F227" t="s">
        <v>244</v>
      </c>
      <c r="G227" s="3" t="s">
        <v>93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 s="3">
        <v>266.22000000000003</v>
      </c>
      <c r="N227" t="s">
        <v>105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144</v>
      </c>
      <c r="W227" t="s">
        <v>132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214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hidden="1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100</v>
      </c>
      <c r="G228" t="s">
        <v>93</v>
      </c>
      <c r="H228" s="3">
        <v>465</v>
      </c>
      <c r="I228" s="3">
        <v>465</v>
      </c>
      <c r="J228">
        <v>0</v>
      </c>
      <c r="K228" s="3">
        <v>534.75</v>
      </c>
      <c r="L228" s="3">
        <v>119.7</v>
      </c>
      <c r="M228" s="3">
        <v>43.93</v>
      </c>
      <c r="N228" t="s">
        <v>83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101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102</v>
      </c>
      <c r="AI228" t="s">
        <v>91</v>
      </c>
      <c r="AJ228" t="s">
        <v>91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hidden="1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170</v>
      </c>
      <c r="G229" s="3" t="s">
        <v>112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 s="3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169</v>
      </c>
      <c r="X229" s="4">
        <v>0</v>
      </c>
      <c r="Y229" t="s">
        <v>62</v>
      </c>
      <c r="AK229" s="5"/>
    </row>
    <row r="230" spans="1:47" hidden="1" x14ac:dyDescent="0.25">
      <c r="A230" t="s">
        <v>63</v>
      </c>
      <c r="B230" s="1">
        <v>808</v>
      </c>
      <c r="C230">
        <v>0</v>
      </c>
      <c r="D230">
        <v>0</v>
      </c>
      <c r="E230" s="2">
        <v>0</v>
      </c>
      <c r="F230">
        <v>0</v>
      </c>
      <c r="G230" s="3">
        <v>1000</v>
      </c>
      <c r="H230" s="3" t="s">
        <v>54</v>
      </c>
      <c r="I230" s="3" t="s">
        <v>59</v>
      </c>
      <c r="K230" s="3" t="s">
        <v>91</v>
      </c>
      <c r="L230" s="3" t="s">
        <v>91</v>
      </c>
      <c r="M230" s="3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  <c r="X230" s="4"/>
      <c r="AK230" s="5"/>
    </row>
    <row r="231" spans="1:47" hidden="1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s="3" t="s">
        <v>100</v>
      </c>
      <c r="G231" s="3" t="s">
        <v>93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83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101</v>
      </c>
      <c r="X231" s="4">
        <v>0</v>
      </c>
      <c r="Y231" t="s">
        <v>58</v>
      </c>
      <c r="Z231" s="3">
        <v>4995.88</v>
      </c>
      <c r="AA231">
        <v>0</v>
      </c>
      <c r="AB231" s="3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102</v>
      </c>
      <c r="AI231" t="s">
        <v>91</v>
      </c>
      <c r="AJ231" t="s">
        <v>91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hidden="1" x14ac:dyDescent="0.25">
      <c r="A232" t="s">
        <v>95</v>
      </c>
      <c r="B232" s="1">
        <v>37129</v>
      </c>
      <c r="C232" t="s">
        <v>48</v>
      </c>
      <c r="D232" t="s">
        <v>49</v>
      </c>
      <c r="E232" s="2">
        <v>45723</v>
      </c>
      <c r="F232" t="s">
        <v>245</v>
      </c>
      <c r="G232" t="s">
        <v>93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 s="3">
        <v>375.04</v>
      </c>
      <c r="N232" t="s">
        <v>105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144</v>
      </c>
      <c r="W232" t="s">
        <v>158</v>
      </c>
      <c r="X232" s="4">
        <v>0</v>
      </c>
      <c r="Y232" t="s">
        <v>58</v>
      </c>
      <c r="Z232" s="3">
        <v>1021.9</v>
      </c>
      <c r="AA232">
        <v>0</v>
      </c>
      <c r="AB232" s="3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214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hidden="1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217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105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144</v>
      </c>
      <c r="W233">
        <v>10</v>
      </c>
      <c r="X233" s="4">
        <v>0</v>
      </c>
      <c r="Y233" t="s">
        <v>62</v>
      </c>
      <c r="AE233" s="3"/>
      <c r="AK233" s="5"/>
    </row>
    <row r="234" spans="1:47" hidden="1" x14ac:dyDescent="0.25">
      <c r="A234" t="s">
        <v>63</v>
      </c>
      <c r="B234" s="1">
        <v>0</v>
      </c>
      <c r="C234">
        <v>0</v>
      </c>
      <c r="D234">
        <v>0</v>
      </c>
      <c r="E234" s="2">
        <v>0</v>
      </c>
      <c r="F234" s="3">
        <v>4117.2</v>
      </c>
      <c r="G234" s="3">
        <v>1500</v>
      </c>
      <c r="H234" s="3" t="s">
        <v>54</v>
      </c>
      <c r="I234" s="3" t="s">
        <v>59</v>
      </c>
      <c r="J234" t="s">
        <v>79</v>
      </c>
      <c r="K234" s="3" t="s">
        <v>214</v>
      </c>
      <c r="L234" s="3" t="s">
        <v>73</v>
      </c>
      <c r="M234" s="3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  <c r="X234" s="4"/>
      <c r="Z234" s="3"/>
      <c r="AE234" s="3"/>
      <c r="AK234" s="5"/>
    </row>
    <row r="235" spans="1:47" hidden="1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148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 s="3">
        <v>103.4</v>
      </c>
      <c r="N235" t="s">
        <v>83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 s="3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hidden="1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148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 s="3">
        <v>112.29</v>
      </c>
      <c r="N236" t="s">
        <v>83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 s="3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hidden="1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148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 s="3">
        <v>284.20999999999998</v>
      </c>
      <c r="N237" t="s">
        <v>83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hidden="1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148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 s="3">
        <v>131.96</v>
      </c>
      <c r="M238" s="3">
        <v>98.71</v>
      </c>
      <c r="N238" t="s">
        <v>83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 s="3">
        <v>131.96</v>
      </c>
      <c r="AC238">
        <v>0</v>
      </c>
      <c r="AD238">
        <v>0</v>
      </c>
      <c r="AE238" s="3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hidden="1" x14ac:dyDescent="0.25">
      <c r="A239" t="s">
        <v>95</v>
      </c>
      <c r="B239" s="1">
        <v>37135</v>
      </c>
      <c r="C239" t="s">
        <v>48</v>
      </c>
      <c r="D239" t="s">
        <v>49</v>
      </c>
      <c r="E239" s="2">
        <v>45726</v>
      </c>
      <c r="F239" t="s">
        <v>179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132</v>
      </c>
      <c r="X239" s="4">
        <v>0</v>
      </c>
      <c r="Y239" t="s">
        <v>58</v>
      </c>
      <c r="Z239" s="3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hidden="1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110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172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173</v>
      </c>
      <c r="W240" t="s">
        <v>94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hidden="1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110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172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173</v>
      </c>
      <c r="W241" t="s">
        <v>94</v>
      </c>
      <c r="X241" s="4">
        <v>0</v>
      </c>
      <c r="Y241" t="s">
        <v>58</v>
      </c>
      <c r="Z241" s="3">
        <v>4027.5</v>
      </c>
      <c r="AA241">
        <v>0</v>
      </c>
      <c r="AB241" s="3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hidden="1" x14ac:dyDescent="0.25">
      <c r="A242" t="s">
        <v>134</v>
      </c>
      <c r="B242" s="1">
        <v>37138</v>
      </c>
      <c r="C242" t="s">
        <v>48</v>
      </c>
      <c r="D242" t="s">
        <v>49</v>
      </c>
      <c r="E242" s="2">
        <v>45727</v>
      </c>
      <c r="F242" t="s">
        <v>238</v>
      </c>
      <c r="G242" t="s">
        <v>237</v>
      </c>
      <c r="H242" s="3">
        <v>1672</v>
      </c>
      <c r="I242" s="3">
        <v>1672</v>
      </c>
      <c r="J242">
        <v>0</v>
      </c>
      <c r="K242" s="3">
        <v>1672</v>
      </c>
      <c r="L242" s="3">
        <v>266</v>
      </c>
      <c r="M242" s="3">
        <v>119.17</v>
      </c>
      <c r="N242" t="s">
        <v>172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173</v>
      </c>
      <c r="W242" t="s">
        <v>160</v>
      </c>
      <c r="X242" s="4">
        <v>0</v>
      </c>
      <c r="Y242" t="s">
        <v>58</v>
      </c>
      <c r="Z242" s="3">
        <v>266</v>
      </c>
      <c r="AA242">
        <v>0</v>
      </c>
      <c r="AB242">
        <v>0</v>
      </c>
      <c r="AC242">
        <v>0</v>
      </c>
      <c r="AD242">
        <v>0</v>
      </c>
      <c r="AE242" s="3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hidden="1" x14ac:dyDescent="0.25">
      <c r="A243" t="s">
        <v>134</v>
      </c>
      <c r="B243" s="1">
        <v>37139</v>
      </c>
      <c r="C243" t="s">
        <v>48</v>
      </c>
      <c r="D243" t="s">
        <v>49</v>
      </c>
      <c r="E243" s="2">
        <v>45727</v>
      </c>
      <c r="F243" t="s">
        <v>238</v>
      </c>
      <c r="G243" t="s">
        <v>237</v>
      </c>
      <c r="H243" s="3">
        <v>1672</v>
      </c>
      <c r="I243" s="3">
        <v>1672</v>
      </c>
      <c r="J243">
        <v>0</v>
      </c>
      <c r="K243" s="3">
        <v>1672</v>
      </c>
      <c r="L243" s="3">
        <v>266</v>
      </c>
      <c r="M243" s="3">
        <v>119.17</v>
      </c>
      <c r="N243" t="s">
        <v>172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173</v>
      </c>
      <c r="W243" t="s">
        <v>160</v>
      </c>
      <c r="X243" s="4">
        <v>0</v>
      </c>
      <c r="Y243" t="s">
        <v>58</v>
      </c>
      <c r="Z243" s="3">
        <v>266</v>
      </c>
      <c r="AA243">
        <v>0</v>
      </c>
      <c r="AB243">
        <v>0</v>
      </c>
      <c r="AC243">
        <v>0</v>
      </c>
      <c r="AD243" s="3">
        <v>0</v>
      </c>
      <c r="AE243" s="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hidden="1" x14ac:dyDescent="0.25">
      <c r="A244" t="s">
        <v>134</v>
      </c>
      <c r="B244" s="1">
        <v>37140</v>
      </c>
      <c r="C244" t="s">
        <v>48</v>
      </c>
      <c r="D244" t="s">
        <v>49</v>
      </c>
      <c r="E244" s="2">
        <v>45727</v>
      </c>
      <c r="F244" t="s">
        <v>238</v>
      </c>
      <c r="G244" t="s">
        <v>237</v>
      </c>
      <c r="H244" s="3">
        <v>1254</v>
      </c>
      <c r="I244" s="3">
        <v>1254</v>
      </c>
      <c r="J244">
        <v>0</v>
      </c>
      <c r="K244" s="3">
        <v>1254</v>
      </c>
      <c r="L244" s="3">
        <v>199.5</v>
      </c>
      <c r="M244" s="3">
        <v>89.38</v>
      </c>
      <c r="N244" t="s">
        <v>172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173</v>
      </c>
      <c r="W244" t="s">
        <v>160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 s="3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hidden="1" x14ac:dyDescent="0.25">
      <c r="A245" t="s">
        <v>134</v>
      </c>
      <c r="B245" s="1">
        <v>37141</v>
      </c>
      <c r="C245" t="s">
        <v>48</v>
      </c>
      <c r="D245" s="3" t="s">
        <v>49</v>
      </c>
      <c r="E245" s="2">
        <v>45727</v>
      </c>
      <c r="F245" t="s">
        <v>238</v>
      </c>
      <c r="G245" s="3" t="s">
        <v>237</v>
      </c>
      <c r="H245" s="3">
        <v>1672</v>
      </c>
      <c r="I245" s="3">
        <v>1672</v>
      </c>
      <c r="J245">
        <v>0</v>
      </c>
      <c r="K245" s="3">
        <v>1672</v>
      </c>
      <c r="L245" s="3">
        <v>266</v>
      </c>
      <c r="M245" s="3">
        <v>119.17</v>
      </c>
      <c r="N245" t="s">
        <v>172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173</v>
      </c>
      <c r="W245" t="s">
        <v>160</v>
      </c>
      <c r="X245" s="4">
        <v>0</v>
      </c>
      <c r="Y245" t="s">
        <v>58</v>
      </c>
      <c r="Z245" s="3">
        <v>266</v>
      </c>
      <c r="AA245">
        <v>0</v>
      </c>
      <c r="AB245">
        <v>0</v>
      </c>
      <c r="AC245">
        <v>0</v>
      </c>
      <c r="AD245">
        <v>0</v>
      </c>
      <c r="AE245" s="3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hidden="1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242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 s="3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  <c r="AK246" s="5"/>
    </row>
    <row r="247" spans="1:47" hidden="1" x14ac:dyDescent="0.25">
      <c r="A247" t="s">
        <v>63</v>
      </c>
      <c r="B247" s="1">
        <v>499.8</v>
      </c>
      <c r="C247">
        <v>0</v>
      </c>
      <c r="D247">
        <v>0</v>
      </c>
      <c r="E247" s="2">
        <v>0</v>
      </c>
      <c r="F247">
        <v>0</v>
      </c>
      <c r="G247" s="3">
        <v>2100</v>
      </c>
      <c r="H247" s="3" t="s">
        <v>54</v>
      </c>
      <c r="I247" s="3" t="s">
        <v>59</v>
      </c>
      <c r="K247" s="3" t="s">
        <v>80</v>
      </c>
      <c r="L247" s="3" t="s">
        <v>73</v>
      </c>
      <c r="M247" s="3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  <c r="X247" s="4"/>
      <c r="AE247" s="3"/>
      <c r="AK247" s="5"/>
    </row>
    <row r="248" spans="1:47" hidden="1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148</v>
      </c>
      <c r="G248" t="s">
        <v>66</v>
      </c>
      <c r="H248" s="3">
        <v>431</v>
      </c>
      <c r="I248" s="3">
        <v>431</v>
      </c>
      <c r="J248">
        <v>0</v>
      </c>
      <c r="K248" s="3">
        <v>495.65</v>
      </c>
      <c r="L248">
        <v>63.44</v>
      </c>
      <c r="M248" s="3">
        <v>39.33</v>
      </c>
      <c r="N248" t="s">
        <v>83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hidden="1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111</v>
      </c>
      <c r="G249" t="s">
        <v>112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114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hidden="1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148</v>
      </c>
      <c r="G250" t="s">
        <v>66</v>
      </c>
      <c r="H250" s="3">
        <v>365</v>
      </c>
      <c r="I250" s="3">
        <v>365</v>
      </c>
      <c r="J250">
        <v>0</v>
      </c>
      <c r="K250" s="3">
        <v>419.75</v>
      </c>
      <c r="L250" s="3">
        <v>81</v>
      </c>
      <c r="M250" s="3">
        <v>29.73</v>
      </c>
      <c r="N250" t="s">
        <v>83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hidden="1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148</v>
      </c>
      <c r="G251" s="3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 s="3">
        <v>29.73</v>
      </c>
      <c r="N251" t="s">
        <v>83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hidden="1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148</v>
      </c>
      <c r="G252" t="s">
        <v>66</v>
      </c>
      <c r="H252" s="3">
        <v>365</v>
      </c>
      <c r="I252" s="3">
        <v>365</v>
      </c>
      <c r="J252">
        <v>0</v>
      </c>
      <c r="K252" s="3">
        <v>419.75</v>
      </c>
      <c r="L252" s="3">
        <v>81</v>
      </c>
      <c r="M252" s="3">
        <v>29.73</v>
      </c>
      <c r="N252" t="s">
        <v>83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 s="3">
        <v>81</v>
      </c>
      <c r="AA252">
        <v>0</v>
      </c>
      <c r="AB252" s="3">
        <v>0</v>
      </c>
      <c r="AC252">
        <v>0</v>
      </c>
      <c r="AD252">
        <v>0</v>
      </c>
      <c r="AE252" s="3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hidden="1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153</v>
      </c>
      <c r="G253" t="s">
        <v>88</v>
      </c>
      <c r="H253" s="3">
        <v>4455</v>
      </c>
      <c r="I253" s="3">
        <v>4455</v>
      </c>
      <c r="J253">
        <v>0</v>
      </c>
      <c r="K253" s="3">
        <v>5123.25</v>
      </c>
      <c r="L253" s="3">
        <v>972</v>
      </c>
      <c r="M253" s="3">
        <v>356.72</v>
      </c>
      <c r="N253" t="s">
        <v>105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84</v>
      </c>
      <c r="X253" s="4"/>
      <c r="Y253" t="s">
        <v>62</v>
      </c>
      <c r="Z253" s="3"/>
      <c r="AE253" s="3"/>
      <c r="AK253" s="5"/>
    </row>
    <row r="254" spans="1:47" hidden="1" x14ac:dyDescent="0.25">
      <c r="A254" t="s">
        <v>63</v>
      </c>
      <c r="B254" s="1">
        <v>972</v>
      </c>
      <c r="C254">
        <v>0</v>
      </c>
      <c r="D254">
        <v>0</v>
      </c>
      <c r="E254" s="2">
        <v>0</v>
      </c>
      <c r="F254">
        <v>0</v>
      </c>
      <c r="G254" s="3">
        <v>1500</v>
      </c>
      <c r="H254" s="3"/>
      <c r="I254" s="3" t="s">
        <v>59</v>
      </c>
      <c r="K254" s="3"/>
      <c r="L254" s="3" t="s">
        <v>73</v>
      </c>
      <c r="M254" s="3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246</v>
      </c>
      <c r="X254" s="4"/>
      <c r="Z254" s="3"/>
      <c r="AE254" s="3"/>
      <c r="AK254" s="5"/>
    </row>
    <row r="255" spans="1:47" hidden="1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247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 s="3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151</v>
      </c>
      <c r="X255" s="4">
        <v>0</v>
      </c>
      <c r="Y255" t="s">
        <v>58</v>
      </c>
      <c r="Z255" s="3">
        <v>0</v>
      </c>
      <c r="AA255">
        <v>0</v>
      </c>
      <c r="AB255" s="3">
        <v>0</v>
      </c>
      <c r="AC255">
        <v>0</v>
      </c>
      <c r="AD255" s="3">
        <v>1101.4000000000001</v>
      </c>
      <c r="AE255" s="3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hidden="1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175</v>
      </c>
      <c r="G256" t="s">
        <v>93</v>
      </c>
      <c r="H256" s="3">
        <v>2035</v>
      </c>
      <c r="I256" s="3">
        <v>2035</v>
      </c>
      <c r="J256">
        <v>0</v>
      </c>
      <c r="K256" s="3">
        <v>2340.25</v>
      </c>
      <c r="L256" s="3">
        <v>173.5</v>
      </c>
      <c r="M256" s="3">
        <v>107.57</v>
      </c>
      <c r="N256" t="s">
        <v>105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144</v>
      </c>
      <c r="W256" t="s">
        <v>106</v>
      </c>
      <c r="X256" s="4">
        <v>0</v>
      </c>
      <c r="Y256" t="s">
        <v>62</v>
      </c>
      <c r="Z256" s="3"/>
      <c r="AB256" s="3"/>
      <c r="AE256" s="3"/>
      <c r="AK256" s="5"/>
    </row>
    <row r="257" spans="1:47" hidden="1" x14ac:dyDescent="0.25">
      <c r="A257" t="s">
        <v>63</v>
      </c>
      <c r="B257" s="1">
        <v>0</v>
      </c>
      <c r="C257">
        <v>0</v>
      </c>
      <c r="D257">
        <v>137.75</v>
      </c>
      <c r="E257" s="2">
        <v>0</v>
      </c>
      <c r="F257">
        <v>35.75</v>
      </c>
      <c r="G257">
        <v>150</v>
      </c>
      <c r="H257" s="3" t="s">
        <v>54</v>
      </c>
      <c r="I257" s="3" t="s">
        <v>59</v>
      </c>
      <c r="J257" t="s">
        <v>142</v>
      </c>
      <c r="K257" s="3" t="s">
        <v>214</v>
      </c>
      <c r="L257" s="3" t="s">
        <v>73</v>
      </c>
      <c r="M257" s="3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  <c r="X257" s="4"/>
      <c r="Z257" s="3"/>
      <c r="AE257" s="3"/>
      <c r="AK257" s="5"/>
    </row>
    <row r="258" spans="1:47" hidden="1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148</v>
      </c>
      <c r="G258" t="s">
        <v>66</v>
      </c>
      <c r="H258" s="3">
        <v>252.45</v>
      </c>
      <c r="I258" s="3">
        <v>252.45</v>
      </c>
      <c r="J258">
        <v>0</v>
      </c>
      <c r="K258" s="3">
        <v>290.32</v>
      </c>
      <c r="L258" s="3">
        <v>21.48</v>
      </c>
      <c r="M258" s="3">
        <v>16.07</v>
      </c>
      <c r="N258" t="s">
        <v>83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 s="3">
        <v>0</v>
      </c>
      <c r="AA258">
        <v>0</v>
      </c>
      <c r="AB258">
        <v>21.48</v>
      </c>
      <c r="AC258">
        <v>0</v>
      </c>
      <c r="AD258">
        <v>0</v>
      </c>
      <c r="AE258" s="3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hidden="1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182</v>
      </c>
      <c r="G259" s="3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83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188</v>
      </c>
      <c r="X259" s="4">
        <v>0</v>
      </c>
      <c r="Y259" t="s">
        <v>62</v>
      </c>
      <c r="Z259" s="3"/>
      <c r="AE259" s="3"/>
      <c r="AK259" s="5"/>
    </row>
    <row r="260" spans="1:47" hidden="1" x14ac:dyDescent="0.25">
      <c r="A260" t="s">
        <v>63</v>
      </c>
      <c r="B260" s="1">
        <v>0</v>
      </c>
      <c r="C260">
        <v>0</v>
      </c>
      <c r="D260" s="3">
        <v>3750.5</v>
      </c>
      <c r="E260" s="2">
        <v>0</v>
      </c>
      <c r="F260">
        <v>0</v>
      </c>
      <c r="G260" s="3">
        <v>5700</v>
      </c>
      <c r="H260" s="3" t="s">
        <v>54</v>
      </c>
      <c r="I260" s="3" t="s">
        <v>59</v>
      </c>
      <c r="K260" s="3" t="s">
        <v>60</v>
      </c>
      <c r="L260" t="s">
        <v>60</v>
      </c>
      <c r="M260" s="3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  <c r="X260" s="4"/>
      <c r="AE260" s="3"/>
      <c r="AK260" s="5"/>
    </row>
    <row r="261" spans="1:47" hidden="1" x14ac:dyDescent="0.25">
      <c r="A261" t="s">
        <v>95</v>
      </c>
      <c r="B261" s="1">
        <v>37165</v>
      </c>
      <c r="C261" t="s">
        <v>48</v>
      </c>
      <c r="D261" t="s">
        <v>49</v>
      </c>
      <c r="E261" s="2">
        <v>45730</v>
      </c>
      <c r="F261" t="s">
        <v>248</v>
      </c>
      <c r="G261" t="s">
        <v>249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 s="3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198</v>
      </c>
      <c r="X261" s="4">
        <v>0</v>
      </c>
      <c r="Y261" t="s">
        <v>62</v>
      </c>
      <c r="Z261" s="3"/>
      <c r="AE261" s="3"/>
      <c r="AK261" s="5"/>
    </row>
    <row r="262" spans="1:47" hidden="1" x14ac:dyDescent="0.25">
      <c r="A262" t="s">
        <v>63</v>
      </c>
      <c r="B262" s="3">
        <v>1380</v>
      </c>
      <c r="C262">
        <v>0</v>
      </c>
      <c r="D262">
        <v>0</v>
      </c>
      <c r="E262" s="2">
        <v>0</v>
      </c>
      <c r="F262">
        <v>0</v>
      </c>
      <c r="G262" s="3">
        <v>3000</v>
      </c>
      <c r="H262" s="3" t="s">
        <v>54</v>
      </c>
      <c r="I262" s="3" t="s">
        <v>59</v>
      </c>
      <c r="K262" s="3" t="s">
        <v>80</v>
      </c>
      <c r="L262" s="3" t="s">
        <v>91</v>
      </c>
      <c r="M262" s="3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  <c r="X262" s="4"/>
      <c r="Z262" s="3"/>
      <c r="AB262" s="3"/>
      <c r="AE262" s="3"/>
      <c r="AK262" s="5"/>
    </row>
    <row r="263" spans="1:47" hidden="1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100</v>
      </c>
      <c r="G263" t="s">
        <v>93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83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101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 s="3">
        <v>0</v>
      </c>
      <c r="AE263" s="3">
        <v>7000</v>
      </c>
      <c r="AF263" t="s">
        <v>54</v>
      </c>
      <c r="AG263" t="s">
        <v>59</v>
      </c>
      <c r="AH263" t="s">
        <v>102</v>
      </c>
      <c r="AI263" t="s">
        <v>91</v>
      </c>
      <c r="AJ263" t="s">
        <v>91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hidden="1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100</v>
      </c>
      <c r="G264" t="s">
        <v>93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 s="3">
        <v>344.76</v>
      </c>
      <c r="N264" t="s">
        <v>83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101</v>
      </c>
      <c r="X264" s="4">
        <v>0</v>
      </c>
      <c r="Y264" t="s">
        <v>58</v>
      </c>
      <c r="Z264" s="3">
        <v>1014</v>
      </c>
      <c r="AA264">
        <v>0</v>
      </c>
      <c r="AB264" s="3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102</v>
      </c>
      <c r="AI264" t="s">
        <v>91</v>
      </c>
      <c r="AJ264" t="s">
        <v>91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hidden="1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170</v>
      </c>
      <c r="G265" t="s">
        <v>112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 s="3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169</v>
      </c>
      <c r="X265" s="4">
        <v>0</v>
      </c>
      <c r="Y265" t="s">
        <v>62</v>
      </c>
      <c r="Z265" s="3"/>
      <c r="AE265" s="3"/>
      <c r="AK265" s="5"/>
    </row>
    <row r="266" spans="1:47" hidden="1" x14ac:dyDescent="0.25">
      <c r="A266" t="s">
        <v>63</v>
      </c>
      <c r="B266" s="3">
        <v>1038</v>
      </c>
      <c r="C266">
        <v>0</v>
      </c>
      <c r="D266">
        <v>0</v>
      </c>
      <c r="E266" s="2">
        <v>0</v>
      </c>
      <c r="F266">
        <v>0</v>
      </c>
      <c r="G266" s="3">
        <v>1000</v>
      </c>
      <c r="H266" s="3" t="s">
        <v>54</v>
      </c>
      <c r="I266" s="3" t="s">
        <v>59</v>
      </c>
      <c r="K266" s="3" t="s">
        <v>91</v>
      </c>
      <c r="L266" t="s">
        <v>91</v>
      </c>
      <c r="M266" s="3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  <c r="X266" s="4"/>
      <c r="AK266" s="5"/>
    </row>
    <row r="267" spans="1:47" hidden="1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250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 s="3">
        <v>963.4</v>
      </c>
      <c r="N267" t="s">
        <v>83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94</v>
      </c>
      <c r="X267" s="4">
        <v>0</v>
      </c>
      <c r="Y267" t="s">
        <v>58</v>
      </c>
      <c r="Z267" s="3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hidden="1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212</v>
      </c>
      <c r="G268" t="s">
        <v>88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 s="3">
        <v>724.77</v>
      </c>
      <c r="N268" t="s">
        <v>191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94</v>
      </c>
      <c r="X268" s="4"/>
      <c r="Y268" t="s">
        <v>58</v>
      </c>
      <c r="Z268" s="3">
        <v>0</v>
      </c>
      <c r="AA268" s="3">
        <v>1769.95</v>
      </c>
      <c r="AB268">
        <v>0</v>
      </c>
      <c r="AC268">
        <v>0</v>
      </c>
      <c r="AD268">
        <v>0</v>
      </c>
      <c r="AE268" s="3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246</v>
      </c>
    </row>
    <row r="269" spans="1:47" hidden="1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s="3" t="s">
        <v>251</v>
      </c>
      <c r="G269" s="3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 s="3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188</v>
      </c>
      <c r="X269" s="4">
        <v>0</v>
      </c>
      <c r="Y269" t="s">
        <v>62</v>
      </c>
      <c r="AE269" s="3"/>
      <c r="AK269" s="5"/>
    </row>
    <row r="270" spans="1:47" hidden="1" x14ac:dyDescent="0.25">
      <c r="A270" t="s">
        <v>63</v>
      </c>
      <c r="B270" s="1">
        <v>0</v>
      </c>
      <c r="C270">
        <v>0</v>
      </c>
      <c r="D270">
        <v>632.4</v>
      </c>
      <c r="E270" s="2">
        <v>0</v>
      </c>
      <c r="F270">
        <v>0</v>
      </c>
      <c r="G270">
        <v>600</v>
      </c>
      <c r="H270" s="3" t="s">
        <v>54</v>
      </c>
      <c r="I270" s="3" t="s">
        <v>59</v>
      </c>
      <c r="J270" t="s">
        <v>79</v>
      </c>
      <c r="K270" s="3" t="s">
        <v>80</v>
      </c>
      <c r="L270" s="3" t="s">
        <v>91</v>
      </c>
      <c r="M270" s="3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  <c r="X270" s="4"/>
      <c r="Z270" s="3"/>
      <c r="AB270" s="3"/>
      <c r="AE270" s="3"/>
      <c r="AK270" s="5"/>
    </row>
    <row r="271" spans="1:47" hidden="1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209</v>
      </c>
      <c r="G271" t="s">
        <v>136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83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141</v>
      </c>
      <c r="X271" s="4"/>
      <c r="Y271" t="s">
        <v>58</v>
      </c>
      <c r="Z271" s="3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91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246</v>
      </c>
    </row>
    <row r="272" spans="1:47" hidden="1" x14ac:dyDescent="0.25">
      <c r="A272" t="s">
        <v>47</v>
      </c>
      <c r="B272" s="1">
        <v>37181</v>
      </c>
      <c r="C272" t="s">
        <v>48</v>
      </c>
      <c r="D272" s="3" t="s">
        <v>49</v>
      </c>
      <c r="E272" s="2">
        <v>45735</v>
      </c>
      <c r="F272" t="s">
        <v>241</v>
      </c>
      <c r="G272" s="3" t="s">
        <v>69</v>
      </c>
      <c r="H272" s="3">
        <v>1300</v>
      </c>
      <c r="I272" s="3">
        <v>1300</v>
      </c>
      <c r="J272">
        <v>0</v>
      </c>
      <c r="K272" s="3">
        <v>1300</v>
      </c>
      <c r="L272" s="3">
        <v>185.4</v>
      </c>
      <c r="M272" s="3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113</v>
      </c>
      <c r="X272" s="4">
        <v>0</v>
      </c>
      <c r="Y272" t="s">
        <v>62</v>
      </c>
      <c r="Z272" s="3"/>
      <c r="AE272" s="3"/>
      <c r="AK272" s="5"/>
    </row>
    <row r="273" spans="1:47" hidden="1" x14ac:dyDescent="0.25">
      <c r="A273" t="s">
        <v>63</v>
      </c>
      <c r="B273" s="1">
        <v>185.4</v>
      </c>
      <c r="C273">
        <v>0</v>
      </c>
      <c r="D273">
        <v>0</v>
      </c>
      <c r="E273" s="2">
        <v>0</v>
      </c>
      <c r="F273">
        <v>0</v>
      </c>
      <c r="G273">
        <v>100</v>
      </c>
      <c r="H273" s="3" t="s">
        <v>54</v>
      </c>
      <c r="I273" s="3" t="s">
        <v>59</v>
      </c>
      <c r="J273" t="s">
        <v>79</v>
      </c>
      <c r="K273" s="3" t="s">
        <v>80</v>
      </c>
      <c r="L273" s="3" t="s">
        <v>91</v>
      </c>
      <c r="M273" s="3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  <c r="X273" s="4"/>
      <c r="Z273" s="3"/>
      <c r="AE273" s="3"/>
      <c r="AK273" s="5"/>
    </row>
    <row r="274" spans="1:47" hidden="1" x14ac:dyDescent="0.25">
      <c r="A274" t="s">
        <v>47</v>
      </c>
      <c r="B274" s="1">
        <v>37182</v>
      </c>
      <c r="C274" t="s">
        <v>48</v>
      </c>
      <c r="D274" s="3" t="s">
        <v>49</v>
      </c>
      <c r="E274" s="2">
        <v>45736</v>
      </c>
      <c r="F274" t="s">
        <v>153</v>
      </c>
      <c r="G274" s="3" t="s">
        <v>88</v>
      </c>
      <c r="H274" s="3">
        <v>3456</v>
      </c>
      <c r="I274" s="3">
        <v>3456</v>
      </c>
      <c r="J274">
        <v>0</v>
      </c>
      <c r="K274" s="3">
        <v>3974.4</v>
      </c>
      <c r="L274" s="3">
        <v>309.89999999999998</v>
      </c>
      <c r="M274" s="3">
        <v>145.65</v>
      </c>
      <c r="N274" t="s">
        <v>105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144</v>
      </c>
      <c r="W274" t="s">
        <v>84</v>
      </c>
      <c r="X274" s="4">
        <v>0</v>
      </c>
      <c r="Y274" t="s">
        <v>62</v>
      </c>
      <c r="Z274" s="3"/>
      <c r="AE274" s="3"/>
      <c r="AK274" s="5"/>
    </row>
    <row r="275" spans="1:47" hidden="1" x14ac:dyDescent="0.25">
      <c r="A275" t="s">
        <v>63</v>
      </c>
      <c r="B275" s="1">
        <v>0</v>
      </c>
      <c r="C275">
        <v>0</v>
      </c>
      <c r="D275">
        <v>0</v>
      </c>
      <c r="E275" s="2">
        <v>0</v>
      </c>
      <c r="F275">
        <v>309.89999999999998</v>
      </c>
      <c r="G275">
        <v>600</v>
      </c>
      <c r="H275" s="3" t="s">
        <v>54</v>
      </c>
      <c r="I275" s="3" t="s">
        <v>59</v>
      </c>
      <c r="J275" t="s">
        <v>147</v>
      </c>
      <c r="K275" s="3" t="s">
        <v>214</v>
      </c>
      <c r="L275" s="3" t="s">
        <v>73</v>
      </c>
      <c r="M275" s="3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  <c r="X275" s="4"/>
      <c r="Z275" s="3"/>
      <c r="AE275" s="3"/>
      <c r="AK275" s="5"/>
    </row>
    <row r="276" spans="1:47" hidden="1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252</v>
      </c>
      <c r="G276" t="s">
        <v>93</v>
      </c>
      <c r="H276" s="3">
        <v>290</v>
      </c>
      <c r="I276" s="3">
        <v>290</v>
      </c>
      <c r="J276">
        <v>0</v>
      </c>
      <c r="K276" s="3">
        <v>333.5</v>
      </c>
      <c r="L276" s="3">
        <v>54</v>
      </c>
      <c r="M276" s="3">
        <v>19.82</v>
      </c>
      <c r="N276" t="s">
        <v>105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144</v>
      </c>
      <c r="W276" t="s">
        <v>94</v>
      </c>
      <c r="X276" s="4">
        <v>0</v>
      </c>
      <c r="Y276" t="s">
        <v>62</v>
      </c>
      <c r="Z276" s="3"/>
      <c r="AA276" s="3"/>
      <c r="AE276" s="3"/>
      <c r="AK276" s="5"/>
    </row>
    <row r="277" spans="1:47" hidden="1" x14ac:dyDescent="0.25">
      <c r="A277" t="s">
        <v>63</v>
      </c>
      <c r="B277" s="1">
        <v>54</v>
      </c>
      <c r="C277">
        <v>0</v>
      </c>
      <c r="D277">
        <v>0</v>
      </c>
      <c r="E277" s="2">
        <v>0</v>
      </c>
      <c r="F277">
        <v>0</v>
      </c>
      <c r="G277">
        <v>200</v>
      </c>
      <c r="H277" s="3" t="s">
        <v>54</v>
      </c>
      <c r="I277" s="3" t="s">
        <v>59</v>
      </c>
      <c r="K277" s="3" t="s">
        <v>214</v>
      </c>
      <c r="L277" s="3" t="s">
        <v>73</v>
      </c>
      <c r="M277" s="3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  <c r="X277" s="4"/>
      <c r="Z277" s="3"/>
      <c r="AB277" s="3"/>
      <c r="AE277" s="3"/>
      <c r="AK277" s="5"/>
    </row>
    <row r="278" spans="1:47" hidden="1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253</v>
      </c>
      <c r="G278" s="3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 s="3">
        <v>383.8</v>
      </c>
      <c r="M278" s="3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  <c r="Z278" s="3"/>
      <c r="AE278" s="3"/>
      <c r="AK278" s="5"/>
    </row>
    <row r="279" spans="1:47" hidden="1" x14ac:dyDescent="0.25">
      <c r="A279" t="s">
        <v>63</v>
      </c>
      <c r="B279" s="1">
        <v>0</v>
      </c>
      <c r="C279">
        <v>0</v>
      </c>
      <c r="D279">
        <v>0</v>
      </c>
      <c r="E279" s="2">
        <v>0</v>
      </c>
      <c r="F279">
        <v>383.8</v>
      </c>
      <c r="G279">
        <v>550</v>
      </c>
      <c r="H279" s="3" t="s">
        <v>54</v>
      </c>
      <c r="I279" s="3" t="s">
        <v>59</v>
      </c>
      <c r="K279" s="3" t="s">
        <v>80</v>
      </c>
      <c r="L279" s="3" t="s">
        <v>60</v>
      </c>
      <c r="M279" s="3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  <c r="X279" s="4"/>
      <c r="Z279" s="3"/>
      <c r="AE279" s="3"/>
      <c r="AK279" s="5"/>
    </row>
    <row r="280" spans="1:47" hidden="1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254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 s="3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132</v>
      </c>
      <c r="X280" s="4">
        <v>0</v>
      </c>
      <c r="Y280" t="s">
        <v>62</v>
      </c>
      <c r="AE280" s="3"/>
      <c r="AK280" s="5"/>
    </row>
    <row r="281" spans="1:47" hidden="1" x14ac:dyDescent="0.25">
      <c r="A281" t="s">
        <v>63</v>
      </c>
      <c r="B281" s="1">
        <v>0</v>
      </c>
      <c r="C281">
        <v>0</v>
      </c>
      <c r="D281">
        <v>718.24</v>
      </c>
      <c r="E281" s="2">
        <v>0</v>
      </c>
      <c r="F281" s="3">
        <v>427.2</v>
      </c>
      <c r="G281" s="3">
        <v>845</v>
      </c>
      <c r="H281" s="3" t="s">
        <v>54</v>
      </c>
      <c r="I281" s="3" t="s">
        <v>59</v>
      </c>
      <c r="K281" s="3" t="s">
        <v>80</v>
      </c>
      <c r="L281" s="3" t="s">
        <v>91</v>
      </c>
      <c r="M281" s="3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  <c r="X281" s="4"/>
      <c r="Z281" s="3"/>
      <c r="AB281" s="3"/>
      <c r="AE281" s="3"/>
      <c r="AK281" s="5"/>
    </row>
    <row r="282" spans="1:47" hidden="1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202</v>
      </c>
      <c r="G282" t="s">
        <v>122</v>
      </c>
      <c r="H282" s="3">
        <v>7230</v>
      </c>
      <c r="I282" s="3">
        <v>7230</v>
      </c>
      <c r="J282">
        <v>0</v>
      </c>
      <c r="K282" s="3">
        <v>8314.5</v>
      </c>
      <c r="L282" s="3">
        <v>891</v>
      </c>
      <c r="M282" s="3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 s="3">
        <v>0</v>
      </c>
      <c r="AA282">
        <v>0</v>
      </c>
      <c r="AB282">
        <v>891</v>
      </c>
      <c r="AC282">
        <v>0</v>
      </c>
      <c r="AD282">
        <v>0</v>
      </c>
      <c r="AE282" s="3">
        <v>750</v>
      </c>
      <c r="AF282" t="s">
        <v>54</v>
      </c>
      <c r="AG282" t="s">
        <v>59</v>
      </c>
      <c r="AI282" t="s">
        <v>91</v>
      </c>
      <c r="AJ282" t="s">
        <v>91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hidden="1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202</v>
      </c>
      <c r="G283" s="3" t="s">
        <v>122</v>
      </c>
      <c r="H283" s="3">
        <v>7230</v>
      </c>
      <c r="I283" s="3">
        <v>7230</v>
      </c>
      <c r="J283">
        <v>0</v>
      </c>
      <c r="K283" s="3">
        <v>8314.5</v>
      </c>
      <c r="L283" s="3">
        <v>891</v>
      </c>
      <c r="M283" s="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 s="3">
        <v>0</v>
      </c>
      <c r="AA283">
        <v>0</v>
      </c>
      <c r="AB283">
        <v>891</v>
      </c>
      <c r="AC283">
        <v>0</v>
      </c>
      <c r="AD283">
        <v>0</v>
      </c>
      <c r="AE283" s="3">
        <v>750</v>
      </c>
      <c r="AF283" t="s">
        <v>54</v>
      </c>
      <c r="AG283" t="s">
        <v>59</v>
      </c>
      <c r="AI283" t="s">
        <v>91</v>
      </c>
      <c r="AJ283" t="s">
        <v>91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hidden="1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202</v>
      </c>
      <c r="G284" t="s">
        <v>122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 s="3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 s="3">
        <v>0</v>
      </c>
      <c r="AA284">
        <v>0</v>
      </c>
      <c r="AB284" s="3">
        <v>1037.1600000000001</v>
      </c>
      <c r="AC284">
        <v>0</v>
      </c>
      <c r="AD284">
        <v>0</v>
      </c>
      <c r="AE284" s="3">
        <v>837</v>
      </c>
      <c r="AF284" t="s">
        <v>54</v>
      </c>
      <c r="AG284" t="s">
        <v>59</v>
      </c>
      <c r="AI284" t="s">
        <v>91</v>
      </c>
      <c r="AJ284" t="s">
        <v>91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hidden="1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202</v>
      </c>
      <c r="G285" s="3" t="s">
        <v>122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 s="3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 s="3">
        <v>837</v>
      </c>
      <c r="AF285" t="s">
        <v>54</v>
      </c>
      <c r="AG285" t="s">
        <v>59</v>
      </c>
      <c r="AI285" t="s">
        <v>91</v>
      </c>
      <c r="AJ285" t="s">
        <v>91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hidden="1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100</v>
      </c>
      <c r="G286" t="s">
        <v>93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83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101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102</v>
      </c>
      <c r="AI286" t="s">
        <v>91</v>
      </c>
      <c r="AJ286" t="s">
        <v>91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hidden="1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s="3" t="s">
        <v>167</v>
      </c>
      <c r="G287" s="3" t="s">
        <v>168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 s="3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169</v>
      </c>
      <c r="X287" s="4">
        <v>0</v>
      </c>
      <c r="Y287" t="s">
        <v>62</v>
      </c>
      <c r="Z287" s="3"/>
      <c r="AE287" s="3"/>
      <c r="AK287" s="5"/>
    </row>
    <row r="288" spans="1:47" hidden="1" x14ac:dyDescent="0.25">
      <c r="A288" t="s">
        <v>63</v>
      </c>
      <c r="B288" s="3">
        <v>1256</v>
      </c>
      <c r="C288">
        <v>0</v>
      </c>
      <c r="D288">
        <v>270</v>
      </c>
      <c r="E288" s="2">
        <v>0</v>
      </c>
      <c r="F288">
        <v>0</v>
      </c>
      <c r="G288" s="3">
        <v>6000</v>
      </c>
      <c r="H288" s="3" t="s">
        <v>54</v>
      </c>
      <c r="I288" s="3" t="s">
        <v>59</v>
      </c>
      <c r="K288" s="3" t="s">
        <v>60</v>
      </c>
      <c r="L288" t="s">
        <v>60</v>
      </c>
      <c r="M288" s="3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  <c r="X288" s="4"/>
      <c r="AE288" s="3"/>
      <c r="AK288" s="5"/>
    </row>
    <row r="289" spans="1:47" hidden="1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255</v>
      </c>
      <c r="G289" t="s">
        <v>108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 s="3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132</v>
      </c>
      <c r="X289" s="4">
        <v>0</v>
      </c>
      <c r="Y289" t="s">
        <v>62</v>
      </c>
      <c r="AE289" s="3"/>
      <c r="AK289" s="5"/>
    </row>
    <row r="290" spans="1:47" hidden="1" x14ac:dyDescent="0.25">
      <c r="A290" t="s">
        <v>63</v>
      </c>
      <c r="B290" s="1">
        <v>0</v>
      </c>
      <c r="C290">
        <v>0</v>
      </c>
      <c r="D290" s="3">
        <v>1379.7</v>
      </c>
      <c r="E290" s="2">
        <v>0</v>
      </c>
      <c r="F290">
        <v>0</v>
      </c>
      <c r="G290">
        <v>900</v>
      </c>
      <c r="H290" s="3" t="s">
        <v>54</v>
      </c>
      <c r="I290" s="3" t="s">
        <v>59</v>
      </c>
      <c r="K290" s="3" t="s">
        <v>80</v>
      </c>
      <c r="L290" s="3" t="s">
        <v>91</v>
      </c>
      <c r="M290" s="3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  <c r="X290" s="4"/>
      <c r="Z290" s="3"/>
      <c r="AE290" s="3"/>
      <c r="AK290" s="5"/>
    </row>
    <row r="291" spans="1:47" hidden="1" x14ac:dyDescent="0.25">
      <c r="A291" t="s">
        <v>95</v>
      </c>
      <c r="B291" s="1">
        <v>37200</v>
      </c>
      <c r="C291" t="s">
        <v>48</v>
      </c>
      <c r="D291" t="s">
        <v>49</v>
      </c>
      <c r="E291" s="2">
        <v>45740</v>
      </c>
      <c r="F291" t="s">
        <v>201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 s="3">
        <v>939</v>
      </c>
      <c r="M291" s="3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94</v>
      </c>
      <c r="X291" s="4">
        <v>0</v>
      </c>
      <c r="Y291" t="s">
        <v>58</v>
      </c>
      <c r="Z291" s="3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161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hidden="1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92</v>
      </c>
      <c r="G292" t="s">
        <v>93</v>
      </c>
      <c r="H292" s="3">
        <v>1274.5</v>
      </c>
      <c r="I292" s="3">
        <v>1274.5</v>
      </c>
      <c r="J292">
        <v>0</v>
      </c>
      <c r="K292" s="3">
        <v>1465.67</v>
      </c>
      <c r="L292" s="3">
        <v>61.55</v>
      </c>
      <c r="M292" s="3">
        <v>38.159999999999997</v>
      </c>
      <c r="N292" t="s">
        <v>83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94</v>
      </c>
      <c r="X292" s="4">
        <v>0</v>
      </c>
      <c r="Y292" t="s">
        <v>62</v>
      </c>
      <c r="Z292" s="3"/>
      <c r="AD292" s="3"/>
      <c r="AE292" s="3"/>
      <c r="AK292" s="5"/>
    </row>
    <row r="293" spans="1:47" hidden="1" x14ac:dyDescent="0.25">
      <c r="A293" t="s">
        <v>63</v>
      </c>
      <c r="B293" s="1">
        <v>0</v>
      </c>
      <c r="C293">
        <v>0</v>
      </c>
      <c r="D293">
        <v>61.55</v>
      </c>
      <c r="E293" s="2">
        <v>0</v>
      </c>
      <c r="F293">
        <v>0</v>
      </c>
      <c r="G293">
        <v>70</v>
      </c>
      <c r="H293" s="3" t="s">
        <v>54</v>
      </c>
      <c r="I293" s="3" t="s">
        <v>59</v>
      </c>
      <c r="K293" s="3" t="s">
        <v>60</v>
      </c>
      <c r="L293" s="3" t="s">
        <v>60</v>
      </c>
      <c r="M293" s="3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  <c r="X293" s="4"/>
      <c r="Z293" s="3"/>
      <c r="AE293" s="3"/>
      <c r="AK293" s="5"/>
    </row>
    <row r="294" spans="1:47" hidden="1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100</v>
      </c>
      <c r="G294" t="s">
        <v>93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 s="3">
        <v>524.37</v>
      </c>
      <c r="N294" t="s">
        <v>83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101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102</v>
      </c>
      <c r="AI294" t="s">
        <v>91</v>
      </c>
      <c r="AJ294" t="s">
        <v>91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hidden="1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100</v>
      </c>
      <c r="G295" t="s">
        <v>93</v>
      </c>
      <c r="H295" s="3">
        <v>4471</v>
      </c>
      <c r="I295" s="3">
        <v>4471</v>
      </c>
      <c r="J295">
        <v>0</v>
      </c>
      <c r="K295" s="3">
        <v>5141.6499999999996</v>
      </c>
      <c r="L295" s="3">
        <v>881.1</v>
      </c>
      <c r="M295" s="3">
        <v>482.18</v>
      </c>
      <c r="N295" t="s">
        <v>83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101</v>
      </c>
      <c r="X295" s="4">
        <v>0</v>
      </c>
      <c r="Y295" t="s">
        <v>58</v>
      </c>
      <c r="Z295">
        <v>199.5</v>
      </c>
      <c r="AA295">
        <v>0</v>
      </c>
      <c r="AB295" s="3">
        <v>681.6</v>
      </c>
      <c r="AC295">
        <v>0</v>
      </c>
      <c r="AD295">
        <v>0</v>
      </c>
      <c r="AE295" s="3">
        <v>200</v>
      </c>
      <c r="AF295" t="s">
        <v>54</v>
      </c>
      <c r="AG295" t="s">
        <v>59</v>
      </c>
      <c r="AH295" t="s">
        <v>102</v>
      </c>
      <c r="AI295" t="s">
        <v>91</v>
      </c>
      <c r="AJ295" t="s">
        <v>91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hidden="1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256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 s="3">
        <v>784.05</v>
      </c>
      <c r="M296" s="3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257</v>
      </c>
      <c r="X296" s="4">
        <v>0</v>
      </c>
      <c r="Y296" t="s">
        <v>62</v>
      </c>
      <c r="Z296" s="3"/>
      <c r="AE296" s="3"/>
      <c r="AK296" s="5"/>
    </row>
    <row r="297" spans="1:47" hidden="1" x14ac:dyDescent="0.25">
      <c r="A297" t="s">
        <v>63</v>
      </c>
      <c r="B297" s="1">
        <v>0</v>
      </c>
      <c r="C297">
        <v>0</v>
      </c>
      <c r="D297">
        <v>784.05</v>
      </c>
      <c r="E297" s="2">
        <v>0</v>
      </c>
      <c r="F297">
        <v>0</v>
      </c>
      <c r="G297">
        <v>500</v>
      </c>
      <c r="H297" s="3" t="s">
        <v>54</v>
      </c>
      <c r="I297" s="3" t="s">
        <v>59</v>
      </c>
      <c r="K297" s="3" t="s">
        <v>60</v>
      </c>
      <c r="L297" t="s">
        <v>60</v>
      </c>
      <c r="M297" s="3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  <c r="X297" s="4"/>
      <c r="AE297" s="3"/>
      <c r="AK297" s="5"/>
    </row>
    <row r="298" spans="1:47" hidden="1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258</v>
      </c>
      <c r="G298" t="s">
        <v>136</v>
      </c>
      <c r="H298" s="3">
        <v>1518.15</v>
      </c>
      <c r="I298" s="3">
        <v>1518.15</v>
      </c>
      <c r="J298">
        <v>0</v>
      </c>
      <c r="K298" s="3">
        <v>1745.87</v>
      </c>
      <c r="L298" s="3">
        <v>256.2</v>
      </c>
      <c r="M298" s="3">
        <v>124.06</v>
      </c>
      <c r="N298" t="s">
        <v>172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173</v>
      </c>
      <c r="W298" t="s">
        <v>94</v>
      </c>
      <c r="X298" s="4">
        <v>0</v>
      </c>
      <c r="Y298" t="s">
        <v>62</v>
      </c>
      <c r="Z298" s="3"/>
      <c r="AB298" s="3"/>
      <c r="AE298" s="3"/>
      <c r="AK298" s="5"/>
    </row>
    <row r="299" spans="1:47" hidden="1" x14ac:dyDescent="0.25">
      <c r="A299" t="s">
        <v>63</v>
      </c>
      <c r="B299" s="1">
        <v>117.9</v>
      </c>
      <c r="C299">
        <v>0</v>
      </c>
      <c r="D299">
        <v>138.30000000000001</v>
      </c>
      <c r="E299" s="2">
        <v>0</v>
      </c>
      <c r="F299">
        <v>0</v>
      </c>
      <c r="G299">
        <v>650</v>
      </c>
      <c r="H299" s="3" t="s">
        <v>54</v>
      </c>
      <c r="I299" s="3" t="s">
        <v>59</v>
      </c>
      <c r="K299" s="3" t="s">
        <v>173</v>
      </c>
      <c r="L299" s="3" t="s">
        <v>91</v>
      </c>
      <c r="M299" s="3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  <c r="X299" s="4"/>
      <c r="AE299" s="3"/>
      <c r="AK299" s="5"/>
    </row>
    <row r="300" spans="1:47" hidden="1" x14ac:dyDescent="0.25">
      <c r="A300" t="s">
        <v>47</v>
      </c>
      <c r="B300" s="1">
        <v>37209</v>
      </c>
      <c r="C300" t="s">
        <v>48</v>
      </c>
      <c r="D300" s="3" t="s">
        <v>49</v>
      </c>
      <c r="E300" s="2">
        <v>45742</v>
      </c>
      <c r="F300" t="s">
        <v>170</v>
      </c>
      <c r="G300" s="3" t="s">
        <v>112</v>
      </c>
      <c r="H300" s="3">
        <v>3180</v>
      </c>
      <c r="I300" s="3">
        <v>3180</v>
      </c>
      <c r="J300">
        <v>0</v>
      </c>
      <c r="K300" s="3">
        <v>3180</v>
      </c>
      <c r="L300" s="3">
        <v>790</v>
      </c>
      <c r="M300" s="3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169</v>
      </c>
      <c r="X300" s="4">
        <v>0</v>
      </c>
      <c r="Y300" t="s">
        <v>62</v>
      </c>
      <c r="Z300" s="3"/>
      <c r="AE300" s="3"/>
      <c r="AK300" s="5"/>
    </row>
    <row r="301" spans="1:47" hidden="1" x14ac:dyDescent="0.25">
      <c r="A301" t="s">
        <v>63</v>
      </c>
      <c r="B301" s="1">
        <v>790</v>
      </c>
      <c r="C301">
        <v>0</v>
      </c>
      <c r="D301">
        <v>0</v>
      </c>
      <c r="E301" s="2">
        <v>0</v>
      </c>
      <c r="F301">
        <v>0</v>
      </c>
      <c r="G301" s="3">
        <v>2000</v>
      </c>
      <c r="H301" s="3" t="s">
        <v>54</v>
      </c>
      <c r="I301" s="3" t="s">
        <v>59</v>
      </c>
      <c r="K301" s="3" t="s">
        <v>91</v>
      </c>
      <c r="L301" s="3" t="s">
        <v>91</v>
      </c>
      <c r="M301" s="3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  <c r="X301" s="4"/>
      <c r="Z301" s="3"/>
      <c r="AE301" s="3"/>
      <c r="AK301" s="5"/>
    </row>
    <row r="302" spans="1:47" hidden="1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172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X302" s="4"/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246</v>
      </c>
    </row>
    <row r="303" spans="1:47" hidden="1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100</v>
      </c>
      <c r="G303" t="s">
        <v>93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83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101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102</v>
      </c>
      <c r="AI303" t="s">
        <v>91</v>
      </c>
      <c r="AJ303" t="s">
        <v>91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hidden="1" x14ac:dyDescent="0.25">
      <c r="A304" t="s">
        <v>47</v>
      </c>
      <c r="B304" s="1">
        <v>37212</v>
      </c>
      <c r="C304" t="s">
        <v>48</v>
      </c>
      <c r="D304" s="3" t="s">
        <v>49</v>
      </c>
      <c r="E304" s="2">
        <v>45743</v>
      </c>
      <c r="F304" t="s">
        <v>157</v>
      </c>
      <c r="G304" s="3" t="s">
        <v>108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158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hidden="1" x14ac:dyDescent="0.25">
      <c r="A305" t="s">
        <v>95</v>
      </c>
      <c r="B305" s="1">
        <v>37213</v>
      </c>
      <c r="C305" t="s">
        <v>48</v>
      </c>
      <c r="D305" t="s">
        <v>49</v>
      </c>
      <c r="E305" s="2">
        <v>45743</v>
      </c>
      <c r="F305" t="s">
        <v>149</v>
      </c>
      <c r="G305" t="s">
        <v>150</v>
      </c>
      <c r="H305" s="3">
        <v>1045</v>
      </c>
      <c r="I305" s="3">
        <v>1045</v>
      </c>
      <c r="J305">
        <v>0</v>
      </c>
      <c r="K305" s="3">
        <v>1045</v>
      </c>
      <c r="L305" s="3">
        <v>189</v>
      </c>
      <c r="M305" s="3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151</v>
      </c>
      <c r="X305" s="4">
        <v>0</v>
      </c>
      <c r="Y305" t="s">
        <v>58</v>
      </c>
      <c r="Z305" s="3">
        <v>189</v>
      </c>
      <c r="AA305">
        <v>0</v>
      </c>
      <c r="AB305">
        <v>0</v>
      </c>
      <c r="AC305">
        <v>0</v>
      </c>
      <c r="AD305">
        <v>0</v>
      </c>
      <c r="AE305" s="3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hidden="1" x14ac:dyDescent="0.25">
      <c r="A306" t="s">
        <v>47</v>
      </c>
      <c r="B306" s="1">
        <v>37219</v>
      </c>
      <c r="C306" t="s">
        <v>48</v>
      </c>
      <c r="D306" s="3" t="s">
        <v>49</v>
      </c>
      <c r="E306" s="2">
        <v>45744</v>
      </c>
      <c r="F306" t="s">
        <v>124</v>
      </c>
      <c r="G306" s="3" t="s">
        <v>88</v>
      </c>
      <c r="H306" s="3">
        <v>5120</v>
      </c>
      <c r="I306" s="3">
        <v>5120</v>
      </c>
      <c r="J306">
        <v>0</v>
      </c>
      <c r="K306" s="3">
        <v>5888</v>
      </c>
      <c r="L306" s="3">
        <v>620.5</v>
      </c>
      <c r="M306" s="3">
        <v>384.71</v>
      </c>
      <c r="N306" t="s">
        <v>83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94</v>
      </c>
      <c r="X306" s="4">
        <v>0</v>
      </c>
      <c r="Y306" t="s">
        <v>58</v>
      </c>
      <c r="Z306" s="3">
        <v>0</v>
      </c>
      <c r="AA306">
        <v>0</v>
      </c>
      <c r="AB306">
        <v>620.5</v>
      </c>
      <c r="AC306">
        <v>0</v>
      </c>
      <c r="AD306">
        <v>0</v>
      </c>
      <c r="AE306" s="3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hidden="1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124</v>
      </c>
      <c r="G307" t="s">
        <v>88</v>
      </c>
      <c r="H307" s="3">
        <v>5120</v>
      </c>
      <c r="I307" s="3">
        <v>5120</v>
      </c>
      <c r="J307">
        <v>0</v>
      </c>
      <c r="K307" s="3">
        <v>5888</v>
      </c>
      <c r="L307" s="3">
        <v>620.5</v>
      </c>
      <c r="M307" s="3">
        <v>384.71</v>
      </c>
      <c r="N307" t="s">
        <v>83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94</v>
      </c>
      <c r="X307" s="4">
        <v>0</v>
      </c>
      <c r="Y307" t="s">
        <v>58</v>
      </c>
      <c r="Z307" s="3">
        <v>0</v>
      </c>
      <c r="AA307">
        <v>0</v>
      </c>
      <c r="AB307">
        <v>620.5</v>
      </c>
      <c r="AC307">
        <v>0</v>
      </c>
      <c r="AD307">
        <v>0</v>
      </c>
      <c r="AE307" s="3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hidden="1" x14ac:dyDescent="0.25">
      <c r="A308" t="s">
        <v>47</v>
      </c>
      <c r="B308" s="1">
        <v>37222</v>
      </c>
      <c r="C308" t="s">
        <v>48</v>
      </c>
      <c r="D308" s="3" t="s">
        <v>49</v>
      </c>
      <c r="E308" s="2">
        <v>45744</v>
      </c>
      <c r="F308" t="s">
        <v>157</v>
      </c>
      <c r="G308" s="3" t="s">
        <v>108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158</v>
      </c>
      <c r="X308" s="4">
        <v>0</v>
      </c>
      <c r="Y308" t="s">
        <v>58</v>
      </c>
      <c r="Z308" s="3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hidden="1" x14ac:dyDescent="0.25">
      <c r="A309" t="s">
        <v>95</v>
      </c>
      <c r="B309" s="1">
        <v>37224</v>
      </c>
      <c r="C309" t="s">
        <v>48</v>
      </c>
      <c r="D309" t="s">
        <v>49</v>
      </c>
      <c r="E309" s="2">
        <v>45747</v>
      </c>
      <c r="F309" t="s">
        <v>143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105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144</v>
      </c>
      <c r="W309" t="s">
        <v>84</v>
      </c>
      <c r="X309" s="4">
        <v>0</v>
      </c>
      <c r="Y309" t="s">
        <v>58</v>
      </c>
      <c r="Z309" s="3">
        <v>0</v>
      </c>
      <c r="AA309">
        <v>0</v>
      </c>
      <c r="AB309" s="3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hidden="1" x14ac:dyDescent="0.25">
      <c r="A310" t="s">
        <v>95</v>
      </c>
      <c r="B310" s="1">
        <v>37225</v>
      </c>
      <c r="C310" t="s">
        <v>48</v>
      </c>
      <c r="D310" t="s">
        <v>49</v>
      </c>
      <c r="E310" s="2">
        <v>45747</v>
      </c>
      <c r="F310" t="s">
        <v>204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 s="3">
        <v>499.2</v>
      </c>
      <c r="M310" s="3">
        <v>164.74</v>
      </c>
      <c r="N310" t="s">
        <v>172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84</v>
      </c>
      <c r="X310" s="4">
        <v>0</v>
      </c>
      <c r="Y310" t="s">
        <v>62</v>
      </c>
      <c r="AD310" s="3"/>
      <c r="AE310" s="3"/>
      <c r="AK310" s="5"/>
    </row>
    <row r="311" spans="1:47" hidden="1" x14ac:dyDescent="0.25">
      <c r="A311" t="s">
        <v>63</v>
      </c>
      <c r="B311" s="1">
        <v>499.2</v>
      </c>
      <c r="C311">
        <v>0</v>
      </c>
      <c r="D311">
        <v>0</v>
      </c>
      <c r="E311" s="2">
        <v>0</v>
      </c>
      <c r="F311">
        <v>0</v>
      </c>
      <c r="G311" s="3">
        <v>2600</v>
      </c>
      <c r="H311" s="3" t="s">
        <v>54</v>
      </c>
      <c r="I311" s="3" t="s">
        <v>59</v>
      </c>
      <c r="K311" s="3" t="s">
        <v>173</v>
      </c>
      <c r="L311" s="3" t="s">
        <v>73</v>
      </c>
      <c r="M311" s="3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  <c r="X311" s="4"/>
      <c r="AE311" s="3"/>
      <c r="AK311" s="5"/>
    </row>
    <row r="312" spans="1:47" hidden="1" x14ac:dyDescent="0.25">
      <c r="A312" t="s">
        <v>47</v>
      </c>
      <c r="B312" s="1">
        <v>37226</v>
      </c>
      <c r="C312" t="s">
        <v>48</v>
      </c>
      <c r="D312" s="3" t="s">
        <v>49</v>
      </c>
      <c r="E312" s="2">
        <v>45748</v>
      </c>
      <c r="F312" t="s">
        <v>148</v>
      </c>
      <c r="G312" s="3" t="s">
        <v>66</v>
      </c>
      <c r="H312" s="3">
        <v>252.45</v>
      </c>
      <c r="I312" s="3">
        <v>252.45</v>
      </c>
      <c r="J312">
        <v>0</v>
      </c>
      <c r="K312" s="3">
        <v>290.32</v>
      </c>
      <c r="L312" s="3">
        <v>21.48</v>
      </c>
      <c r="M312" s="3">
        <v>16.07</v>
      </c>
      <c r="N312" t="s">
        <v>83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 s="3">
        <v>0</v>
      </c>
      <c r="AA312">
        <v>0</v>
      </c>
      <c r="AB312">
        <v>21.48</v>
      </c>
      <c r="AC312">
        <v>0</v>
      </c>
      <c r="AD312">
        <v>0</v>
      </c>
      <c r="AE312" s="3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hidden="1" x14ac:dyDescent="0.25">
      <c r="A313" t="s">
        <v>95</v>
      </c>
      <c r="B313" s="1">
        <v>37227</v>
      </c>
      <c r="C313" t="s">
        <v>48</v>
      </c>
      <c r="D313" t="s">
        <v>49</v>
      </c>
      <c r="E313" s="2">
        <v>45748</v>
      </c>
      <c r="F313" t="s">
        <v>405</v>
      </c>
      <c r="G313" t="s">
        <v>88</v>
      </c>
      <c r="H313" s="3">
        <v>4485</v>
      </c>
      <c r="I313" s="3">
        <v>4485</v>
      </c>
      <c r="J313">
        <v>0</v>
      </c>
      <c r="K313" s="3">
        <v>4485</v>
      </c>
      <c r="L313" s="3">
        <v>995.8</v>
      </c>
      <c r="M313" s="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406</v>
      </c>
      <c r="X313" s="4"/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246</v>
      </c>
    </row>
    <row r="314" spans="1:47" hidden="1" x14ac:dyDescent="0.25">
      <c r="A314" t="s">
        <v>95</v>
      </c>
      <c r="B314" s="1">
        <v>37228</v>
      </c>
      <c r="C314" t="s">
        <v>48</v>
      </c>
      <c r="D314" t="s">
        <v>49</v>
      </c>
      <c r="E314" s="2">
        <v>45748</v>
      </c>
      <c r="F314" t="s">
        <v>259</v>
      </c>
      <c r="G314" s="3" t="s">
        <v>108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 s="3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160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hidden="1" x14ac:dyDescent="0.25">
      <c r="A315" t="s">
        <v>134</v>
      </c>
      <c r="B315" s="1">
        <v>37232</v>
      </c>
      <c r="C315" t="s">
        <v>48</v>
      </c>
      <c r="D315" t="s">
        <v>49</v>
      </c>
      <c r="E315" s="2">
        <v>45749</v>
      </c>
      <c r="F315" t="s">
        <v>135</v>
      </c>
      <c r="G315" t="s">
        <v>136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 s="3">
        <v>463.54</v>
      </c>
      <c r="N315" t="s">
        <v>172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173</v>
      </c>
      <c r="W315" t="s">
        <v>72</v>
      </c>
      <c r="X315" s="4">
        <v>0</v>
      </c>
      <c r="Y315" t="s">
        <v>62</v>
      </c>
      <c r="Z315" s="3"/>
      <c r="AE315" s="3"/>
      <c r="AK315" s="5"/>
    </row>
    <row r="316" spans="1:47" hidden="1" x14ac:dyDescent="0.25">
      <c r="A316" t="s">
        <v>63</v>
      </c>
      <c r="B316" s="3">
        <v>1044</v>
      </c>
      <c r="C316">
        <v>0</v>
      </c>
      <c r="D316">
        <v>0</v>
      </c>
      <c r="E316" s="2">
        <v>0</v>
      </c>
      <c r="F316">
        <v>0</v>
      </c>
      <c r="G316" s="3">
        <v>1200</v>
      </c>
      <c r="H316" s="3" t="s">
        <v>54</v>
      </c>
      <c r="I316" s="3" t="s">
        <v>59</v>
      </c>
      <c r="K316" s="3" t="s">
        <v>73</v>
      </c>
      <c r="L316" s="3" t="s">
        <v>73</v>
      </c>
      <c r="M316" s="3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  <c r="X316" s="4"/>
      <c r="Z316" s="3"/>
      <c r="AE316" s="3"/>
    </row>
    <row r="317" spans="1:47" hidden="1" x14ac:dyDescent="0.25">
      <c r="A317" t="s">
        <v>95</v>
      </c>
      <c r="B317" s="1">
        <v>37236</v>
      </c>
      <c r="C317" t="s">
        <v>48</v>
      </c>
      <c r="D317" t="s">
        <v>49</v>
      </c>
      <c r="E317" s="2">
        <v>45750</v>
      </c>
      <c r="F317" t="s">
        <v>260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 s="3">
        <v>687.44</v>
      </c>
      <c r="N317" t="s">
        <v>172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173</v>
      </c>
      <c r="W317" t="s">
        <v>169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178</v>
      </c>
      <c r="AI317" t="s">
        <v>173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hidden="1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 s="3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  <c r="AE318" s="3"/>
      <c r="AK318" s="5"/>
    </row>
    <row r="319" spans="1:47" hidden="1" x14ac:dyDescent="0.25">
      <c r="A319" t="s">
        <v>63</v>
      </c>
      <c r="B319" s="3">
        <v>1044</v>
      </c>
      <c r="C319">
        <v>0</v>
      </c>
      <c r="D319">
        <v>0</v>
      </c>
      <c r="E319" s="2">
        <v>0</v>
      </c>
      <c r="F319">
        <v>0</v>
      </c>
      <c r="G319" s="3">
        <v>1500</v>
      </c>
      <c r="H319" s="3" t="s">
        <v>54</v>
      </c>
      <c r="I319" s="3" t="s">
        <v>59</v>
      </c>
      <c r="K319" s="3" t="s">
        <v>73</v>
      </c>
      <c r="L319" s="3" t="s">
        <v>73</v>
      </c>
      <c r="M319" s="3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  <c r="X319" s="4"/>
      <c r="Z319" s="3"/>
      <c r="AE319" s="3"/>
      <c r="AK319" s="5"/>
    </row>
    <row r="320" spans="1:47" hidden="1" x14ac:dyDescent="0.25">
      <c r="A320" t="s">
        <v>134</v>
      </c>
      <c r="B320" s="1">
        <v>37240</v>
      </c>
      <c r="C320" t="s">
        <v>48</v>
      </c>
      <c r="D320" t="s">
        <v>49</v>
      </c>
      <c r="E320" s="2">
        <v>45751</v>
      </c>
      <c r="F320" t="s">
        <v>236</v>
      </c>
      <c r="G320" t="s">
        <v>237</v>
      </c>
      <c r="H320" s="3">
        <v>5740</v>
      </c>
      <c r="I320" s="3">
        <v>5740</v>
      </c>
      <c r="J320">
        <v>0</v>
      </c>
      <c r="K320" s="3">
        <v>5740</v>
      </c>
      <c r="L320" s="3">
        <v>853</v>
      </c>
      <c r="M320" s="3">
        <v>507.54</v>
      </c>
      <c r="N320" t="s">
        <v>83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160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hidden="1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148</v>
      </c>
      <c r="G321" s="3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 s="3">
        <v>125.85</v>
      </c>
      <c r="N321" t="s">
        <v>83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 s="3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hidden="1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148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 s="3">
        <v>325.26</v>
      </c>
      <c r="M322" s="3">
        <v>243.29</v>
      </c>
      <c r="N322" t="s">
        <v>83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 s="3">
        <v>0</v>
      </c>
      <c r="AA322">
        <v>0</v>
      </c>
      <c r="AB322" s="3">
        <v>325.26</v>
      </c>
      <c r="AC322">
        <v>0</v>
      </c>
      <c r="AD322">
        <v>0</v>
      </c>
      <c r="AE322" s="3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hidden="1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148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 s="3">
        <v>770.18</v>
      </c>
      <c r="M323" s="3">
        <v>365.15</v>
      </c>
      <c r="N323" t="s">
        <v>83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 s="3">
        <v>530</v>
      </c>
      <c r="AA323">
        <v>0</v>
      </c>
      <c r="AB323">
        <v>240.18</v>
      </c>
      <c r="AC323">
        <v>0</v>
      </c>
      <c r="AD323" s="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hidden="1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148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 s="3">
        <v>161.97999999999999</v>
      </c>
      <c r="M324" s="3">
        <v>121.16</v>
      </c>
      <c r="N324" t="s">
        <v>83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 s="3">
        <v>0</v>
      </c>
      <c r="AA324">
        <v>0</v>
      </c>
      <c r="AB324">
        <v>161.97999999999999</v>
      </c>
      <c r="AC324">
        <v>0</v>
      </c>
      <c r="AD324">
        <v>0</v>
      </c>
      <c r="AE324" s="3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hidden="1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87</v>
      </c>
      <c r="G325" t="s">
        <v>88</v>
      </c>
      <c r="H325" s="3">
        <v>1980</v>
      </c>
      <c r="I325" s="3">
        <v>1980</v>
      </c>
      <c r="J325">
        <v>0</v>
      </c>
      <c r="K325" s="3">
        <v>2277</v>
      </c>
      <c r="L325" s="3">
        <v>299</v>
      </c>
      <c r="M325" s="3">
        <v>109.73</v>
      </c>
      <c r="N325" t="s">
        <v>83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89</v>
      </c>
      <c r="X325" s="4">
        <v>0</v>
      </c>
      <c r="Y325" t="s">
        <v>62</v>
      </c>
    </row>
    <row r="326" spans="1:47" hidden="1" x14ac:dyDescent="0.25">
      <c r="A326" t="s">
        <v>63</v>
      </c>
      <c r="B326" s="1">
        <v>299</v>
      </c>
      <c r="C326">
        <v>0</v>
      </c>
      <c r="D326">
        <v>0</v>
      </c>
      <c r="E326" s="2">
        <v>0</v>
      </c>
      <c r="F326">
        <v>0</v>
      </c>
      <c r="G326" s="3">
        <v>1000</v>
      </c>
      <c r="H326" s="3" t="s">
        <v>54</v>
      </c>
      <c r="I326" s="3" t="s">
        <v>90</v>
      </c>
      <c r="K326" s="3" t="s">
        <v>60</v>
      </c>
      <c r="L326" s="3" t="s">
        <v>60</v>
      </c>
      <c r="M326" s="3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  <c r="X326" s="4"/>
      <c r="Z326" s="3"/>
      <c r="AE326" s="3"/>
      <c r="AK326" s="5"/>
    </row>
    <row r="327" spans="1:47" hidden="1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166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 s="3">
        <v>550.25</v>
      </c>
      <c r="M327" s="3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132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hidden="1" x14ac:dyDescent="0.25">
      <c r="A328" t="s">
        <v>47</v>
      </c>
      <c r="B328" s="1">
        <v>37247</v>
      </c>
      <c r="C328" t="s">
        <v>48</v>
      </c>
      <c r="D328" s="3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 s="3">
        <v>957.94</v>
      </c>
      <c r="N328" t="s">
        <v>172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173</v>
      </c>
      <c r="W328" t="s">
        <v>57</v>
      </c>
      <c r="X328" s="4">
        <v>0</v>
      </c>
      <c r="Y328" t="s">
        <v>62</v>
      </c>
      <c r="AK328" s="5"/>
    </row>
    <row r="329" spans="1:47" hidden="1" x14ac:dyDescent="0.25">
      <c r="A329" t="s">
        <v>63</v>
      </c>
      <c r="B329" s="1">
        <v>105.8</v>
      </c>
      <c r="C329">
        <v>0</v>
      </c>
      <c r="D329" s="3">
        <v>1476.8</v>
      </c>
      <c r="E329" s="2">
        <v>0</v>
      </c>
      <c r="F329">
        <v>0</v>
      </c>
      <c r="G329" s="3">
        <v>1800</v>
      </c>
      <c r="H329" s="3" t="s">
        <v>54</v>
      </c>
      <c r="I329" s="3" t="s">
        <v>59</v>
      </c>
      <c r="J329" t="s">
        <v>64</v>
      </c>
      <c r="K329" s="3" t="s">
        <v>173</v>
      </c>
      <c r="L329" s="3" t="s">
        <v>73</v>
      </c>
      <c r="M329" s="3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  <c r="X329" s="4"/>
      <c r="AB329" s="3"/>
      <c r="AE329" s="3"/>
      <c r="AK329" s="5"/>
    </row>
    <row r="330" spans="1:47" hidden="1" x14ac:dyDescent="0.25">
      <c r="A330" t="s">
        <v>95</v>
      </c>
      <c r="B330" s="1">
        <v>37248</v>
      </c>
      <c r="C330" t="s">
        <v>48</v>
      </c>
      <c r="D330" t="s">
        <v>49</v>
      </c>
      <c r="E330" s="2">
        <v>45754</v>
      </c>
      <c r="F330" t="s">
        <v>405</v>
      </c>
      <c r="G330" t="s">
        <v>88</v>
      </c>
      <c r="H330" s="3">
        <v>5053</v>
      </c>
      <c r="I330" s="3">
        <v>5053</v>
      </c>
      <c r="J330">
        <v>0</v>
      </c>
      <c r="K330" s="3">
        <v>5053</v>
      </c>
      <c r="L330" s="3">
        <v>802</v>
      </c>
      <c r="M330" s="3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406</v>
      </c>
      <c r="X330" s="4"/>
      <c r="Y330" t="s">
        <v>58</v>
      </c>
      <c r="Z330">
        <v>0</v>
      </c>
      <c r="AA330" s="3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246</v>
      </c>
    </row>
    <row r="331" spans="1:47" hidden="1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100</v>
      </c>
      <c r="G331" t="s">
        <v>93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83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101</v>
      </c>
      <c r="X331" s="4">
        <v>0</v>
      </c>
      <c r="Y331" t="s">
        <v>58</v>
      </c>
      <c r="Z331" s="3">
        <v>3903</v>
      </c>
      <c r="AA331">
        <v>0</v>
      </c>
      <c r="AB331" s="3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102</v>
      </c>
      <c r="AI331" t="s">
        <v>91</v>
      </c>
      <c r="AJ331" t="s">
        <v>91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hidden="1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261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 s="3">
        <v>105.46</v>
      </c>
      <c r="N332" t="s">
        <v>172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94</v>
      </c>
      <c r="X332" s="4"/>
      <c r="Y332" t="s">
        <v>62</v>
      </c>
      <c r="AK332" s="5"/>
    </row>
    <row r="333" spans="1:47" hidden="1" x14ac:dyDescent="0.25">
      <c r="A333" t="s">
        <v>63</v>
      </c>
      <c r="B333" s="1">
        <v>0</v>
      </c>
      <c r="C333">
        <v>0</v>
      </c>
      <c r="D333">
        <v>183.4</v>
      </c>
      <c r="E333" s="2">
        <v>0</v>
      </c>
      <c r="F333">
        <v>0</v>
      </c>
      <c r="G333">
        <v>100</v>
      </c>
      <c r="H333" s="3"/>
      <c r="I333" s="3"/>
      <c r="K333" s="3"/>
      <c r="L333" t="s">
        <v>73</v>
      </c>
      <c r="M333" s="3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246</v>
      </c>
      <c r="X333" s="4"/>
      <c r="AK333" s="5"/>
    </row>
    <row r="334" spans="1:47" hidden="1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262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 s="3">
        <v>458.05</v>
      </c>
      <c r="N334" t="s">
        <v>83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115</v>
      </c>
      <c r="X334" s="4">
        <v>0</v>
      </c>
      <c r="Y334" t="s">
        <v>62</v>
      </c>
      <c r="AK334" s="5"/>
    </row>
    <row r="335" spans="1:47" hidden="1" x14ac:dyDescent="0.25">
      <c r="A335" t="s">
        <v>63</v>
      </c>
      <c r="B335" s="1">
        <v>0</v>
      </c>
      <c r="C335">
        <v>993.6</v>
      </c>
      <c r="D335">
        <v>0</v>
      </c>
      <c r="E335" s="2">
        <v>0</v>
      </c>
      <c r="F335">
        <v>0</v>
      </c>
      <c r="G335" s="3">
        <v>1200</v>
      </c>
      <c r="H335" s="3" t="s">
        <v>54</v>
      </c>
      <c r="I335" s="3" t="s">
        <v>59</v>
      </c>
      <c r="K335" s="3" t="s">
        <v>73</v>
      </c>
      <c r="L335" s="3" t="s">
        <v>73</v>
      </c>
      <c r="M335" s="3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  <c r="X335" s="4"/>
      <c r="AA335" s="3"/>
      <c r="AE335" s="3"/>
      <c r="AK335" s="5"/>
    </row>
    <row r="336" spans="1:47" hidden="1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157</v>
      </c>
      <c r="G336" t="s">
        <v>108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 s="3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158</v>
      </c>
      <c r="X336" s="4">
        <v>0</v>
      </c>
      <c r="Y336" t="s">
        <v>58</v>
      </c>
      <c r="Z336" s="3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91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hidden="1" x14ac:dyDescent="0.25">
      <c r="A337" t="s">
        <v>134</v>
      </c>
      <c r="B337" s="1">
        <v>37255</v>
      </c>
      <c r="C337" t="s">
        <v>48</v>
      </c>
      <c r="D337" t="s">
        <v>49</v>
      </c>
      <c r="E337" s="2">
        <v>45755</v>
      </c>
      <c r="F337" t="s">
        <v>263</v>
      </c>
      <c r="G337" t="s">
        <v>69</v>
      </c>
      <c r="H337" s="3">
        <v>386</v>
      </c>
      <c r="I337" s="3">
        <v>386</v>
      </c>
      <c r="J337">
        <v>0</v>
      </c>
      <c r="K337" s="3">
        <v>386</v>
      </c>
      <c r="L337" s="3">
        <v>52.95</v>
      </c>
      <c r="M337" s="3">
        <v>31.51</v>
      </c>
      <c r="N337" t="s">
        <v>172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173</v>
      </c>
      <c r="W337" t="s">
        <v>141</v>
      </c>
      <c r="X337" s="4">
        <v>0</v>
      </c>
      <c r="Y337" t="s">
        <v>58</v>
      </c>
      <c r="Z337">
        <v>0</v>
      </c>
      <c r="AA337" s="3">
        <v>0</v>
      </c>
      <c r="AB337" s="3">
        <v>52.95</v>
      </c>
      <c r="AC337">
        <v>0</v>
      </c>
      <c r="AD337">
        <v>0</v>
      </c>
      <c r="AE337" s="3">
        <v>50</v>
      </c>
      <c r="AF337" t="s">
        <v>54</v>
      </c>
      <c r="AG337" t="s">
        <v>59</v>
      </c>
      <c r="AI337" t="s">
        <v>91</v>
      </c>
      <c r="AJ337" t="s">
        <v>91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hidden="1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170</v>
      </c>
      <c r="G338" t="s">
        <v>112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 s="3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169</v>
      </c>
      <c r="X338" s="4">
        <v>0</v>
      </c>
      <c r="Y338" t="s">
        <v>62</v>
      </c>
      <c r="AA338" s="3"/>
      <c r="AE338" s="3"/>
      <c r="AK338" s="5"/>
    </row>
    <row r="339" spans="1:47" hidden="1" x14ac:dyDescent="0.25">
      <c r="A339" t="s">
        <v>63</v>
      </c>
      <c r="B339" s="3">
        <v>1335</v>
      </c>
      <c r="C339">
        <v>0</v>
      </c>
      <c r="D339">
        <v>0</v>
      </c>
      <c r="E339" s="2">
        <v>0</v>
      </c>
      <c r="F339">
        <v>0</v>
      </c>
      <c r="G339" s="3">
        <v>1500</v>
      </c>
      <c r="H339" s="3" t="s">
        <v>54</v>
      </c>
      <c r="I339" s="3" t="s">
        <v>59</v>
      </c>
      <c r="K339" s="3" t="s">
        <v>91</v>
      </c>
      <c r="L339" s="3" t="s">
        <v>91</v>
      </c>
      <c r="M339" s="3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  <c r="X339" s="4"/>
    </row>
    <row r="340" spans="1:47" hidden="1" x14ac:dyDescent="0.25">
      <c r="A340" t="s">
        <v>47</v>
      </c>
      <c r="B340" s="1">
        <v>37260</v>
      </c>
      <c r="C340" t="s">
        <v>48</v>
      </c>
      <c r="D340" s="3" t="s">
        <v>49</v>
      </c>
      <c r="E340" s="2">
        <v>45758</v>
      </c>
      <c r="F340" t="s">
        <v>157</v>
      </c>
      <c r="G340" s="3" t="s">
        <v>108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158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hidden="1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264</v>
      </c>
      <c r="G341" s="3" t="s">
        <v>213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265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91</v>
      </c>
      <c r="W341" t="s">
        <v>84</v>
      </c>
      <c r="X341" s="4">
        <v>0</v>
      </c>
      <c r="Y341" t="s">
        <v>62</v>
      </c>
    </row>
    <row r="342" spans="1:47" hidden="1" x14ac:dyDescent="0.25">
      <c r="A342" t="s">
        <v>63</v>
      </c>
      <c r="B342" s="1">
        <v>0</v>
      </c>
      <c r="C342">
        <v>0</v>
      </c>
      <c r="D342" s="3">
        <v>5952</v>
      </c>
      <c r="E342" s="2">
        <v>0</v>
      </c>
      <c r="F342">
        <v>0</v>
      </c>
      <c r="G342" s="3">
        <v>4000</v>
      </c>
      <c r="H342" s="3" t="s">
        <v>54</v>
      </c>
      <c r="I342" s="3" t="s">
        <v>59</v>
      </c>
      <c r="K342" s="3" t="s">
        <v>91</v>
      </c>
      <c r="L342" s="3" t="s">
        <v>91</v>
      </c>
      <c r="M342" s="3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  <c r="X342" s="4"/>
    </row>
    <row r="343" spans="1:47" hidden="1" x14ac:dyDescent="0.25">
      <c r="A343" t="s">
        <v>47</v>
      </c>
      <c r="B343" s="1">
        <v>37263</v>
      </c>
      <c r="C343" t="s">
        <v>48</v>
      </c>
      <c r="D343" s="3" t="s">
        <v>49</v>
      </c>
      <c r="E343" s="2">
        <v>45758</v>
      </c>
      <c r="F343" t="s">
        <v>266</v>
      </c>
      <c r="G343" s="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 s="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94</v>
      </c>
      <c r="X343" s="4">
        <v>0</v>
      </c>
      <c r="Y343" t="s">
        <v>62</v>
      </c>
    </row>
    <row r="344" spans="1:47" hidden="1" x14ac:dyDescent="0.25">
      <c r="A344" t="s">
        <v>63</v>
      </c>
      <c r="B344" s="1">
        <v>0</v>
      </c>
      <c r="C344">
        <v>0</v>
      </c>
      <c r="D344">
        <v>0</v>
      </c>
      <c r="E344" s="2">
        <v>0</v>
      </c>
      <c r="F344">
        <v>413.1</v>
      </c>
      <c r="G344">
        <v>300</v>
      </c>
      <c r="H344" s="3" t="s">
        <v>54</v>
      </c>
      <c r="I344" s="3" t="s">
        <v>59</v>
      </c>
      <c r="K344" s="3" t="s">
        <v>80</v>
      </c>
      <c r="L344" s="3" t="s">
        <v>60</v>
      </c>
      <c r="M344" s="3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  <c r="X344" s="4"/>
    </row>
    <row r="345" spans="1:47" hidden="1" x14ac:dyDescent="0.25">
      <c r="A345" t="s">
        <v>47</v>
      </c>
      <c r="B345" s="1">
        <v>37264</v>
      </c>
      <c r="C345" t="s">
        <v>48</v>
      </c>
      <c r="D345" s="3" t="s">
        <v>49</v>
      </c>
      <c r="E345" s="2">
        <v>45761</v>
      </c>
      <c r="F345" t="s">
        <v>107</v>
      </c>
      <c r="G345" s="3" t="s">
        <v>108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83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109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91</v>
      </c>
      <c r="AJ345" t="s">
        <v>91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hidden="1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148</v>
      </c>
      <c r="G346" s="3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 s="3">
        <v>45.48</v>
      </c>
      <c r="M346" s="3">
        <v>34.020000000000003</v>
      </c>
      <c r="N346" t="s">
        <v>83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 s="3">
        <v>0</v>
      </c>
      <c r="AE346" s="3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hidden="1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100</v>
      </c>
      <c r="G347" t="s">
        <v>93</v>
      </c>
      <c r="H347" s="3">
        <v>1130</v>
      </c>
      <c r="I347" s="3">
        <v>1130</v>
      </c>
      <c r="J347">
        <v>0</v>
      </c>
      <c r="K347" s="3">
        <v>1299.5</v>
      </c>
      <c r="L347" s="3">
        <v>288</v>
      </c>
      <c r="M347" s="3">
        <v>100.8</v>
      </c>
      <c r="N347" t="s">
        <v>83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101</v>
      </c>
      <c r="X347" s="4">
        <v>0</v>
      </c>
      <c r="Y347" t="s">
        <v>58</v>
      </c>
      <c r="Z347" s="3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102</v>
      </c>
      <c r="AI347" t="s">
        <v>91</v>
      </c>
      <c r="AJ347" t="s">
        <v>91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hidden="1" x14ac:dyDescent="0.25">
      <c r="A348" t="s">
        <v>134</v>
      </c>
      <c r="B348" s="1">
        <v>37270</v>
      </c>
      <c r="C348" t="s">
        <v>48</v>
      </c>
      <c r="D348" t="s">
        <v>49</v>
      </c>
      <c r="E348" s="2">
        <v>45762</v>
      </c>
      <c r="F348" t="s">
        <v>236</v>
      </c>
      <c r="G348" s="3" t="s">
        <v>237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83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160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hidden="1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267</v>
      </c>
      <c r="G349" t="s">
        <v>268</v>
      </c>
      <c r="H349" s="3">
        <v>6360</v>
      </c>
      <c r="I349" s="3">
        <v>6360</v>
      </c>
      <c r="J349">
        <v>0</v>
      </c>
      <c r="K349" s="3">
        <v>7314</v>
      </c>
      <c r="L349" s="3">
        <v>871.2</v>
      </c>
      <c r="M349" s="3">
        <v>516.62</v>
      </c>
      <c r="N349" t="s">
        <v>83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169</v>
      </c>
      <c r="X349" s="4">
        <v>0</v>
      </c>
      <c r="Y349" t="s">
        <v>62</v>
      </c>
    </row>
    <row r="350" spans="1:47" hidden="1" x14ac:dyDescent="0.25">
      <c r="A350" t="s">
        <v>63</v>
      </c>
      <c r="B350" s="3">
        <v>0</v>
      </c>
      <c r="C350">
        <v>0</v>
      </c>
      <c r="D350">
        <v>871.2</v>
      </c>
      <c r="E350">
        <v>0</v>
      </c>
      <c r="F350">
        <v>0</v>
      </c>
      <c r="G350" s="3">
        <v>600</v>
      </c>
      <c r="H350" t="s">
        <v>54</v>
      </c>
      <c r="I350" t="s">
        <v>59</v>
      </c>
      <c r="K350" t="s">
        <v>91</v>
      </c>
      <c r="L350" t="s">
        <v>91</v>
      </c>
      <c r="M350" s="3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hidden="1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148</v>
      </c>
      <c r="G351" t="s">
        <v>66</v>
      </c>
      <c r="H351" s="3">
        <v>316.8</v>
      </c>
      <c r="I351" s="3">
        <v>316.8</v>
      </c>
      <c r="J351">
        <v>0</v>
      </c>
      <c r="K351" s="3">
        <v>364.32</v>
      </c>
      <c r="L351" s="3">
        <v>50.84</v>
      </c>
      <c r="M351" s="3">
        <v>31.52</v>
      </c>
      <c r="N351" t="s">
        <v>83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hidden="1" x14ac:dyDescent="0.25">
      <c r="A352" t="s">
        <v>47</v>
      </c>
      <c r="B352" s="1">
        <v>37275</v>
      </c>
      <c r="C352" t="s">
        <v>48</v>
      </c>
      <c r="D352" s="3" t="s">
        <v>49</v>
      </c>
      <c r="E352" s="2">
        <v>45764</v>
      </c>
      <c r="F352" t="s">
        <v>65</v>
      </c>
      <c r="G352" s="3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 s="3">
        <v>317.5</v>
      </c>
      <c r="N352" t="s">
        <v>172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173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hidden="1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153</v>
      </c>
      <c r="G353" t="s">
        <v>88</v>
      </c>
      <c r="H353" s="3">
        <v>9139</v>
      </c>
      <c r="I353" s="3">
        <v>9139</v>
      </c>
      <c r="J353">
        <v>0</v>
      </c>
      <c r="K353" s="3">
        <v>10509.85</v>
      </c>
      <c r="L353" s="3">
        <v>798.7</v>
      </c>
      <c r="M353" s="3">
        <v>495.2</v>
      </c>
      <c r="N353" t="s">
        <v>105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144</v>
      </c>
      <c r="W353" t="s">
        <v>84</v>
      </c>
      <c r="X353" s="4">
        <v>0</v>
      </c>
      <c r="Y353" t="s">
        <v>62</v>
      </c>
      <c r="AB353" s="3"/>
      <c r="AE353" s="3"/>
      <c r="AK353" s="5"/>
    </row>
    <row r="354" spans="1:47" hidden="1" x14ac:dyDescent="0.25">
      <c r="A354" t="s">
        <v>63</v>
      </c>
      <c r="B354" s="1">
        <v>0</v>
      </c>
      <c r="C354">
        <v>0</v>
      </c>
      <c r="D354" s="3">
        <v>798.7</v>
      </c>
      <c r="E354" s="2">
        <v>0</v>
      </c>
      <c r="F354">
        <v>0</v>
      </c>
      <c r="G354" s="3">
        <v>1350</v>
      </c>
      <c r="H354" s="3" t="s">
        <v>54</v>
      </c>
      <c r="I354" s="3" t="s">
        <v>59</v>
      </c>
      <c r="J354" t="s">
        <v>147</v>
      </c>
      <c r="K354" s="3" t="s">
        <v>214</v>
      </c>
      <c r="L354" s="3" t="s">
        <v>73</v>
      </c>
      <c r="M354" s="3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  <c r="X354" s="4"/>
      <c r="AB354" s="3"/>
      <c r="AE354" s="3"/>
      <c r="AK354" s="5"/>
    </row>
    <row r="355" spans="1:47" hidden="1" x14ac:dyDescent="0.25">
      <c r="A355" t="s">
        <v>95</v>
      </c>
      <c r="B355" s="1">
        <v>37277</v>
      </c>
      <c r="C355" t="s">
        <v>48</v>
      </c>
      <c r="D355" t="s">
        <v>49</v>
      </c>
      <c r="E355" s="2">
        <v>45770</v>
      </c>
      <c r="F355" t="s">
        <v>179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 s="3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132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 s="3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hidden="1" x14ac:dyDescent="0.25">
      <c r="A356" t="s">
        <v>47</v>
      </c>
      <c r="B356" s="1">
        <v>37278</v>
      </c>
      <c r="C356" t="s">
        <v>48</v>
      </c>
      <c r="D356" s="3" t="s">
        <v>49</v>
      </c>
      <c r="E356" s="2">
        <v>45770</v>
      </c>
      <c r="F356" t="s">
        <v>157</v>
      </c>
      <c r="G356" s="3" t="s">
        <v>108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158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91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hidden="1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157</v>
      </c>
      <c r="G357" t="s">
        <v>108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158</v>
      </c>
      <c r="X357" s="4">
        <v>0</v>
      </c>
      <c r="Y357" t="s">
        <v>58</v>
      </c>
      <c r="Z357" s="3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91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hidden="1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231</v>
      </c>
      <c r="G358" t="s">
        <v>108</v>
      </c>
      <c r="H358" s="3">
        <v>2997</v>
      </c>
      <c r="I358" s="3">
        <v>2997</v>
      </c>
      <c r="J358">
        <v>0</v>
      </c>
      <c r="K358" s="3">
        <v>3446.55</v>
      </c>
      <c r="L358" s="3">
        <v>327</v>
      </c>
      <c r="M358" s="3">
        <v>120.01</v>
      </c>
      <c r="N358" t="s">
        <v>83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94</v>
      </c>
      <c r="X358" s="4">
        <v>0</v>
      </c>
      <c r="Y358" t="s">
        <v>62</v>
      </c>
      <c r="AB358" s="3"/>
      <c r="AK358" s="5"/>
    </row>
    <row r="359" spans="1:47" hidden="1" x14ac:dyDescent="0.25">
      <c r="A359" t="s">
        <v>63</v>
      </c>
      <c r="B359" s="1">
        <v>327</v>
      </c>
      <c r="C359">
        <v>0</v>
      </c>
      <c r="D359">
        <v>0</v>
      </c>
      <c r="E359" s="2">
        <v>0</v>
      </c>
      <c r="F359">
        <v>0</v>
      </c>
      <c r="G359">
        <v>800</v>
      </c>
      <c r="H359" s="3" t="s">
        <v>54</v>
      </c>
      <c r="I359" s="3" t="s">
        <v>59</v>
      </c>
      <c r="K359" s="3" t="s">
        <v>60</v>
      </c>
      <c r="L359" s="3" t="s">
        <v>60</v>
      </c>
      <c r="M359" s="3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  <c r="X359" s="4"/>
      <c r="AB359" s="3"/>
      <c r="AK359" s="5"/>
    </row>
    <row r="360" spans="1:47" hidden="1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111</v>
      </c>
      <c r="G360" t="s">
        <v>112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114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hidden="1" x14ac:dyDescent="0.25">
      <c r="A361" t="s">
        <v>134</v>
      </c>
      <c r="B361" s="1">
        <v>37283</v>
      </c>
      <c r="C361" t="s">
        <v>48</v>
      </c>
      <c r="D361" t="s">
        <v>49</v>
      </c>
      <c r="E361" s="2">
        <v>45771</v>
      </c>
      <c r="F361" t="s">
        <v>236</v>
      </c>
      <c r="G361" t="s">
        <v>237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 s="3">
        <v>507.54</v>
      </c>
      <c r="N361" t="s">
        <v>83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160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hidden="1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100</v>
      </c>
      <c r="G362" t="s">
        <v>93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83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101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102</v>
      </c>
      <c r="AI362" t="s">
        <v>91</v>
      </c>
      <c r="AJ362" t="s">
        <v>91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hidden="1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110</v>
      </c>
      <c r="G363" s="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172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173</v>
      </c>
      <c r="W363" t="s">
        <v>94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hidden="1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110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173</v>
      </c>
      <c r="W364" t="s">
        <v>94</v>
      </c>
      <c r="X364" s="4">
        <v>0</v>
      </c>
      <c r="Y364" t="s">
        <v>58</v>
      </c>
      <c r="Z364" s="3">
        <v>4027.5</v>
      </c>
      <c r="AA364">
        <v>0</v>
      </c>
      <c r="AB364" s="3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hidden="1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199</v>
      </c>
      <c r="G365" t="s">
        <v>93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83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269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142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hidden="1" x14ac:dyDescent="0.25">
      <c r="A366" t="s">
        <v>95</v>
      </c>
      <c r="B366" s="1">
        <v>37293</v>
      </c>
      <c r="C366" t="s">
        <v>48</v>
      </c>
      <c r="D366" t="s">
        <v>49</v>
      </c>
      <c r="E366" s="2">
        <v>45772</v>
      </c>
      <c r="F366" t="s">
        <v>149</v>
      </c>
      <c r="G366" t="s">
        <v>150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 s="3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141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hidden="1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409</v>
      </c>
      <c r="G367" t="s">
        <v>86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 s="3">
        <v>108.45</v>
      </c>
      <c r="N367" t="s">
        <v>105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144</v>
      </c>
      <c r="W367" t="s">
        <v>115</v>
      </c>
      <c r="X367" s="4">
        <v>0</v>
      </c>
      <c r="Y367" t="s">
        <v>62</v>
      </c>
      <c r="AK367" s="5"/>
    </row>
    <row r="368" spans="1:47" hidden="1" x14ac:dyDescent="0.25">
      <c r="A368" t="s">
        <v>63</v>
      </c>
      <c r="B368" s="1">
        <v>0</v>
      </c>
      <c r="C368">
        <v>0</v>
      </c>
      <c r="D368">
        <v>188.6</v>
      </c>
      <c r="E368" s="2">
        <v>0</v>
      </c>
      <c r="F368">
        <v>0</v>
      </c>
      <c r="G368">
        <v>400</v>
      </c>
      <c r="H368" s="3" t="s">
        <v>54</v>
      </c>
      <c r="I368" s="3" t="s">
        <v>59</v>
      </c>
      <c r="K368" s="3" t="s">
        <v>214</v>
      </c>
      <c r="L368" t="s">
        <v>73</v>
      </c>
      <c r="M368" s="3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  <c r="X368" s="4"/>
      <c r="AK368" s="5"/>
    </row>
    <row r="369" spans="1:47" hidden="1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207</v>
      </c>
      <c r="G369" t="s">
        <v>208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 s="3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160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173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hidden="1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270</v>
      </c>
      <c r="G370" t="s">
        <v>88</v>
      </c>
      <c r="H370" s="3">
        <v>9436</v>
      </c>
      <c r="I370" s="3">
        <v>9436</v>
      </c>
      <c r="J370">
        <v>0</v>
      </c>
      <c r="K370" s="3">
        <v>10851.4</v>
      </c>
      <c r="L370" s="3">
        <v>773.5</v>
      </c>
      <c r="M370" s="3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  <c r="AB370" s="3"/>
      <c r="AK370" s="5"/>
    </row>
    <row r="371" spans="1:47" hidden="1" x14ac:dyDescent="0.25">
      <c r="A371" t="s">
        <v>63</v>
      </c>
      <c r="B371" s="1">
        <v>321.39999999999998</v>
      </c>
      <c r="C371">
        <v>0</v>
      </c>
      <c r="D371" s="3">
        <v>452.1</v>
      </c>
      <c r="E371" s="2">
        <v>0</v>
      </c>
      <c r="F371">
        <v>0</v>
      </c>
      <c r="G371" s="3">
        <v>1400</v>
      </c>
      <c r="H371" s="3" t="s">
        <v>54</v>
      </c>
      <c r="I371" s="3" t="s">
        <v>59</v>
      </c>
      <c r="J371" t="s">
        <v>271</v>
      </c>
      <c r="K371" s="3" t="s">
        <v>80</v>
      </c>
      <c r="L371" s="3" t="s">
        <v>73</v>
      </c>
      <c r="M371" s="3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  <c r="X371" s="4"/>
      <c r="AD371" s="3"/>
      <c r="AE371" s="3"/>
      <c r="AK371" s="5"/>
    </row>
    <row r="372" spans="1:47" hidden="1" x14ac:dyDescent="0.25">
      <c r="A372" t="s">
        <v>95</v>
      </c>
      <c r="B372" s="1">
        <v>37299</v>
      </c>
      <c r="C372" t="s">
        <v>48</v>
      </c>
      <c r="D372" t="s">
        <v>49</v>
      </c>
      <c r="E372" s="2">
        <v>45775</v>
      </c>
      <c r="F372" t="s">
        <v>272</v>
      </c>
      <c r="G372" t="s">
        <v>128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200</v>
      </c>
      <c r="W372">
        <v>0</v>
      </c>
      <c r="X372" s="4">
        <v>0</v>
      </c>
      <c r="Y372" t="s">
        <v>62</v>
      </c>
      <c r="AA372" s="3"/>
      <c r="AD372" s="3"/>
      <c r="AE372" s="3"/>
      <c r="AK372" s="5"/>
    </row>
    <row r="373" spans="1:47" hidden="1" x14ac:dyDescent="0.25">
      <c r="A373" t="s">
        <v>63</v>
      </c>
      <c r="B373" s="1">
        <v>3744.6</v>
      </c>
      <c r="C373">
        <v>0</v>
      </c>
      <c r="D373">
        <v>0</v>
      </c>
      <c r="E373" s="2">
        <v>0</v>
      </c>
      <c r="F373">
        <v>0</v>
      </c>
      <c r="G373" s="3">
        <v>4800</v>
      </c>
      <c r="H373" s="3" t="s">
        <v>54</v>
      </c>
      <c r="I373" s="3" t="s">
        <v>59</v>
      </c>
      <c r="K373" s="3" t="s">
        <v>73</v>
      </c>
      <c r="L373" s="3" t="s">
        <v>60</v>
      </c>
      <c r="M373" s="3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  <c r="X373" s="4"/>
      <c r="AD373" s="3"/>
      <c r="AE373" s="3"/>
      <c r="AK373" s="5"/>
    </row>
    <row r="374" spans="1:47" hidden="1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103</v>
      </c>
      <c r="G374" t="s">
        <v>88</v>
      </c>
      <c r="H374" s="3">
        <v>2805</v>
      </c>
      <c r="I374" s="3">
        <v>2805</v>
      </c>
      <c r="J374">
        <v>0</v>
      </c>
      <c r="K374" s="3">
        <v>3225.75</v>
      </c>
      <c r="L374" s="3">
        <v>465</v>
      </c>
      <c r="M374" s="3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200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 s="3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hidden="1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170</v>
      </c>
      <c r="G375" t="s">
        <v>112</v>
      </c>
      <c r="H375" s="3">
        <v>3320</v>
      </c>
      <c r="I375" s="3">
        <v>3320</v>
      </c>
      <c r="J375">
        <v>0</v>
      </c>
      <c r="K375" s="3">
        <v>3320</v>
      </c>
      <c r="L375" s="3">
        <v>890</v>
      </c>
      <c r="M375" s="3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169</v>
      </c>
      <c r="X375" s="4">
        <v>0</v>
      </c>
      <c r="Y375" t="s">
        <v>62</v>
      </c>
    </row>
    <row r="376" spans="1:47" hidden="1" x14ac:dyDescent="0.25">
      <c r="A376" t="s">
        <v>63</v>
      </c>
      <c r="B376" s="3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91</v>
      </c>
      <c r="L376" t="s">
        <v>91</v>
      </c>
      <c r="M376" s="3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hidden="1" x14ac:dyDescent="0.25">
      <c r="A377" t="s">
        <v>95</v>
      </c>
      <c r="B377" s="1">
        <v>37304</v>
      </c>
      <c r="C377" t="s">
        <v>48</v>
      </c>
      <c r="D377" t="s">
        <v>49</v>
      </c>
      <c r="E377" s="2">
        <v>45776</v>
      </c>
      <c r="F377" t="s">
        <v>273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 s="3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94</v>
      </c>
      <c r="X377" s="4">
        <v>0</v>
      </c>
      <c r="Y377" t="s">
        <v>62</v>
      </c>
      <c r="AK377" s="5"/>
    </row>
    <row r="378" spans="1:47" hidden="1" x14ac:dyDescent="0.25">
      <c r="A378" t="s">
        <v>63</v>
      </c>
      <c r="B378" s="3">
        <v>1195</v>
      </c>
      <c r="C378">
        <v>0</v>
      </c>
      <c r="D378">
        <v>0</v>
      </c>
      <c r="E378" s="2">
        <v>0</v>
      </c>
      <c r="F378">
        <v>0</v>
      </c>
      <c r="G378" s="3">
        <v>1000</v>
      </c>
      <c r="H378" s="3" t="s">
        <v>54</v>
      </c>
      <c r="I378" s="3" t="s">
        <v>59</v>
      </c>
      <c r="K378" s="3" t="s">
        <v>73</v>
      </c>
      <c r="L378" t="s">
        <v>73</v>
      </c>
      <c r="M378" s="3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  <c r="X378" s="4"/>
      <c r="AK378" s="5"/>
    </row>
    <row r="379" spans="1:47" hidden="1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 s="3">
        <v>426.13</v>
      </c>
      <c r="N379" t="s">
        <v>172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173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 s="3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hidden="1" x14ac:dyDescent="0.25">
      <c r="A380" t="s">
        <v>95</v>
      </c>
      <c r="B380" s="1">
        <v>37310</v>
      </c>
      <c r="C380" t="s">
        <v>48</v>
      </c>
      <c r="D380" t="s">
        <v>49</v>
      </c>
      <c r="E380" s="2">
        <v>45776</v>
      </c>
      <c r="F380" t="s">
        <v>143</v>
      </c>
      <c r="G380" s="3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105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144</v>
      </c>
      <c r="W380" t="s">
        <v>145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214</v>
      </c>
      <c r="AJ380" t="s">
        <v>91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hidden="1" x14ac:dyDescent="0.25">
      <c r="A381" t="s">
        <v>95</v>
      </c>
      <c r="B381" s="1">
        <v>37311</v>
      </c>
      <c r="C381" t="s">
        <v>48</v>
      </c>
      <c r="D381" t="s">
        <v>49</v>
      </c>
      <c r="E381" s="2">
        <v>45776</v>
      </c>
      <c r="F381" t="s">
        <v>143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 s="3">
        <v>683.85</v>
      </c>
      <c r="N381" t="s">
        <v>105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144</v>
      </c>
      <c r="W381" t="s">
        <v>145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214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hidden="1" x14ac:dyDescent="0.25">
      <c r="A382" t="s">
        <v>95</v>
      </c>
      <c r="B382" s="1">
        <v>37313</v>
      </c>
      <c r="C382" t="s">
        <v>48</v>
      </c>
      <c r="D382" t="s">
        <v>49</v>
      </c>
      <c r="E382" s="2">
        <v>45776</v>
      </c>
      <c r="F382" t="s">
        <v>143</v>
      </c>
      <c r="G382" s="3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105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144</v>
      </c>
      <c r="W382" t="s">
        <v>145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214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hidden="1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 s="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  <c r="AA383" s="3"/>
      <c r="AE383" s="3"/>
      <c r="AK383" s="5"/>
    </row>
    <row r="384" spans="1:47" hidden="1" x14ac:dyDescent="0.25">
      <c r="A384" t="s">
        <v>63</v>
      </c>
      <c r="B384" s="1">
        <v>897.4</v>
      </c>
      <c r="C384">
        <v>0</v>
      </c>
      <c r="D384">
        <v>0</v>
      </c>
      <c r="E384" s="2">
        <v>0</v>
      </c>
      <c r="F384" s="3">
        <v>1129.2</v>
      </c>
      <c r="G384" s="3">
        <v>2000</v>
      </c>
      <c r="H384" s="3" t="s">
        <v>54</v>
      </c>
      <c r="I384" s="3" t="s">
        <v>59</v>
      </c>
      <c r="K384" s="3" t="s">
        <v>73</v>
      </c>
      <c r="L384" s="3" t="s">
        <v>73</v>
      </c>
      <c r="M384" s="3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  <c r="X384" s="4"/>
    </row>
    <row r="385" spans="1:47" hidden="1" x14ac:dyDescent="0.25">
      <c r="A385" t="s">
        <v>95</v>
      </c>
      <c r="B385" s="1">
        <v>37315</v>
      </c>
      <c r="C385" s="3" t="s">
        <v>48</v>
      </c>
      <c r="D385" t="s">
        <v>49</v>
      </c>
      <c r="E385" s="2">
        <v>45777</v>
      </c>
      <c r="F385" t="s">
        <v>201</v>
      </c>
      <c r="G385" s="3" t="s">
        <v>66</v>
      </c>
      <c r="H385" s="3">
        <v>3760</v>
      </c>
      <c r="I385" s="3">
        <v>3760</v>
      </c>
      <c r="J385">
        <v>0</v>
      </c>
      <c r="K385" s="3">
        <v>3760</v>
      </c>
      <c r="L385" s="3">
        <v>963</v>
      </c>
      <c r="M385" s="3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94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161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hidden="1" x14ac:dyDescent="0.25">
      <c r="A386" t="s">
        <v>95</v>
      </c>
      <c r="B386" s="1">
        <v>37316</v>
      </c>
      <c r="C386" t="s">
        <v>48</v>
      </c>
      <c r="D386" s="3" t="s">
        <v>49</v>
      </c>
      <c r="E386" s="2">
        <v>45777</v>
      </c>
      <c r="F386" t="s">
        <v>201</v>
      </c>
      <c r="G386" s="3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 s="3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94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161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hidden="1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100</v>
      </c>
      <c r="G387" s="3" t="s">
        <v>93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 s="3">
        <v>407.32</v>
      </c>
      <c r="N387" t="s">
        <v>83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101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102</v>
      </c>
      <c r="AI387" t="s">
        <v>91</v>
      </c>
      <c r="AJ387" t="s">
        <v>91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hidden="1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100</v>
      </c>
      <c r="G388" t="s">
        <v>93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83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101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102</v>
      </c>
      <c r="AI388" t="s">
        <v>91</v>
      </c>
      <c r="AJ388" t="s">
        <v>91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hidden="1" x14ac:dyDescent="0.25">
      <c r="A389" t="s">
        <v>95</v>
      </c>
      <c r="B389" s="1">
        <v>37319</v>
      </c>
      <c r="C389" t="s">
        <v>48</v>
      </c>
      <c r="D389" t="s">
        <v>49</v>
      </c>
      <c r="E389" s="2">
        <v>45779</v>
      </c>
      <c r="F389" t="s">
        <v>274</v>
      </c>
      <c r="G389" s="3" t="s">
        <v>155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105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144</v>
      </c>
      <c r="W389" t="s">
        <v>129</v>
      </c>
      <c r="X389" s="4">
        <v>0</v>
      </c>
      <c r="Y389" t="s">
        <v>62</v>
      </c>
      <c r="AB389" s="3"/>
      <c r="AE389" s="3"/>
      <c r="AK389" s="5"/>
    </row>
    <row r="390" spans="1:47" hidden="1" x14ac:dyDescent="0.25">
      <c r="A390" t="s">
        <v>63</v>
      </c>
      <c r="B390" s="3">
        <v>3370</v>
      </c>
      <c r="C390">
        <v>0</v>
      </c>
      <c r="D390">
        <v>0</v>
      </c>
      <c r="E390" s="2">
        <v>0</v>
      </c>
      <c r="F390">
        <v>0</v>
      </c>
      <c r="G390" s="3">
        <v>7000</v>
      </c>
      <c r="H390" s="3" t="s">
        <v>54</v>
      </c>
      <c r="I390" s="3" t="s">
        <v>59</v>
      </c>
      <c r="J390" t="s">
        <v>235</v>
      </c>
      <c r="K390" s="3" t="s">
        <v>214</v>
      </c>
      <c r="L390" s="3" t="s">
        <v>73</v>
      </c>
      <c r="M390" s="3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  <c r="X390" s="4"/>
      <c r="AB390" s="3"/>
      <c r="AD390" s="3"/>
      <c r="AE390" s="3"/>
      <c r="AK390" s="5"/>
    </row>
    <row r="391" spans="1:47" hidden="1" x14ac:dyDescent="0.25">
      <c r="A391" t="s">
        <v>95</v>
      </c>
      <c r="B391" s="1">
        <v>37320</v>
      </c>
      <c r="C391" t="s">
        <v>48</v>
      </c>
      <c r="D391" t="s">
        <v>49</v>
      </c>
      <c r="E391" s="2">
        <v>45782</v>
      </c>
      <c r="F391" t="s">
        <v>275</v>
      </c>
      <c r="G391" t="s">
        <v>163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 s="3">
        <v>123.25</v>
      </c>
      <c r="N391" t="s">
        <v>105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144</v>
      </c>
      <c r="W391" t="s">
        <v>94</v>
      </c>
      <c r="X391" s="4">
        <v>0</v>
      </c>
      <c r="Y391" t="s">
        <v>62</v>
      </c>
      <c r="AK391" s="5"/>
    </row>
    <row r="392" spans="1:47" hidden="1" x14ac:dyDescent="0.25">
      <c r="A392" t="s">
        <v>63</v>
      </c>
      <c r="B392" s="1">
        <v>362.5</v>
      </c>
      <c r="C392">
        <v>0</v>
      </c>
      <c r="D392">
        <v>0</v>
      </c>
      <c r="E392" s="2">
        <v>0</v>
      </c>
      <c r="F392">
        <v>0</v>
      </c>
      <c r="G392" s="3">
        <v>2500</v>
      </c>
      <c r="H392" s="3" t="s">
        <v>54</v>
      </c>
      <c r="I392" s="3" t="s">
        <v>59</v>
      </c>
      <c r="K392" s="3" t="s">
        <v>214</v>
      </c>
      <c r="L392" t="s">
        <v>91</v>
      </c>
      <c r="M392" s="3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  <c r="X392" s="4"/>
    </row>
    <row r="393" spans="1:47" hidden="1" x14ac:dyDescent="0.25">
      <c r="A393" t="s">
        <v>95</v>
      </c>
      <c r="B393" s="1">
        <v>37321</v>
      </c>
      <c r="C393" t="s">
        <v>48</v>
      </c>
      <c r="D393" t="s">
        <v>49</v>
      </c>
      <c r="E393" s="2">
        <v>45782</v>
      </c>
      <c r="F393" t="s">
        <v>123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 s="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173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hidden="1" x14ac:dyDescent="0.25">
      <c r="A394" t="s">
        <v>95</v>
      </c>
      <c r="B394" s="1">
        <v>37322</v>
      </c>
      <c r="C394" t="s">
        <v>48</v>
      </c>
      <c r="D394" s="3" t="s">
        <v>49</v>
      </c>
      <c r="E394" s="2">
        <v>45783</v>
      </c>
      <c r="F394" t="s">
        <v>216</v>
      </c>
      <c r="G394" t="s">
        <v>163</v>
      </c>
      <c r="H394" s="3">
        <v>4440</v>
      </c>
      <c r="I394" s="3">
        <v>4440</v>
      </c>
      <c r="J394">
        <v>0</v>
      </c>
      <c r="K394" s="3">
        <v>4440</v>
      </c>
      <c r="L394" s="3">
        <v>765</v>
      </c>
      <c r="M394" s="3">
        <v>359.55</v>
      </c>
      <c r="N394" t="s">
        <v>105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144</v>
      </c>
      <c r="W394" t="s">
        <v>151</v>
      </c>
      <c r="X394" s="4">
        <v>0</v>
      </c>
      <c r="Y394" t="s">
        <v>58</v>
      </c>
      <c r="Z394" s="3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hidden="1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 s="3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173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hidden="1" x14ac:dyDescent="0.25">
      <c r="A396" t="s">
        <v>95</v>
      </c>
      <c r="B396" s="1">
        <v>37325</v>
      </c>
      <c r="C396" t="s">
        <v>48</v>
      </c>
      <c r="D396" t="s">
        <v>49</v>
      </c>
      <c r="E396" s="2">
        <v>45784</v>
      </c>
      <c r="F396" t="s">
        <v>221</v>
      </c>
      <c r="G396" t="s">
        <v>222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 s="3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173</v>
      </c>
      <c r="W396" t="s">
        <v>94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173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hidden="1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223</v>
      </c>
      <c r="G397" s="3" t="s">
        <v>88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 s="3">
        <v>334.56</v>
      </c>
      <c r="N397" t="s">
        <v>172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173</v>
      </c>
      <c r="W397" t="s">
        <v>72</v>
      </c>
      <c r="X397" s="4">
        <v>0</v>
      </c>
      <c r="Y397" t="s">
        <v>62</v>
      </c>
    </row>
    <row r="398" spans="1:47" hidden="1" x14ac:dyDescent="0.25">
      <c r="A398" t="s">
        <v>63</v>
      </c>
      <c r="B398" s="1">
        <v>984</v>
      </c>
      <c r="C398">
        <v>0</v>
      </c>
      <c r="D398">
        <v>0</v>
      </c>
      <c r="E398" s="2">
        <v>0</v>
      </c>
      <c r="F398">
        <v>0</v>
      </c>
      <c r="G398">
        <v>820</v>
      </c>
      <c r="H398" s="3" t="s">
        <v>54</v>
      </c>
      <c r="I398" s="3" t="s">
        <v>59</v>
      </c>
      <c r="J398" t="s">
        <v>147</v>
      </c>
      <c r="K398" s="3" t="s">
        <v>173</v>
      </c>
      <c r="L398" s="3" t="s">
        <v>73</v>
      </c>
      <c r="M398" s="3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  <c r="X398" s="4"/>
      <c r="AA398" s="3"/>
      <c r="AK398" s="5"/>
    </row>
    <row r="399" spans="1:47" hidden="1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148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 s="3">
        <v>150.12</v>
      </c>
      <c r="M399" s="3">
        <v>112.29</v>
      </c>
      <c r="N399" t="s">
        <v>83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 s="3">
        <v>0</v>
      </c>
      <c r="AA399">
        <v>0</v>
      </c>
      <c r="AB399">
        <v>150.12</v>
      </c>
      <c r="AC399">
        <v>0</v>
      </c>
      <c r="AD399">
        <v>0</v>
      </c>
      <c r="AE399" s="3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hidden="1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148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 s="3">
        <v>150.12</v>
      </c>
      <c r="M400" s="3">
        <v>112.29</v>
      </c>
      <c r="N400" t="s">
        <v>83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hidden="1" x14ac:dyDescent="0.25">
      <c r="A401" t="s">
        <v>47</v>
      </c>
      <c r="B401" s="1">
        <v>37330</v>
      </c>
      <c r="C401" t="s">
        <v>48</v>
      </c>
      <c r="D401" s="3" t="s">
        <v>49</v>
      </c>
      <c r="E401" s="2">
        <v>45784</v>
      </c>
      <c r="F401" t="s">
        <v>148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 s="3">
        <v>58.49</v>
      </c>
      <c r="N401" t="s">
        <v>83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hidden="1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148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 s="3">
        <v>161.97999999999999</v>
      </c>
      <c r="M402" s="3">
        <v>121.16</v>
      </c>
      <c r="N402" t="s">
        <v>83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 s="3">
        <v>0</v>
      </c>
      <c r="AA402">
        <v>0</v>
      </c>
      <c r="AB402">
        <v>161.97999999999999</v>
      </c>
      <c r="AC402">
        <v>0</v>
      </c>
      <c r="AD402">
        <v>0</v>
      </c>
      <c r="AE402" s="3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hidden="1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148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 s="3">
        <v>161.97999999999999</v>
      </c>
      <c r="M403" s="3">
        <v>121.16</v>
      </c>
      <c r="N403" t="s">
        <v>83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 s="3">
        <v>161.97999999999999</v>
      </c>
      <c r="AC403">
        <v>0</v>
      </c>
      <c r="AD403" s="3">
        <v>0</v>
      </c>
      <c r="AE403" s="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hidden="1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100</v>
      </c>
      <c r="G404" t="s">
        <v>93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 s="3">
        <v>983.23</v>
      </c>
      <c r="N404" t="s">
        <v>83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101</v>
      </c>
      <c r="X404" s="4">
        <v>0</v>
      </c>
      <c r="Y404" t="s">
        <v>58</v>
      </c>
      <c r="Z404" s="3">
        <v>3023</v>
      </c>
      <c r="AA404">
        <v>0</v>
      </c>
      <c r="AB404" s="3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102</v>
      </c>
      <c r="AI404" t="s">
        <v>91</v>
      </c>
      <c r="AJ404" t="s">
        <v>91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hidden="1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100</v>
      </c>
      <c r="G405" t="s">
        <v>93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83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101</v>
      </c>
      <c r="X405" s="4">
        <v>0</v>
      </c>
      <c r="Y405" t="s">
        <v>58</v>
      </c>
      <c r="Z405" s="3">
        <v>8671</v>
      </c>
      <c r="AA405">
        <v>0</v>
      </c>
      <c r="AB405" s="3">
        <v>0</v>
      </c>
      <c r="AC405">
        <v>0</v>
      </c>
      <c r="AD405" s="3">
        <v>0</v>
      </c>
      <c r="AE405" s="3">
        <v>14000</v>
      </c>
      <c r="AF405" t="s">
        <v>54</v>
      </c>
      <c r="AG405" t="s">
        <v>59</v>
      </c>
      <c r="AH405" t="s">
        <v>102</v>
      </c>
      <c r="AI405" t="s">
        <v>91</v>
      </c>
      <c r="AJ405" t="s">
        <v>91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hidden="1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276</v>
      </c>
      <c r="G406" t="s">
        <v>69</v>
      </c>
      <c r="H406" s="3">
        <v>441</v>
      </c>
      <c r="I406" s="3">
        <v>441</v>
      </c>
      <c r="J406">
        <v>0</v>
      </c>
      <c r="K406" s="3">
        <v>507.15</v>
      </c>
      <c r="L406" s="3">
        <v>36.799999999999997</v>
      </c>
      <c r="M406" s="3">
        <v>13.51</v>
      </c>
      <c r="N406" t="s">
        <v>105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144</v>
      </c>
      <c r="W406" t="s">
        <v>160</v>
      </c>
      <c r="X406" s="4">
        <v>0</v>
      </c>
      <c r="Y406" t="s">
        <v>62</v>
      </c>
      <c r="AB406" s="3"/>
      <c r="AE406" s="3"/>
      <c r="AK406" s="5"/>
    </row>
    <row r="407" spans="1:47" hidden="1" x14ac:dyDescent="0.25">
      <c r="A407" t="s">
        <v>63</v>
      </c>
      <c r="B407" s="1">
        <v>36.799999999999997</v>
      </c>
      <c r="C407">
        <v>0</v>
      </c>
      <c r="D407">
        <v>0</v>
      </c>
      <c r="E407" s="2">
        <v>0</v>
      </c>
      <c r="F407">
        <v>0</v>
      </c>
      <c r="G407">
        <v>100</v>
      </c>
      <c r="H407" s="3" t="s">
        <v>54</v>
      </c>
      <c r="I407" s="3" t="s">
        <v>59</v>
      </c>
      <c r="K407" s="3" t="s">
        <v>73</v>
      </c>
      <c r="L407" s="3" t="s">
        <v>73</v>
      </c>
      <c r="M407" s="3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  <c r="X407" s="4"/>
      <c r="AD407" s="3"/>
      <c r="AE407" s="3"/>
      <c r="AK407" s="5"/>
    </row>
    <row r="408" spans="1:47" hidden="1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s="3" t="s">
        <v>68</v>
      </c>
      <c r="G408" s="3" t="s">
        <v>69</v>
      </c>
      <c r="H408" s="3">
        <v>2292</v>
      </c>
      <c r="I408" s="3">
        <v>2292</v>
      </c>
      <c r="J408">
        <v>0</v>
      </c>
      <c r="K408" s="3">
        <v>2635.8</v>
      </c>
      <c r="L408" s="3">
        <v>488.4</v>
      </c>
      <c r="M408" s="3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  <c r="AE408" s="3"/>
      <c r="AK408" s="5"/>
    </row>
    <row r="409" spans="1:47" hidden="1" x14ac:dyDescent="0.25">
      <c r="A409" t="s">
        <v>63</v>
      </c>
      <c r="B409" s="1">
        <v>488.4</v>
      </c>
      <c r="C409">
        <v>0</v>
      </c>
      <c r="D409">
        <v>0</v>
      </c>
      <c r="E409" s="2">
        <v>0</v>
      </c>
      <c r="F409">
        <v>0</v>
      </c>
      <c r="G409">
        <v>600</v>
      </c>
      <c r="H409" s="3" t="s">
        <v>54</v>
      </c>
      <c r="I409" s="3" t="s">
        <v>59</v>
      </c>
      <c r="K409" s="3" t="s">
        <v>73</v>
      </c>
      <c r="L409" s="3" t="s">
        <v>73</v>
      </c>
      <c r="M409" s="3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  <c r="X409" s="4"/>
      <c r="AB409" s="3"/>
      <c r="AD409" s="3"/>
      <c r="AE409" s="3"/>
      <c r="AK409" s="5"/>
    </row>
    <row r="410" spans="1:47" hidden="1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148</v>
      </c>
      <c r="G410" t="s">
        <v>66</v>
      </c>
      <c r="H410" s="3">
        <v>646.08000000000004</v>
      </c>
      <c r="I410" s="3">
        <v>646.08000000000004</v>
      </c>
      <c r="J410">
        <v>0</v>
      </c>
      <c r="K410" s="3">
        <v>742.99</v>
      </c>
      <c r="L410" s="3">
        <v>55.99</v>
      </c>
      <c r="M410" s="3">
        <v>41.88</v>
      </c>
      <c r="N410" t="s">
        <v>83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 s="3">
        <v>55.99</v>
      </c>
      <c r="AC410">
        <v>0</v>
      </c>
      <c r="AD410">
        <v>0</v>
      </c>
      <c r="AE410" s="3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hidden="1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148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 s="3">
        <v>163.31</v>
      </c>
      <c r="M411" s="3">
        <v>122.16</v>
      </c>
      <c r="N411" t="s">
        <v>83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 s="3">
        <v>163.31</v>
      </c>
      <c r="AC411">
        <v>0</v>
      </c>
      <c r="AD411">
        <v>0</v>
      </c>
      <c r="AE411" s="3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hidden="1" x14ac:dyDescent="0.25">
      <c r="A412" t="s">
        <v>95</v>
      </c>
      <c r="B412" s="1">
        <v>37343</v>
      </c>
      <c r="C412" t="s">
        <v>48</v>
      </c>
      <c r="D412" t="s">
        <v>49</v>
      </c>
      <c r="E412" s="2">
        <v>45786</v>
      </c>
      <c r="F412" t="s">
        <v>152</v>
      </c>
      <c r="G412" t="s">
        <v>66</v>
      </c>
      <c r="H412" s="3">
        <v>611.70000000000005</v>
      </c>
      <c r="I412" s="3">
        <v>611.70000000000005</v>
      </c>
      <c r="J412">
        <v>0</v>
      </c>
      <c r="K412" s="3">
        <v>611.70000000000005</v>
      </c>
      <c r="L412" s="3">
        <v>107</v>
      </c>
      <c r="M412" s="3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94</v>
      </c>
      <c r="X412" s="4">
        <v>0</v>
      </c>
      <c r="Y412" t="s">
        <v>62</v>
      </c>
      <c r="AB412" s="3"/>
      <c r="AE412" s="3"/>
      <c r="AK412" s="5"/>
    </row>
    <row r="413" spans="1:47" hidden="1" x14ac:dyDescent="0.25">
      <c r="A413" t="s">
        <v>63</v>
      </c>
      <c r="B413" s="1">
        <v>0</v>
      </c>
      <c r="C413">
        <v>0</v>
      </c>
      <c r="D413">
        <v>0</v>
      </c>
      <c r="E413" s="2">
        <v>0</v>
      </c>
      <c r="F413">
        <v>107</v>
      </c>
      <c r="G413">
        <v>200</v>
      </c>
      <c r="H413" s="3" t="s">
        <v>54</v>
      </c>
      <c r="I413" s="3" t="s">
        <v>59</v>
      </c>
      <c r="K413" s="3" t="s">
        <v>73</v>
      </c>
      <c r="L413" s="3" t="s">
        <v>73</v>
      </c>
      <c r="M413" s="3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  <c r="X413" s="4"/>
      <c r="AB413" s="3"/>
      <c r="AD413" s="3"/>
      <c r="AE413" s="3"/>
      <c r="AK413" s="5"/>
    </row>
    <row r="414" spans="1:47" hidden="1" x14ac:dyDescent="0.25">
      <c r="A414" t="s">
        <v>95</v>
      </c>
      <c r="B414" s="1">
        <v>37345</v>
      </c>
      <c r="C414" t="s">
        <v>48</v>
      </c>
      <c r="D414" t="s">
        <v>49</v>
      </c>
      <c r="E414" s="2">
        <v>45786</v>
      </c>
      <c r="F414" t="s">
        <v>277</v>
      </c>
      <c r="G414" t="s">
        <v>249</v>
      </c>
      <c r="H414" s="3">
        <v>4030</v>
      </c>
      <c r="I414" s="3">
        <v>4030</v>
      </c>
      <c r="J414">
        <v>0</v>
      </c>
      <c r="K414" s="3">
        <v>4030</v>
      </c>
      <c r="L414" s="3">
        <v>668.4</v>
      </c>
      <c r="M414" s="3">
        <v>245.3</v>
      </c>
      <c r="N414" t="s">
        <v>105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144</v>
      </c>
      <c r="W414" t="s">
        <v>78</v>
      </c>
      <c r="X414" s="4">
        <v>0</v>
      </c>
      <c r="Y414" t="s">
        <v>62</v>
      </c>
      <c r="AB414" s="3"/>
      <c r="AE414" s="3"/>
      <c r="AK414" s="5"/>
    </row>
    <row r="415" spans="1:47" hidden="1" x14ac:dyDescent="0.25">
      <c r="A415" t="s">
        <v>63</v>
      </c>
      <c r="B415" s="1">
        <v>668.4</v>
      </c>
      <c r="C415">
        <v>0</v>
      </c>
      <c r="D415">
        <v>0</v>
      </c>
      <c r="E415" s="2">
        <v>0</v>
      </c>
      <c r="F415">
        <v>0</v>
      </c>
      <c r="G415">
        <v>800</v>
      </c>
      <c r="H415" s="3" t="s">
        <v>54</v>
      </c>
      <c r="I415" s="3" t="s">
        <v>59</v>
      </c>
      <c r="K415" s="3" t="s">
        <v>214</v>
      </c>
      <c r="L415" s="3" t="s">
        <v>73</v>
      </c>
      <c r="M415" s="3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  <c r="X415" s="4"/>
      <c r="AD415" s="3"/>
      <c r="AE415" s="3"/>
      <c r="AK415" s="5"/>
    </row>
    <row r="416" spans="1:47" hidden="1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100</v>
      </c>
      <c r="G416" t="s">
        <v>93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83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101</v>
      </c>
      <c r="X416" s="4">
        <v>0</v>
      </c>
      <c r="Y416" t="s">
        <v>58</v>
      </c>
      <c r="Z416" s="3">
        <v>5760</v>
      </c>
      <c r="AA416">
        <v>0</v>
      </c>
      <c r="AB416" s="3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102</v>
      </c>
      <c r="AI416" t="s">
        <v>91</v>
      </c>
      <c r="AJ416" t="s">
        <v>91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hidden="1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278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 s="3">
        <v>882</v>
      </c>
      <c r="M417" s="3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 s="3">
        <v>0</v>
      </c>
      <c r="AA417">
        <v>0</v>
      </c>
      <c r="AB417">
        <v>882</v>
      </c>
      <c r="AC417">
        <v>0</v>
      </c>
      <c r="AD417" s="3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hidden="1" x14ac:dyDescent="0.25">
      <c r="A418" t="s">
        <v>95</v>
      </c>
      <c r="B418" s="1">
        <v>37348</v>
      </c>
      <c r="C418" t="s">
        <v>48</v>
      </c>
      <c r="D418" t="s">
        <v>49</v>
      </c>
      <c r="E418" s="2">
        <v>45786</v>
      </c>
      <c r="F418" t="s">
        <v>279</v>
      </c>
      <c r="G418" t="s">
        <v>93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 s="3">
        <v>784.15</v>
      </c>
      <c r="N418" t="s">
        <v>280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144</v>
      </c>
      <c r="W418" t="s">
        <v>72</v>
      </c>
      <c r="X418" s="4">
        <v>0</v>
      </c>
      <c r="Y418" t="s">
        <v>62</v>
      </c>
      <c r="AB418" s="3"/>
      <c r="AE418" s="3"/>
      <c r="AK418" s="5"/>
    </row>
    <row r="419" spans="1:47" hidden="1" x14ac:dyDescent="0.25">
      <c r="A419" t="s">
        <v>63</v>
      </c>
      <c r="B419" s="1">
        <v>0</v>
      </c>
      <c r="C419">
        <v>0</v>
      </c>
      <c r="D419">
        <v>259</v>
      </c>
      <c r="E419" s="2">
        <v>0</v>
      </c>
      <c r="F419">
        <v>978.6</v>
      </c>
      <c r="G419" s="3">
        <v>3400</v>
      </c>
      <c r="H419" s="3" t="s">
        <v>54</v>
      </c>
      <c r="I419" s="3" t="s">
        <v>59</v>
      </c>
      <c r="J419" t="s">
        <v>142</v>
      </c>
      <c r="K419" s="3" t="s">
        <v>73</v>
      </c>
      <c r="L419" s="3" t="s">
        <v>60</v>
      </c>
      <c r="M419" s="3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  <c r="X419" s="4"/>
      <c r="AB419" s="3"/>
      <c r="AD419" s="3"/>
      <c r="AE419" s="3"/>
      <c r="AK419" s="5"/>
    </row>
    <row r="420" spans="1:47" hidden="1" x14ac:dyDescent="0.25">
      <c r="A420" t="s">
        <v>95</v>
      </c>
      <c r="B420" s="1">
        <v>37349</v>
      </c>
      <c r="C420" t="s">
        <v>48</v>
      </c>
      <c r="D420" t="s">
        <v>49</v>
      </c>
      <c r="E420" s="2">
        <v>45789</v>
      </c>
      <c r="F420" t="s">
        <v>274</v>
      </c>
      <c r="G420" t="s">
        <v>155</v>
      </c>
      <c r="H420" s="3">
        <v>3520</v>
      </c>
      <c r="I420" s="3">
        <v>3520</v>
      </c>
      <c r="J420">
        <v>0</v>
      </c>
      <c r="K420" s="3">
        <v>3520</v>
      </c>
      <c r="L420" s="3">
        <v>888</v>
      </c>
      <c r="M420" s="3">
        <v>301.92</v>
      </c>
      <c r="N420" t="s">
        <v>105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144</v>
      </c>
      <c r="W420" t="s">
        <v>129</v>
      </c>
      <c r="X420" s="4">
        <v>0</v>
      </c>
      <c r="Y420" t="s">
        <v>62</v>
      </c>
      <c r="AB420" s="3"/>
      <c r="AE420" s="3"/>
      <c r="AK420" s="5"/>
    </row>
    <row r="421" spans="1:47" hidden="1" x14ac:dyDescent="0.25">
      <c r="A421" t="s">
        <v>63</v>
      </c>
      <c r="B421" s="1">
        <v>888</v>
      </c>
      <c r="C421">
        <v>0</v>
      </c>
      <c r="D421">
        <v>0</v>
      </c>
      <c r="E421" s="2">
        <v>0</v>
      </c>
      <c r="F421">
        <v>0</v>
      </c>
      <c r="G421" s="3">
        <v>2000</v>
      </c>
      <c r="H421" s="3" t="s">
        <v>54</v>
      </c>
      <c r="I421" s="3" t="s">
        <v>59</v>
      </c>
      <c r="J421" t="s">
        <v>235</v>
      </c>
      <c r="K421" s="3" t="s">
        <v>73</v>
      </c>
      <c r="L421" s="3" t="s">
        <v>73</v>
      </c>
      <c r="M421" s="3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  <c r="X421" s="4"/>
      <c r="AD421" s="3"/>
      <c r="AE421" s="3"/>
      <c r="AK421" s="5"/>
    </row>
    <row r="422" spans="1:47" hidden="1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92</v>
      </c>
      <c r="G422" t="s">
        <v>93</v>
      </c>
      <c r="H422" s="3">
        <v>2621.8</v>
      </c>
      <c r="I422" s="3">
        <v>2621.8</v>
      </c>
      <c r="J422">
        <v>0</v>
      </c>
      <c r="K422" s="3">
        <v>3015.07</v>
      </c>
      <c r="L422" s="3">
        <v>117.93</v>
      </c>
      <c r="M422" s="3">
        <v>77.19</v>
      </c>
      <c r="N422" t="s">
        <v>83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94</v>
      </c>
      <c r="X422" s="4">
        <v>0</v>
      </c>
      <c r="Y422" t="s">
        <v>62</v>
      </c>
      <c r="AB422" s="3"/>
      <c r="AE422" s="3"/>
      <c r="AK422" s="5"/>
    </row>
    <row r="423" spans="1:47" hidden="1" x14ac:dyDescent="0.25">
      <c r="A423" t="s">
        <v>63</v>
      </c>
      <c r="B423" s="1">
        <v>0</v>
      </c>
      <c r="C423">
        <v>0</v>
      </c>
      <c r="D423" s="3">
        <v>117.93</v>
      </c>
      <c r="E423" s="2">
        <v>0</v>
      </c>
      <c r="F423">
        <v>0</v>
      </c>
      <c r="G423" s="3">
        <v>120</v>
      </c>
      <c r="H423" s="3" t="s">
        <v>54</v>
      </c>
      <c r="I423" s="3" t="s">
        <v>59</v>
      </c>
      <c r="K423" s="3" t="s">
        <v>73</v>
      </c>
      <c r="L423" t="s">
        <v>73</v>
      </c>
      <c r="M423" s="3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  <c r="X423" s="4"/>
      <c r="AK423" s="5"/>
    </row>
    <row r="424" spans="1:47" hidden="1" x14ac:dyDescent="0.25">
      <c r="A424" t="s">
        <v>95</v>
      </c>
      <c r="B424" s="1">
        <v>37351</v>
      </c>
      <c r="C424" t="s">
        <v>48</v>
      </c>
      <c r="D424" t="s">
        <v>49</v>
      </c>
      <c r="E424" s="2">
        <v>45789</v>
      </c>
      <c r="F424" t="s">
        <v>281</v>
      </c>
      <c r="G424" t="s">
        <v>282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 s="3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113</v>
      </c>
      <c r="X424" s="4">
        <v>0</v>
      </c>
      <c r="Y424" t="s">
        <v>62</v>
      </c>
      <c r="Z424" s="3"/>
      <c r="AB424" s="3"/>
      <c r="AD424" s="3"/>
      <c r="AE424" s="3"/>
      <c r="AK424" s="5"/>
    </row>
    <row r="425" spans="1:47" hidden="1" x14ac:dyDescent="0.25">
      <c r="A425" t="s">
        <v>63</v>
      </c>
      <c r="B425" s="3">
        <v>2145</v>
      </c>
      <c r="C425">
        <v>0</v>
      </c>
      <c r="D425">
        <v>0</v>
      </c>
      <c r="E425" s="2">
        <v>0</v>
      </c>
      <c r="F425">
        <v>0</v>
      </c>
      <c r="G425" s="3">
        <v>5000</v>
      </c>
      <c r="H425" s="3" t="s">
        <v>54</v>
      </c>
      <c r="I425" s="3" t="s">
        <v>59</v>
      </c>
      <c r="K425" s="3" t="s">
        <v>80</v>
      </c>
      <c r="L425" t="s">
        <v>91</v>
      </c>
      <c r="M425" s="3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  <c r="X425" s="4"/>
      <c r="AK425" s="5"/>
    </row>
    <row r="426" spans="1:47" hidden="1" x14ac:dyDescent="0.25">
      <c r="A426" t="s">
        <v>95</v>
      </c>
      <c r="B426" s="1">
        <v>37352</v>
      </c>
      <c r="C426" t="s">
        <v>48</v>
      </c>
      <c r="D426" t="s">
        <v>49</v>
      </c>
      <c r="E426" s="2">
        <v>45789</v>
      </c>
      <c r="F426" t="s">
        <v>283</v>
      </c>
      <c r="G426" t="s">
        <v>213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 s="3">
        <v>711.75</v>
      </c>
      <c r="N426" t="s">
        <v>105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144</v>
      </c>
      <c r="W426" t="s">
        <v>284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214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hidden="1" x14ac:dyDescent="0.25">
      <c r="A427" t="s">
        <v>134</v>
      </c>
      <c r="B427" s="1">
        <v>37353</v>
      </c>
      <c r="C427" t="s">
        <v>48</v>
      </c>
      <c r="D427" t="s">
        <v>49</v>
      </c>
      <c r="E427" s="2">
        <v>45789</v>
      </c>
      <c r="F427" t="s">
        <v>238</v>
      </c>
      <c r="G427" t="s">
        <v>237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 s="3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160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hidden="1" x14ac:dyDescent="0.25">
      <c r="A428" t="s">
        <v>134</v>
      </c>
      <c r="B428" s="1">
        <v>37354</v>
      </c>
      <c r="C428" t="s">
        <v>48</v>
      </c>
      <c r="D428" t="s">
        <v>49</v>
      </c>
      <c r="E428" s="2">
        <v>45789</v>
      </c>
      <c r="F428" t="s">
        <v>238</v>
      </c>
      <c r="G428" t="s">
        <v>237</v>
      </c>
      <c r="H428" s="3">
        <v>3298</v>
      </c>
      <c r="I428" s="3">
        <v>3298</v>
      </c>
      <c r="J428">
        <v>0</v>
      </c>
      <c r="K428" s="3">
        <v>3298</v>
      </c>
      <c r="L428" s="3">
        <v>514.9</v>
      </c>
      <c r="M428" s="3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160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hidden="1" x14ac:dyDescent="0.25">
      <c r="A429" t="s">
        <v>134</v>
      </c>
      <c r="B429" s="1">
        <v>37355</v>
      </c>
      <c r="C429" t="s">
        <v>48</v>
      </c>
      <c r="D429" t="s">
        <v>49</v>
      </c>
      <c r="E429" s="2">
        <v>45789</v>
      </c>
      <c r="F429" t="s">
        <v>238</v>
      </c>
      <c r="G429" s="3" t="s">
        <v>237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 s="3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160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hidden="1" x14ac:dyDescent="0.25">
      <c r="A430" t="s">
        <v>134</v>
      </c>
      <c r="B430" s="1">
        <v>37356</v>
      </c>
      <c r="C430" t="s">
        <v>48</v>
      </c>
      <c r="D430" t="s">
        <v>49</v>
      </c>
      <c r="E430" s="2">
        <v>45789</v>
      </c>
      <c r="F430" t="s">
        <v>238</v>
      </c>
      <c r="G430" t="s">
        <v>237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 s="3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160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hidden="1" x14ac:dyDescent="0.25">
      <c r="A431" t="s">
        <v>95</v>
      </c>
      <c r="B431" s="1">
        <v>37357</v>
      </c>
      <c r="C431" t="s">
        <v>48</v>
      </c>
      <c r="D431" t="s">
        <v>49</v>
      </c>
      <c r="E431" s="2">
        <v>45790</v>
      </c>
      <c r="F431" t="s">
        <v>194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 s="3">
        <v>400.14</v>
      </c>
      <c r="N431" t="s">
        <v>83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115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hidden="1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184</v>
      </c>
      <c r="G432" s="3" t="s">
        <v>185</v>
      </c>
      <c r="H432" s="3">
        <v>1841</v>
      </c>
      <c r="I432" s="3">
        <v>1841</v>
      </c>
      <c r="J432">
        <v>0</v>
      </c>
      <c r="K432" s="3">
        <v>1841</v>
      </c>
      <c r="L432" s="3">
        <v>392.7</v>
      </c>
      <c r="M432" s="3">
        <v>129.59</v>
      </c>
      <c r="N432" t="s">
        <v>172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173</v>
      </c>
      <c r="W432" t="s">
        <v>169</v>
      </c>
      <c r="X432" s="4">
        <v>0</v>
      </c>
      <c r="Y432" t="s">
        <v>58</v>
      </c>
      <c r="Z432" s="3">
        <v>392.7</v>
      </c>
      <c r="AA432">
        <v>0</v>
      </c>
      <c r="AB432">
        <v>0</v>
      </c>
      <c r="AC432">
        <v>0</v>
      </c>
      <c r="AD432">
        <v>0</v>
      </c>
      <c r="AE432" s="3">
        <v>700</v>
      </c>
      <c r="AF432" t="s">
        <v>54</v>
      </c>
      <c r="AG432" t="s">
        <v>59</v>
      </c>
      <c r="AH432" t="s">
        <v>186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hidden="1" x14ac:dyDescent="0.25">
      <c r="A433" t="s">
        <v>95</v>
      </c>
      <c r="B433" s="1">
        <v>37360</v>
      </c>
      <c r="C433" t="s">
        <v>48</v>
      </c>
      <c r="D433" t="s">
        <v>49</v>
      </c>
      <c r="E433" s="2">
        <v>45791</v>
      </c>
      <c r="F433" t="s">
        <v>176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177</v>
      </c>
      <c r="X433" s="4">
        <v>0</v>
      </c>
      <c r="Y433" t="s">
        <v>62</v>
      </c>
      <c r="Z433" s="3"/>
      <c r="AE433" s="3"/>
      <c r="AK433" s="5"/>
    </row>
    <row r="434" spans="1:47" hidden="1" x14ac:dyDescent="0.25">
      <c r="A434" t="s">
        <v>63</v>
      </c>
      <c r="B434" s="1">
        <v>0</v>
      </c>
      <c r="C434">
        <v>0</v>
      </c>
      <c r="D434">
        <v>0</v>
      </c>
      <c r="E434" s="2">
        <v>0</v>
      </c>
      <c r="F434" s="3">
        <v>2338.9</v>
      </c>
      <c r="G434" s="3">
        <v>6300</v>
      </c>
      <c r="H434" s="3" t="s">
        <v>54</v>
      </c>
      <c r="I434" s="3" t="s">
        <v>59</v>
      </c>
      <c r="K434" s="3" t="s">
        <v>73</v>
      </c>
      <c r="L434" s="3" t="s">
        <v>73</v>
      </c>
      <c r="M434" s="3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  <c r="X434" s="4"/>
      <c r="Z434" s="3"/>
      <c r="AE434" s="3"/>
      <c r="AK434" s="5"/>
    </row>
    <row r="435" spans="1:47" hidden="1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107</v>
      </c>
      <c r="G435" t="s">
        <v>108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83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91</v>
      </c>
      <c r="W435" t="s">
        <v>109</v>
      </c>
      <c r="X435" s="4">
        <v>0</v>
      </c>
      <c r="Y435" t="s">
        <v>58</v>
      </c>
      <c r="Z435" s="3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91</v>
      </c>
      <c r="AJ435" t="s">
        <v>91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hidden="1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175</v>
      </c>
      <c r="G436" t="s">
        <v>93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 s="3">
        <v>587.71</v>
      </c>
      <c r="N436" t="s">
        <v>105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144</v>
      </c>
      <c r="W436" t="s">
        <v>106</v>
      </c>
      <c r="X436" s="4">
        <v>0</v>
      </c>
      <c r="Y436" t="s">
        <v>62</v>
      </c>
      <c r="AE436" s="3"/>
      <c r="AK436" s="5"/>
    </row>
    <row r="437" spans="1:47" hidden="1" x14ac:dyDescent="0.25">
      <c r="A437" t="s">
        <v>63</v>
      </c>
      <c r="B437" s="1">
        <v>0</v>
      </c>
      <c r="C437">
        <v>0</v>
      </c>
      <c r="D437">
        <v>876.4</v>
      </c>
      <c r="E437" s="2">
        <v>0</v>
      </c>
      <c r="F437">
        <v>71.5</v>
      </c>
      <c r="G437">
        <v>600</v>
      </c>
      <c r="H437" s="3" t="s">
        <v>54</v>
      </c>
      <c r="I437" s="3" t="s">
        <v>59</v>
      </c>
      <c r="J437" t="s">
        <v>142</v>
      </c>
      <c r="K437" s="3" t="s">
        <v>214</v>
      </c>
      <c r="L437" t="s">
        <v>91</v>
      </c>
      <c r="M437" s="3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  <c r="X437" s="4"/>
      <c r="AE437" s="3"/>
      <c r="AK437" s="5"/>
    </row>
    <row r="438" spans="1:47" hidden="1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s="3" t="s">
        <v>51</v>
      </c>
      <c r="H438" s="3">
        <v>3314</v>
      </c>
      <c r="I438" s="3">
        <v>3314</v>
      </c>
      <c r="J438">
        <v>0</v>
      </c>
      <c r="K438" s="3">
        <v>3683.97</v>
      </c>
      <c r="L438" s="3">
        <v>458.4</v>
      </c>
      <c r="M438" s="3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94</v>
      </c>
      <c r="X438" s="4">
        <v>0</v>
      </c>
      <c r="Z438" s="3">
        <v>218.4</v>
      </c>
      <c r="AA438">
        <v>0</v>
      </c>
      <c r="AB438">
        <v>240</v>
      </c>
      <c r="AC438">
        <v>0</v>
      </c>
      <c r="AD438">
        <v>0</v>
      </c>
      <c r="AE438" s="3">
        <v>400</v>
      </c>
      <c r="AF438" t="s">
        <v>54</v>
      </c>
      <c r="AG438" t="s">
        <v>59</v>
      </c>
      <c r="AI438" t="s">
        <v>91</v>
      </c>
      <c r="AJ438" t="s">
        <v>91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hidden="1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 s="3">
        <v>645</v>
      </c>
      <c r="M439" s="3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hidden="1" x14ac:dyDescent="0.25">
      <c r="A440" t="s">
        <v>63</v>
      </c>
      <c r="B440" s="3">
        <v>0</v>
      </c>
      <c r="C440">
        <v>0</v>
      </c>
      <c r="D440">
        <v>0</v>
      </c>
      <c r="E440">
        <v>0</v>
      </c>
      <c r="F440">
        <v>645</v>
      </c>
      <c r="G440" s="3">
        <v>500</v>
      </c>
      <c r="H440" t="s">
        <v>54</v>
      </c>
      <c r="I440" t="s">
        <v>59</v>
      </c>
      <c r="K440" t="s">
        <v>73</v>
      </c>
      <c r="L440" t="s">
        <v>73</v>
      </c>
      <c r="M440" s="3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hidden="1" x14ac:dyDescent="0.25">
      <c r="A441" t="s">
        <v>95</v>
      </c>
      <c r="B441" s="1">
        <v>37367</v>
      </c>
      <c r="C441" t="s">
        <v>48</v>
      </c>
      <c r="D441" t="s">
        <v>49</v>
      </c>
      <c r="E441" s="2">
        <v>45791</v>
      </c>
      <c r="F441" t="s">
        <v>215</v>
      </c>
      <c r="G441" t="s">
        <v>163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 s="3">
        <v>338.88</v>
      </c>
      <c r="N441" t="s">
        <v>105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144</v>
      </c>
      <c r="W441" t="s">
        <v>141</v>
      </c>
      <c r="X441" s="4">
        <v>0</v>
      </c>
      <c r="Y441" t="s">
        <v>62</v>
      </c>
      <c r="AE441" s="3"/>
      <c r="AK441" s="5"/>
    </row>
    <row r="442" spans="1:47" hidden="1" x14ac:dyDescent="0.25">
      <c r="A442" t="s">
        <v>63</v>
      </c>
      <c r="B442" s="3">
        <v>1026.9000000000001</v>
      </c>
      <c r="C442">
        <v>0</v>
      </c>
      <c r="D442">
        <v>0</v>
      </c>
      <c r="E442" s="2">
        <v>0</v>
      </c>
      <c r="F442" s="3">
        <v>0</v>
      </c>
      <c r="G442" s="3">
        <v>700</v>
      </c>
      <c r="H442" s="3" t="s">
        <v>54</v>
      </c>
      <c r="I442" s="3" t="s">
        <v>59</v>
      </c>
      <c r="K442" s="3" t="s">
        <v>214</v>
      </c>
      <c r="L442" s="3" t="s">
        <v>91</v>
      </c>
      <c r="M442" s="3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  <c r="X442" s="4"/>
    </row>
    <row r="443" spans="1:47" hidden="1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285</v>
      </c>
      <c r="G443" s="3" t="s">
        <v>69</v>
      </c>
      <c r="H443" s="3">
        <v>348.9</v>
      </c>
      <c r="I443" s="3">
        <v>348.9</v>
      </c>
      <c r="J443">
        <v>0</v>
      </c>
      <c r="K443" s="3">
        <v>401.24</v>
      </c>
      <c r="L443">
        <v>49.11</v>
      </c>
      <c r="M443" s="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286</v>
      </c>
      <c r="X443" s="4">
        <v>0</v>
      </c>
      <c r="Y443" t="s">
        <v>62</v>
      </c>
    </row>
    <row r="444" spans="1:47" hidden="1" x14ac:dyDescent="0.25">
      <c r="A444" t="s">
        <v>63</v>
      </c>
      <c r="B444" s="1">
        <v>0</v>
      </c>
      <c r="C444">
        <v>0</v>
      </c>
      <c r="D444">
        <v>49.11</v>
      </c>
      <c r="E444" s="2">
        <v>0</v>
      </c>
      <c r="F444">
        <v>0</v>
      </c>
      <c r="G444">
        <v>30</v>
      </c>
      <c r="H444" s="3" t="s">
        <v>54</v>
      </c>
      <c r="I444" s="3" t="s">
        <v>59</v>
      </c>
      <c r="J444" t="s">
        <v>79</v>
      </c>
      <c r="K444" s="3" t="s">
        <v>80</v>
      </c>
      <c r="L444" t="s">
        <v>91</v>
      </c>
      <c r="M444" s="3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  <c r="X444" s="4"/>
    </row>
    <row r="445" spans="1:47" hidden="1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124</v>
      </c>
      <c r="G445" s="3" t="s">
        <v>88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 s="3">
        <v>712.38</v>
      </c>
      <c r="N445" t="s">
        <v>83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94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hidden="1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124</v>
      </c>
      <c r="G446" t="s">
        <v>88</v>
      </c>
      <c r="H446" s="3">
        <v>2925</v>
      </c>
      <c r="I446" s="3">
        <v>2925</v>
      </c>
      <c r="J446">
        <v>0</v>
      </c>
      <c r="K446" s="3">
        <v>3363.75</v>
      </c>
      <c r="L446" s="3">
        <v>372.5</v>
      </c>
      <c r="M446" s="3">
        <v>230.95</v>
      </c>
      <c r="N446" t="s">
        <v>83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94</v>
      </c>
      <c r="X446" s="4">
        <v>0</v>
      </c>
      <c r="Y446" t="s">
        <v>58</v>
      </c>
      <c r="Z446">
        <v>0</v>
      </c>
      <c r="AA446" s="3">
        <v>0</v>
      </c>
      <c r="AB446">
        <v>372.5</v>
      </c>
      <c r="AC446">
        <v>0</v>
      </c>
      <c r="AD446">
        <v>0</v>
      </c>
      <c r="AE446" s="3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hidden="1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124</v>
      </c>
      <c r="G447" t="s">
        <v>88</v>
      </c>
      <c r="H447" s="3">
        <v>2945</v>
      </c>
      <c r="I447" s="3">
        <v>2945</v>
      </c>
      <c r="J447">
        <v>0</v>
      </c>
      <c r="K447" s="3">
        <v>3386.75</v>
      </c>
      <c r="L447" s="3">
        <v>239</v>
      </c>
      <c r="M447" s="3">
        <v>148.18</v>
      </c>
      <c r="N447" t="s">
        <v>83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94</v>
      </c>
      <c r="X447" s="4">
        <v>0</v>
      </c>
      <c r="Y447" t="s">
        <v>58</v>
      </c>
      <c r="Z447" s="3">
        <v>0</v>
      </c>
      <c r="AA447">
        <v>0</v>
      </c>
      <c r="AB447">
        <v>239</v>
      </c>
      <c r="AC447">
        <v>0</v>
      </c>
      <c r="AD447">
        <v>0</v>
      </c>
      <c r="AE447" s="3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hidden="1" x14ac:dyDescent="0.25">
      <c r="A448" t="s">
        <v>95</v>
      </c>
      <c r="B448" s="1">
        <v>37377</v>
      </c>
      <c r="C448" t="s">
        <v>48</v>
      </c>
      <c r="D448" t="s">
        <v>49</v>
      </c>
      <c r="E448" s="2">
        <v>45793</v>
      </c>
      <c r="F448" t="s">
        <v>164</v>
      </c>
      <c r="G448" t="s">
        <v>165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 s="3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hidden="1" x14ac:dyDescent="0.25">
      <c r="A449" t="s">
        <v>63</v>
      </c>
      <c r="B449" s="1">
        <v>594</v>
      </c>
      <c r="C449">
        <v>0</v>
      </c>
      <c r="D449">
        <v>0</v>
      </c>
      <c r="E449" s="2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3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  <c r="X449" s="4"/>
    </row>
    <row r="450" spans="1:47" hidden="1" x14ac:dyDescent="0.25">
      <c r="A450" t="s">
        <v>95</v>
      </c>
      <c r="B450" s="1">
        <v>37379</v>
      </c>
      <c r="C450" t="s">
        <v>48</v>
      </c>
      <c r="D450" t="s">
        <v>49</v>
      </c>
      <c r="E450" s="2">
        <v>45796</v>
      </c>
      <c r="F450" t="s">
        <v>149</v>
      </c>
      <c r="G450" t="s">
        <v>150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 s="3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151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 s="3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hidden="1" x14ac:dyDescent="0.25">
      <c r="A451" t="s">
        <v>95</v>
      </c>
      <c r="B451" s="1">
        <v>37380</v>
      </c>
      <c r="C451" t="s">
        <v>48</v>
      </c>
      <c r="D451" t="s">
        <v>49</v>
      </c>
      <c r="E451" s="2">
        <v>45796</v>
      </c>
      <c r="F451" t="s">
        <v>204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 s="3">
        <v>499.2</v>
      </c>
      <c r="M451" s="3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151</v>
      </c>
      <c r="X451" s="4">
        <v>0</v>
      </c>
      <c r="Y451" t="s">
        <v>62</v>
      </c>
      <c r="AB451" s="3"/>
      <c r="AK451" s="5"/>
    </row>
    <row r="452" spans="1:47" hidden="1" x14ac:dyDescent="0.25">
      <c r="A452" t="s">
        <v>63</v>
      </c>
      <c r="B452" s="1">
        <v>499.2</v>
      </c>
      <c r="C452">
        <v>0</v>
      </c>
      <c r="D452">
        <v>0</v>
      </c>
      <c r="E452" s="2">
        <v>0</v>
      </c>
      <c r="F452">
        <v>0</v>
      </c>
      <c r="G452" s="3">
        <v>2600</v>
      </c>
      <c r="H452" s="3" t="s">
        <v>54</v>
      </c>
      <c r="I452" s="3" t="s">
        <v>59</v>
      </c>
      <c r="K452" s="3" t="s">
        <v>60</v>
      </c>
      <c r="L452" s="3" t="s">
        <v>60</v>
      </c>
      <c r="M452" s="3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  <c r="X452" s="4"/>
      <c r="AD452" s="3"/>
      <c r="AE452" s="3"/>
      <c r="AK452" s="5"/>
    </row>
    <row r="453" spans="1:47" hidden="1" x14ac:dyDescent="0.25">
      <c r="A453" t="s">
        <v>95</v>
      </c>
      <c r="B453" s="1">
        <v>37381</v>
      </c>
      <c r="C453" t="s">
        <v>48</v>
      </c>
      <c r="D453" t="s">
        <v>49</v>
      </c>
      <c r="E453" s="2">
        <v>45797</v>
      </c>
      <c r="F453" t="s">
        <v>410</v>
      </c>
      <c r="G453" t="s">
        <v>117</v>
      </c>
      <c r="H453" s="3">
        <v>3584</v>
      </c>
      <c r="I453" s="3">
        <v>3584</v>
      </c>
      <c r="J453">
        <v>0</v>
      </c>
      <c r="K453" s="3">
        <v>3584</v>
      </c>
      <c r="L453" s="3">
        <v>687.6</v>
      </c>
      <c r="M453" s="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173</v>
      </c>
      <c r="W453" t="s">
        <v>72</v>
      </c>
      <c r="X453" s="4">
        <v>0</v>
      </c>
      <c r="Y453" t="s">
        <v>197</v>
      </c>
      <c r="Z453">
        <v>236</v>
      </c>
      <c r="AA453">
        <v>0</v>
      </c>
      <c r="AB453">
        <v>0</v>
      </c>
      <c r="AC453">
        <v>0</v>
      </c>
      <c r="AD453" s="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hidden="1" x14ac:dyDescent="0.25">
      <c r="A454" t="s">
        <v>95</v>
      </c>
      <c r="B454" s="1">
        <v>37382</v>
      </c>
      <c r="C454" t="s">
        <v>48</v>
      </c>
      <c r="D454" t="s">
        <v>49</v>
      </c>
      <c r="E454" s="2">
        <v>45797</v>
      </c>
      <c r="F454" t="s">
        <v>410</v>
      </c>
      <c r="G454" t="s">
        <v>117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 s="3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173</v>
      </c>
      <c r="W454" t="s">
        <v>72</v>
      </c>
      <c r="X454" s="4">
        <v>0</v>
      </c>
      <c r="Y454" t="s">
        <v>197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hidden="1" x14ac:dyDescent="0.25">
      <c r="A455" t="s">
        <v>95</v>
      </c>
      <c r="B455" s="1">
        <v>37383</v>
      </c>
      <c r="C455" t="s">
        <v>48</v>
      </c>
      <c r="D455" t="s">
        <v>49</v>
      </c>
      <c r="E455" s="2">
        <v>45797</v>
      </c>
      <c r="F455" t="s">
        <v>216</v>
      </c>
      <c r="G455" s="3" t="s">
        <v>163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 s="3">
        <v>582.47</v>
      </c>
      <c r="N455" t="s">
        <v>105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144</v>
      </c>
      <c r="W455" t="s">
        <v>151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91</v>
      </c>
      <c r="AJ455" t="s">
        <v>91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hidden="1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167</v>
      </c>
      <c r="G456" t="s">
        <v>168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287</v>
      </c>
      <c r="X456" s="4">
        <v>0</v>
      </c>
      <c r="Y456" t="s">
        <v>62</v>
      </c>
      <c r="AK456" s="5"/>
    </row>
    <row r="457" spans="1:47" hidden="1" x14ac:dyDescent="0.25">
      <c r="A457" t="s">
        <v>63</v>
      </c>
      <c r="B457" s="3">
        <v>4865</v>
      </c>
      <c r="C457">
        <v>0</v>
      </c>
      <c r="D457">
        <v>855</v>
      </c>
      <c r="E457" s="2">
        <v>0</v>
      </c>
      <c r="F457">
        <v>0</v>
      </c>
      <c r="G457" s="3">
        <v>15000</v>
      </c>
      <c r="H457" s="3" t="s">
        <v>54</v>
      </c>
      <c r="I457" s="3" t="s">
        <v>59</v>
      </c>
      <c r="K457" s="3" t="s">
        <v>91</v>
      </c>
      <c r="L457" s="3" t="s">
        <v>60</v>
      </c>
      <c r="M457" s="3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  <c r="X457" s="4"/>
      <c r="AD457" s="3"/>
      <c r="AE457" s="3"/>
      <c r="AK457" s="5"/>
    </row>
    <row r="458" spans="1:47" hidden="1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242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 s="3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94</v>
      </c>
      <c r="X458" s="4">
        <v>0</v>
      </c>
      <c r="Y458" t="s">
        <v>62</v>
      </c>
    </row>
    <row r="459" spans="1:47" hidden="1" x14ac:dyDescent="0.25">
      <c r="A459" t="s">
        <v>63</v>
      </c>
      <c r="B459" s="3">
        <v>1691.03</v>
      </c>
      <c r="C459">
        <v>0</v>
      </c>
      <c r="D459">
        <v>0</v>
      </c>
      <c r="E459" s="2">
        <v>0</v>
      </c>
      <c r="F459">
        <v>0</v>
      </c>
      <c r="G459" s="3">
        <v>1415</v>
      </c>
      <c r="H459" s="3" t="s">
        <v>54</v>
      </c>
      <c r="I459" s="3" t="s">
        <v>59</v>
      </c>
      <c r="K459" s="3" t="s">
        <v>80</v>
      </c>
      <c r="L459" s="3" t="s">
        <v>73</v>
      </c>
      <c r="M459" s="3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  <c r="X459" s="4"/>
    </row>
    <row r="460" spans="1:47" hidden="1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s="3" t="s">
        <v>100</v>
      </c>
      <c r="G460" t="s">
        <v>93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83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101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102</v>
      </c>
      <c r="AI460" t="s">
        <v>91</v>
      </c>
      <c r="AJ460" t="s">
        <v>91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hidden="1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288</v>
      </c>
      <c r="G461" s="3" t="s">
        <v>136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 s="3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94</v>
      </c>
      <c r="X461" s="4">
        <v>0</v>
      </c>
      <c r="Y461" t="s">
        <v>62</v>
      </c>
    </row>
    <row r="462" spans="1:47" hidden="1" x14ac:dyDescent="0.25">
      <c r="A462" t="s">
        <v>63</v>
      </c>
      <c r="B462" s="1">
        <v>633.79999999999995</v>
      </c>
      <c r="C462">
        <v>0</v>
      </c>
      <c r="D462">
        <v>0</v>
      </c>
      <c r="E462" s="2">
        <v>0</v>
      </c>
      <c r="F462">
        <v>0</v>
      </c>
      <c r="G462">
        <v>400</v>
      </c>
      <c r="H462" s="3" t="s">
        <v>54</v>
      </c>
      <c r="I462" s="3" t="s">
        <v>59</v>
      </c>
      <c r="K462" s="3" t="s">
        <v>73</v>
      </c>
      <c r="L462" s="3" t="s">
        <v>73</v>
      </c>
      <c r="M462" s="3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hidden="1" x14ac:dyDescent="0.25">
      <c r="A463" t="s">
        <v>95</v>
      </c>
      <c r="B463" s="1">
        <v>37389</v>
      </c>
      <c r="C463" t="s">
        <v>48</v>
      </c>
      <c r="D463" t="s">
        <v>49</v>
      </c>
      <c r="E463" s="2">
        <v>45799</v>
      </c>
      <c r="F463" s="3" t="s">
        <v>180</v>
      </c>
      <c r="G463" s="3" t="s">
        <v>181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 s="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141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hidden="1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233</v>
      </c>
      <c r="G464" t="s">
        <v>155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 s="3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234</v>
      </c>
      <c r="X464" s="4">
        <v>0</v>
      </c>
      <c r="Y464" t="s">
        <v>62</v>
      </c>
    </row>
    <row r="465" spans="1:47" hidden="1" x14ac:dyDescent="0.25">
      <c r="A465" t="s">
        <v>63</v>
      </c>
      <c r="B465" s="3">
        <v>1041.5999999999999</v>
      </c>
      <c r="C465">
        <v>0</v>
      </c>
      <c r="D465">
        <v>0</v>
      </c>
      <c r="E465" s="2">
        <v>0</v>
      </c>
      <c r="F465">
        <v>0</v>
      </c>
      <c r="G465" s="3">
        <v>2400</v>
      </c>
      <c r="H465" s="3" t="s">
        <v>54</v>
      </c>
      <c r="I465" s="3" t="s">
        <v>59</v>
      </c>
      <c r="J465" t="s">
        <v>235</v>
      </c>
      <c r="K465" s="3" t="s">
        <v>73</v>
      </c>
      <c r="L465" s="3" t="s">
        <v>60</v>
      </c>
      <c r="M465" s="3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  <c r="X465" s="4"/>
    </row>
    <row r="466" spans="1:47" hidden="1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s="3" t="s">
        <v>157</v>
      </c>
      <c r="G466" s="3" t="s">
        <v>108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 s="3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158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 s="3">
        <v>0</v>
      </c>
      <c r="AE466" s="3">
        <v>1000</v>
      </c>
      <c r="AF466" t="s">
        <v>54</v>
      </c>
      <c r="AG466" t="s">
        <v>59</v>
      </c>
      <c r="AI466" t="s">
        <v>91</v>
      </c>
      <c r="AJ466" t="s">
        <v>91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hidden="1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289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 s="3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hidden="1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91</v>
      </c>
      <c r="M468" s="3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hidden="1" x14ac:dyDescent="0.25">
      <c r="A469" t="s">
        <v>134</v>
      </c>
      <c r="B469" s="1">
        <v>37393</v>
      </c>
      <c r="C469" t="s">
        <v>48</v>
      </c>
      <c r="D469" t="s">
        <v>49</v>
      </c>
      <c r="E469" s="2">
        <v>45803</v>
      </c>
      <c r="F469" t="s">
        <v>281</v>
      </c>
      <c r="G469" t="s">
        <v>282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113</v>
      </c>
      <c r="X469" s="4">
        <v>0</v>
      </c>
      <c r="Y469" t="s">
        <v>62</v>
      </c>
      <c r="Z469" s="3"/>
      <c r="AE469" s="3"/>
      <c r="AK469" s="5"/>
    </row>
    <row r="470" spans="1:47" hidden="1" x14ac:dyDescent="0.25">
      <c r="A470" t="s">
        <v>63</v>
      </c>
      <c r="B470" s="3">
        <v>6175</v>
      </c>
      <c r="C470">
        <v>0</v>
      </c>
      <c r="D470">
        <v>0</v>
      </c>
      <c r="E470" s="2">
        <v>0</v>
      </c>
      <c r="F470">
        <v>0</v>
      </c>
      <c r="G470" s="3">
        <v>15000</v>
      </c>
      <c r="H470" s="3" t="s">
        <v>54</v>
      </c>
      <c r="I470" s="3" t="s">
        <v>59</v>
      </c>
      <c r="K470" s="3" t="s">
        <v>80</v>
      </c>
      <c r="L470" s="3" t="s">
        <v>60</v>
      </c>
      <c r="M470" s="3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  <c r="X470" s="4"/>
      <c r="AB470" s="3"/>
      <c r="AK470" s="5"/>
    </row>
    <row r="471" spans="1:47" hidden="1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127</v>
      </c>
      <c r="G471" t="s">
        <v>128</v>
      </c>
      <c r="H471" s="3">
        <v>5395</v>
      </c>
      <c r="I471" s="3">
        <v>5395</v>
      </c>
      <c r="J471">
        <v>0</v>
      </c>
      <c r="K471" s="3">
        <v>6204.25</v>
      </c>
      <c r="L471" s="3">
        <v>910.5</v>
      </c>
      <c r="M471" s="3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177</v>
      </c>
      <c r="X471" s="4">
        <v>0</v>
      </c>
      <c r="Y471" t="s">
        <v>62</v>
      </c>
      <c r="Z471" s="3"/>
      <c r="AE471" s="3"/>
      <c r="AK471" s="5"/>
    </row>
    <row r="472" spans="1:47" hidden="1" x14ac:dyDescent="0.25">
      <c r="A472" t="s">
        <v>63</v>
      </c>
      <c r="B472" s="1">
        <v>910.5</v>
      </c>
      <c r="C472">
        <v>0</v>
      </c>
      <c r="D472">
        <v>0</v>
      </c>
      <c r="E472" s="2">
        <v>0</v>
      </c>
      <c r="F472">
        <v>0</v>
      </c>
      <c r="G472" s="3">
        <v>1500</v>
      </c>
      <c r="H472" s="3" t="s">
        <v>54</v>
      </c>
      <c r="I472" s="3" t="s">
        <v>59</v>
      </c>
      <c r="K472" s="3" t="s">
        <v>60</v>
      </c>
      <c r="L472" t="s">
        <v>60</v>
      </c>
      <c r="M472" s="3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  <c r="X472" s="4"/>
      <c r="AK472" s="5"/>
    </row>
    <row r="473" spans="1:47" hidden="1" x14ac:dyDescent="0.25">
      <c r="A473" t="s">
        <v>134</v>
      </c>
      <c r="B473" s="1">
        <v>37395</v>
      </c>
      <c r="C473" t="s">
        <v>48</v>
      </c>
      <c r="D473" t="s">
        <v>49</v>
      </c>
      <c r="E473" s="2">
        <v>45803</v>
      </c>
      <c r="F473" t="s">
        <v>290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 s="3">
        <v>675.17</v>
      </c>
      <c r="N473" t="s">
        <v>83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173</v>
      </c>
      <c r="W473" t="s">
        <v>94</v>
      </c>
      <c r="X473" s="4">
        <v>0</v>
      </c>
      <c r="Y473" t="s">
        <v>58</v>
      </c>
      <c r="Z473" s="3">
        <v>1653.7</v>
      </c>
      <c r="AA473">
        <v>0</v>
      </c>
      <c r="AB473" s="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hidden="1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212</v>
      </c>
      <c r="G474" s="3" t="s">
        <v>88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 s="3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94</v>
      </c>
      <c r="X474" s="4">
        <v>0</v>
      </c>
      <c r="Y474" t="s">
        <v>58</v>
      </c>
      <c r="Z474">
        <v>0</v>
      </c>
      <c r="AA474" s="3">
        <v>1121.5</v>
      </c>
      <c r="AB474" s="3">
        <v>0</v>
      </c>
      <c r="AC474">
        <v>0</v>
      </c>
      <c r="AD474">
        <v>0</v>
      </c>
      <c r="AE474" s="3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hidden="1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227</v>
      </c>
      <c r="G475" t="s">
        <v>66</v>
      </c>
      <c r="H475" s="3">
        <v>523</v>
      </c>
      <c r="I475" s="3">
        <v>523</v>
      </c>
      <c r="J475">
        <v>0</v>
      </c>
      <c r="K475" s="3">
        <v>601.45000000000005</v>
      </c>
      <c r="L475" s="3">
        <v>47.2</v>
      </c>
      <c r="M475" s="3">
        <v>17.46</v>
      </c>
      <c r="N475" t="s">
        <v>105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144</v>
      </c>
      <c r="W475" t="s">
        <v>94</v>
      </c>
      <c r="X475" s="4">
        <v>0</v>
      </c>
      <c r="Y475" t="s">
        <v>62</v>
      </c>
      <c r="AB475" s="3"/>
      <c r="AK475" s="5"/>
    </row>
    <row r="476" spans="1:47" hidden="1" x14ac:dyDescent="0.25">
      <c r="A476" t="s">
        <v>63</v>
      </c>
      <c r="B476" s="1">
        <v>47.2</v>
      </c>
      <c r="C476">
        <v>0</v>
      </c>
      <c r="D476">
        <v>0</v>
      </c>
      <c r="E476" s="2">
        <v>0</v>
      </c>
      <c r="F476">
        <v>0</v>
      </c>
      <c r="G476">
        <v>100</v>
      </c>
      <c r="H476" s="3" t="s">
        <v>54</v>
      </c>
      <c r="I476" s="3" t="s">
        <v>59</v>
      </c>
      <c r="J476" t="s">
        <v>228</v>
      </c>
      <c r="K476" s="3" t="s">
        <v>214</v>
      </c>
      <c r="L476" s="3" t="s">
        <v>73</v>
      </c>
      <c r="M476" s="3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  <c r="X476" s="4"/>
      <c r="AB476" s="3"/>
      <c r="AE476" s="3"/>
      <c r="AK476" s="5"/>
    </row>
    <row r="477" spans="1:47" hidden="1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100</v>
      </c>
      <c r="G477" t="s">
        <v>93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83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101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102</v>
      </c>
      <c r="AI477" t="s">
        <v>91</v>
      </c>
      <c r="AJ477" t="s">
        <v>91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hidden="1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 s="3">
        <v>700</v>
      </c>
      <c r="M478" s="3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  <c r="AB478" s="3"/>
      <c r="AE478" s="3"/>
      <c r="AK478" s="5"/>
    </row>
    <row r="479" spans="1:47" hidden="1" x14ac:dyDescent="0.25">
      <c r="A479" t="s">
        <v>63</v>
      </c>
      <c r="B479" s="1">
        <v>116.3</v>
      </c>
      <c r="C479">
        <v>0</v>
      </c>
      <c r="D479">
        <v>583.70000000000005</v>
      </c>
      <c r="E479" s="2">
        <v>0</v>
      </c>
      <c r="F479">
        <v>0</v>
      </c>
      <c r="G479">
        <v>900</v>
      </c>
      <c r="H479" s="3" t="s">
        <v>54</v>
      </c>
      <c r="I479" s="3" t="s">
        <v>59</v>
      </c>
      <c r="J479" t="s">
        <v>64</v>
      </c>
      <c r="K479" s="3" t="s">
        <v>73</v>
      </c>
      <c r="L479" s="3" t="s">
        <v>73</v>
      </c>
      <c r="M479" s="3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  <c r="X479" s="4"/>
      <c r="AB479" s="3"/>
      <c r="AE479" s="3"/>
      <c r="AK479" s="5"/>
    </row>
    <row r="480" spans="1:47" hidden="1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250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 s="3">
        <v>671.32</v>
      </c>
      <c r="N480" t="s">
        <v>83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94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hidden="1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202</v>
      </c>
      <c r="G481" s="3" t="s">
        <v>122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 s="3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 s="3">
        <v>0</v>
      </c>
      <c r="AE481" s="3">
        <v>837</v>
      </c>
      <c r="AF481" t="s">
        <v>54</v>
      </c>
      <c r="AG481" t="s">
        <v>59</v>
      </c>
      <c r="AI481" t="s">
        <v>91</v>
      </c>
      <c r="AJ481" t="s">
        <v>91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hidden="1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202</v>
      </c>
      <c r="G482" t="s">
        <v>122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 s="3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91</v>
      </c>
      <c r="AJ482" t="s">
        <v>91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hidden="1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s="3" t="s">
        <v>51</v>
      </c>
      <c r="H483" s="3">
        <v>2953.6</v>
      </c>
      <c r="I483" s="3">
        <v>2953.6</v>
      </c>
      <c r="J483">
        <v>0</v>
      </c>
      <c r="K483" s="3">
        <v>3396.64</v>
      </c>
      <c r="L483" s="3">
        <v>317.60000000000002</v>
      </c>
      <c r="M483" s="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196</v>
      </c>
      <c r="AB483" s="3"/>
      <c r="AD483" s="3"/>
      <c r="AE483" s="3"/>
      <c r="AK483" s="5"/>
    </row>
    <row r="484" spans="1:47" hidden="1" x14ac:dyDescent="0.25">
      <c r="A484" t="s">
        <v>197</v>
      </c>
      <c r="B484" s="1">
        <v>0</v>
      </c>
      <c r="C484">
        <v>0</v>
      </c>
      <c r="D484">
        <v>317.60000000000002</v>
      </c>
      <c r="E484" s="2">
        <v>0</v>
      </c>
      <c r="F484" s="3">
        <v>0</v>
      </c>
      <c r="G484" s="3">
        <v>200</v>
      </c>
      <c r="H484" s="3" t="s">
        <v>54</v>
      </c>
      <c r="I484" s="3" t="s">
        <v>59</v>
      </c>
      <c r="K484" s="3" t="s">
        <v>91</v>
      </c>
      <c r="L484" s="3" t="s">
        <v>91</v>
      </c>
      <c r="M484" s="3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  <c r="X484" s="4"/>
    </row>
    <row r="485" spans="1:47" hidden="1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202</v>
      </c>
      <c r="G485" s="3" t="s">
        <v>122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 s="3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91</v>
      </c>
      <c r="AJ485" t="s">
        <v>91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hidden="1" x14ac:dyDescent="0.25">
      <c r="A486" t="s">
        <v>95</v>
      </c>
      <c r="B486" s="1">
        <v>37408</v>
      </c>
      <c r="C486" t="s">
        <v>48</v>
      </c>
      <c r="D486" t="s">
        <v>49</v>
      </c>
      <c r="E486" s="2">
        <v>45805</v>
      </c>
      <c r="F486" t="s">
        <v>291</v>
      </c>
      <c r="G486" s="3" t="s">
        <v>213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 s="3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89</v>
      </c>
      <c r="X486" s="4">
        <v>0</v>
      </c>
      <c r="Y486" t="s">
        <v>62</v>
      </c>
      <c r="Z486" s="3"/>
      <c r="AE486" s="3"/>
      <c r="AK486" s="5"/>
    </row>
    <row r="487" spans="1:47" hidden="1" x14ac:dyDescent="0.25">
      <c r="A487" t="s">
        <v>63</v>
      </c>
      <c r="B487" s="1">
        <v>0</v>
      </c>
      <c r="C487">
        <v>0</v>
      </c>
      <c r="D487">
        <v>0</v>
      </c>
      <c r="E487" s="2">
        <v>0</v>
      </c>
      <c r="F487" s="3">
        <v>1581</v>
      </c>
      <c r="G487" s="3">
        <v>1000</v>
      </c>
      <c r="H487" s="3" t="s">
        <v>54</v>
      </c>
      <c r="I487" s="3" t="s">
        <v>59</v>
      </c>
      <c r="J487" t="s">
        <v>292</v>
      </c>
      <c r="K487" s="3" t="s">
        <v>91</v>
      </c>
      <c r="L487" s="3" t="s">
        <v>91</v>
      </c>
      <c r="M487" s="3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  <c r="X487" s="4"/>
      <c r="AE487" s="3"/>
      <c r="AK487" s="5"/>
    </row>
    <row r="488" spans="1:47" hidden="1" x14ac:dyDescent="0.25">
      <c r="A488" t="s">
        <v>95</v>
      </c>
      <c r="B488" s="1">
        <v>37413</v>
      </c>
      <c r="C488" t="s">
        <v>48</v>
      </c>
      <c r="D488" t="s">
        <v>49</v>
      </c>
      <c r="E488" s="2">
        <v>45806</v>
      </c>
      <c r="F488" t="s">
        <v>293</v>
      </c>
      <c r="G488" s="3" t="s">
        <v>93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 s="3">
        <v>133.29</v>
      </c>
      <c r="N488" t="s">
        <v>105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144</v>
      </c>
      <c r="W488" t="s">
        <v>89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214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hidden="1" x14ac:dyDescent="0.25">
      <c r="A489" t="s">
        <v>95</v>
      </c>
      <c r="B489" s="1">
        <v>37414</v>
      </c>
      <c r="C489" t="s">
        <v>48</v>
      </c>
      <c r="D489" t="s">
        <v>49</v>
      </c>
      <c r="E489" s="2">
        <v>45806</v>
      </c>
      <c r="F489" t="s">
        <v>293</v>
      </c>
      <c r="G489" t="s">
        <v>93</v>
      </c>
      <c r="H489" s="3">
        <v>1371</v>
      </c>
      <c r="I489" s="3">
        <v>1371</v>
      </c>
      <c r="J489">
        <v>0</v>
      </c>
      <c r="K489" s="3">
        <v>1371</v>
      </c>
      <c r="L489" s="3">
        <v>178.2</v>
      </c>
      <c r="M489" s="3">
        <v>133.29</v>
      </c>
      <c r="N489" t="s">
        <v>105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144</v>
      </c>
      <c r="W489" t="s">
        <v>89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214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hidden="1" x14ac:dyDescent="0.25">
      <c r="A490" t="s">
        <v>95</v>
      </c>
      <c r="B490" s="1">
        <v>37417</v>
      </c>
      <c r="C490" t="s">
        <v>48</v>
      </c>
      <c r="D490" t="s">
        <v>49</v>
      </c>
      <c r="E490" s="2">
        <v>45807</v>
      </c>
      <c r="F490" t="s">
        <v>152</v>
      </c>
      <c r="G490" s="3" t="s">
        <v>66</v>
      </c>
      <c r="H490" s="3">
        <v>3090</v>
      </c>
      <c r="I490" s="3">
        <v>3090</v>
      </c>
      <c r="J490">
        <v>0</v>
      </c>
      <c r="K490" s="3">
        <v>3090</v>
      </c>
      <c r="L490" s="3">
        <v>576</v>
      </c>
      <c r="M490" s="3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94</v>
      </c>
      <c r="X490" s="4">
        <v>0</v>
      </c>
      <c r="Y490" t="s">
        <v>62</v>
      </c>
    </row>
    <row r="491" spans="1:47" hidden="1" x14ac:dyDescent="0.25">
      <c r="A491" t="s">
        <v>63</v>
      </c>
      <c r="B491" s="1">
        <v>0</v>
      </c>
      <c r="C491">
        <v>0</v>
      </c>
      <c r="D491">
        <v>0</v>
      </c>
      <c r="E491" s="2">
        <v>0</v>
      </c>
      <c r="F491">
        <v>576</v>
      </c>
      <c r="G491" s="3">
        <v>1000</v>
      </c>
      <c r="H491" s="3" t="s">
        <v>54</v>
      </c>
      <c r="I491" s="3" t="s">
        <v>59</v>
      </c>
      <c r="K491" s="3" t="s">
        <v>91</v>
      </c>
      <c r="L491" s="3" t="s">
        <v>91</v>
      </c>
      <c r="M491" s="3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  <c r="X491" s="4"/>
    </row>
    <row r="492" spans="1:47" hidden="1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s="3" t="s">
        <v>205</v>
      </c>
      <c r="G492" s="3" t="s">
        <v>117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 s="3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115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206</v>
      </c>
      <c r="AI492" t="s">
        <v>91</v>
      </c>
      <c r="AJ492" t="s">
        <v>91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hidden="1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121</v>
      </c>
      <c r="G493" t="s">
        <v>122</v>
      </c>
      <c r="H493" s="3">
        <v>5780.5</v>
      </c>
      <c r="I493" s="3">
        <v>5780.5</v>
      </c>
      <c r="J493">
        <v>0</v>
      </c>
      <c r="K493" s="3">
        <v>5780.5</v>
      </c>
      <c r="L493" s="3">
        <v>969.1</v>
      </c>
      <c r="M493" s="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94</v>
      </c>
      <c r="X493" s="4">
        <v>0</v>
      </c>
      <c r="Y493" t="s">
        <v>63</v>
      </c>
      <c r="Z493" s="3">
        <v>0</v>
      </c>
      <c r="AA493">
        <v>0</v>
      </c>
      <c r="AB493" s="3">
        <v>0</v>
      </c>
      <c r="AC493">
        <v>0</v>
      </c>
      <c r="AD493">
        <v>969.1</v>
      </c>
      <c r="AE493" s="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hidden="1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256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 s="3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257</v>
      </c>
      <c r="X494" s="4">
        <v>0</v>
      </c>
      <c r="Y494" t="s">
        <v>62</v>
      </c>
      <c r="AE494" s="3"/>
      <c r="AK494" s="5"/>
    </row>
    <row r="495" spans="1:47" hidden="1" x14ac:dyDescent="0.25">
      <c r="A495" t="s">
        <v>63</v>
      </c>
      <c r="B495" s="1">
        <v>0</v>
      </c>
      <c r="C495">
        <v>0</v>
      </c>
      <c r="D495" s="3">
        <v>1420.3</v>
      </c>
      <c r="E495" s="2">
        <v>0</v>
      </c>
      <c r="F495">
        <v>0</v>
      </c>
      <c r="G495">
        <v>800</v>
      </c>
      <c r="H495" s="3" t="s">
        <v>54</v>
      </c>
      <c r="I495" s="3" t="s">
        <v>59</v>
      </c>
      <c r="K495" s="3" t="s">
        <v>73</v>
      </c>
      <c r="L495" s="3" t="s">
        <v>73</v>
      </c>
      <c r="M495" s="3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  <c r="X495" s="4"/>
      <c r="AE495" s="3"/>
      <c r="AK495" s="5"/>
    </row>
    <row r="496" spans="1:47" hidden="1" x14ac:dyDescent="0.25">
      <c r="A496" t="s">
        <v>95</v>
      </c>
      <c r="B496" s="1">
        <v>37422</v>
      </c>
      <c r="C496" t="s">
        <v>48</v>
      </c>
      <c r="D496" t="s">
        <v>49</v>
      </c>
      <c r="E496" s="2">
        <v>45810</v>
      </c>
      <c r="F496" s="3" t="s">
        <v>143</v>
      </c>
      <c r="G496" s="3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 s="3">
        <v>266.92</v>
      </c>
      <c r="N496" t="s">
        <v>105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144</v>
      </c>
      <c r="W496" t="s">
        <v>145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214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hidden="1" x14ac:dyDescent="0.25">
      <c r="A497" t="s">
        <v>95</v>
      </c>
      <c r="B497" s="1">
        <v>37423</v>
      </c>
      <c r="C497" t="s">
        <v>48</v>
      </c>
      <c r="D497" t="s">
        <v>49</v>
      </c>
      <c r="E497" s="2">
        <v>45810</v>
      </c>
      <c r="F497" t="s">
        <v>143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105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144</v>
      </c>
      <c r="W497" t="s">
        <v>145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214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hidden="1" x14ac:dyDescent="0.25">
      <c r="A498" t="s">
        <v>95</v>
      </c>
      <c r="B498" s="1">
        <v>37424</v>
      </c>
      <c r="C498" t="s">
        <v>48</v>
      </c>
      <c r="D498" t="s">
        <v>49</v>
      </c>
      <c r="E498" s="2">
        <v>45810</v>
      </c>
      <c r="F498" t="s">
        <v>143</v>
      </c>
      <c r="G498" s="3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105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144</v>
      </c>
      <c r="W498" t="s">
        <v>145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214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hidden="1" x14ac:dyDescent="0.25">
      <c r="A499" t="s">
        <v>95</v>
      </c>
      <c r="B499" s="1">
        <v>37425</v>
      </c>
      <c r="C499" t="s">
        <v>48</v>
      </c>
      <c r="D499" t="s">
        <v>49</v>
      </c>
      <c r="E499" s="2">
        <v>45810</v>
      </c>
      <c r="F499" t="s">
        <v>143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105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144</v>
      </c>
      <c r="W499" t="s">
        <v>145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214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hidden="1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s="3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158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91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hidden="1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207</v>
      </c>
      <c r="G501" t="s">
        <v>208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 s="3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160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hidden="1" x14ac:dyDescent="0.25">
      <c r="A502" t="s">
        <v>95</v>
      </c>
      <c r="B502" s="1">
        <v>37428</v>
      </c>
      <c r="C502" t="s">
        <v>48</v>
      </c>
      <c r="D502" s="3" t="s">
        <v>49</v>
      </c>
      <c r="E502" s="2">
        <v>45811</v>
      </c>
      <c r="F502" t="s">
        <v>294</v>
      </c>
      <c r="G502" s="3" t="s">
        <v>112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 s="3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295</v>
      </c>
      <c r="X502" s="4">
        <v>0</v>
      </c>
      <c r="Y502" t="s">
        <v>62</v>
      </c>
      <c r="AE502" s="3"/>
      <c r="AK502" s="5"/>
    </row>
    <row r="503" spans="1:47" hidden="1" x14ac:dyDescent="0.25">
      <c r="A503" t="s">
        <v>63</v>
      </c>
      <c r="B503" s="1">
        <v>0</v>
      </c>
      <c r="C503">
        <v>0</v>
      </c>
      <c r="D503">
        <v>727.45</v>
      </c>
      <c r="E503" s="2">
        <v>0</v>
      </c>
      <c r="F503">
        <v>0</v>
      </c>
      <c r="G503">
        <v>600</v>
      </c>
      <c r="H503" s="3" t="s">
        <v>54</v>
      </c>
      <c r="I503" s="3" t="s">
        <v>59</v>
      </c>
      <c r="K503" s="3" t="s">
        <v>73</v>
      </c>
      <c r="L503" t="s">
        <v>73</v>
      </c>
      <c r="M503" s="3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  <c r="X503" s="4"/>
      <c r="AE503" s="3"/>
      <c r="AK503" s="5"/>
    </row>
    <row r="504" spans="1:47" hidden="1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148</v>
      </c>
      <c r="G504" t="s">
        <v>66</v>
      </c>
      <c r="H504" s="3">
        <v>835.1</v>
      </c>
      <c r="I504" s="3">
        <v>835.1</v>
      </c>
      <c r="J504">
        <v>0</v>
      </c>
      <c r="K504" s="3">
        <v>960.37</v>
      </c>
      <c r="L504" s="3">
        <v>96.92</v>
      </c>
      <c r="M504" s="3">
        <v>70.099999999999994</v>
      </c>
      <c r="N504" t="s">
        <v>83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hidden="1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s="3" t="s">
        <v>148</v>
      </c>
      <c r="G505" s="3" t="s">
        <v>66</v>
      </c>
      <c r="H505" s="3">
        <v>693.2</v>
      </c>
      <c r="I505" s="3">
        <v>693.2</v>
      </c>
      <c r="J505">
        <v>0</v>
      </c>
      <c r="K505" s="3">
        <v>797.18</v>
      </c>
      <c r="L505">
        <v>78.2</v>
      </c>
      <c r="M505" s="3">
        <v>58.49</v>
      </c>
      <c r="N505" t="s">
        <v>83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hidden="1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148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 s="3">
        <v>235.2</v>
      </c>
      <c r="M506" s="3">
        <v>175.93</v>
      </c>
      <c r="N506" t="s">
        <v>83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 s="3">
        <v>0</v>
      </c>
      <c r="AA506">
        <v>0</v>
      </c>
      <c r="AB506">
        <v>235.2</v>
      </c>
      <c r="AC506">
        <v>0</v>
      </c>
      <c r="AD506">
        <v>0</v>
      </c>
      <c r="AE506" s="3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hidden="1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148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 s="3">
        <v>752</v>
      </c>
      <c r="M507" s="3">
        <v>275.98</v>
      </c>
      <c r="N507" t="s">
        <v>83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hidden="1" x14ac:dyDescent="0.25">
      <c r="A508" t="s">
        <v>95</v>
      </c>
      <c r="B508" s="1">
        <v>37434</v>
      </c>
      <c r="C508" t="s">
        <v>48</v>
      </c>
      <c r="D508" s="3" t="s">
        <v>49</v>
      </c>
      <c r="E508" s="2">
        <v>45811</v>
      </c>
      <c r="F508" t="s">
        <v>296</v>
      </c>
      <c r="G508" s="3" t="s">
        <v>93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 s="3">
        <v>963.9</v>
      </c>
      <c r="N508" t="s">
        <v>105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144</v>
      </c>
      <c r="W508" t="s">
        <v>219</v>
      </c>
      <c r="X508" s="4">
        <v>0</v>
      </c>
      <c r="Y508" t="s">
        <v>58</v>
      </c>
      <c r="Z508" s="3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91</v>
      </c>
      <c r="AJ508" t="s">
        <v>91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hidden="1" x14ac:dyDescent="0.25">
      <c r="A509" t="s">
        <v>95</v>
      </c>
      <c r="B509" s="1">
        <v>37435</v>
      </c>
      <c r="C509" t="s">
        <v>48</v>
      </c>
      <c r="D509" t="s">
        <v>49</v>
      </c>
      <c r="E509" s="2">
        <v>45811</v>
      </c>
      <c r="F509" t="s">
        <v>297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 s="3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287</v>
      </c>
      <c r="X509" s="4">
        <v>0</v>
      </c>
      <c r="Y509" t="s">
        <v>62</v>
      </c>
      <c r="AK509" s="5"/>
    </row>
    <row r="510" spans="1:47" hidden="1" x14ac:dyDescent="0.25">
      <c r="A510" t="s">
        <v>63</v>
      </c>
      <c r="B510" s="1">
        <v>694</v>
      </c>
      <c r="C510">
        <v>0</v>
      </c>
      <c r="D510">
        <v>0</v>
      </c>
      <c r="E510" s="2">
        <v>0</v>
      </c>
      <c r="F510">
        <v>0</v>
      </c>
      <c r="G510" s="3">
        <v>1000</v>
      </c>
      <c r="H510" s="3" t="s">
        <v>54</v>
      </c>
      <c r="I510" s="3" t="s">
        <v>59</v>
      </c>
      <c r="K510" s="3" t="s">
        <v>60</v>
      </c>
      <c r="L510" s="3" t="s">
        <v>60</v>
      </c>
      <c r="M510" s="3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  <c r="X510" s="4"/>
      <c r="AB510" s="3"/>
      <c r="AE510" s="3"/>
      <c r="AK510" s="5"/>
    </row>
    <row r="511" spans="1:47" hidden="1" x14ac:dyDescent="0.25">
      <c r="A511" t="s">
        <v>95</v>
      </c>
      <c r="B511" s="1">
        <v>37436</v>
      </c>
      <c r="C511" t="s">
        <v>48</v>
      </c>
      <c r="D511" t="s">
        <v>49</v>
      </c>
      <c r="E511" s="2">
        <v>45811</v>
      </c>
      <c r="F511" t="s">
        <v>298</v>
      </c>
      <c r="G511" t="s">
        <v>93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105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219</v>
      </c>
      <c r="X511" s="4">
        <v>0</v>
      </c>
      <c r="Y511" t="s">
        <v>62</v>
      </c>
      <c r="AK511" s="5"/>
    </row>
    <row r="512" spans="1:47" hidden="1" x14ac:dyDescent="0.25">
      <c r="A512" t="s">
        <v>63</v>
      </c>
      <c r="B512" s="1">
        <v>0</v>
      </c>
      <c r="C512">
        <v>0</v>
      </c>
      <c r="D512" s="3">
        <v>3510</v>
      </c>
      <c r="E512" s="2">
        <v>0</v>
      </c>
      <c r="F512">
        <v>0</v>
      </c>
      <c r="G512" s="3">
        <v>2600</v>
      </c>
      <c r="H512" s="3" t="s">
        <v>54</v>
      </c>
      <c r="I512" s="3" t="s">
        <v>59</v>
      </c>
      <c r="K512" s="3" t="s">
        <v>91</v>
      </c>
      <c r="L512" s="3" t="s">
        <v>91</v>
      </c>
      <c r="M512" s="3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  <c r="X512" s="4"/>
      <c r="AK512" s="5"/>
    </row>
    <row r="513" spans="1:47" hidden="1" x14ac:dyDescent="0.25">
      <c r="A513" t="s">
        <v>95</v>
      </c>
      <c r="B513" s="1">
        <v>37437</v>
      </c>
      <c r="C513" t="s">
        <v>48</v>
      </c>
      <c r="D513" t="s">
        <v>49</v>
      </c>
      <c r="E513" s="2">
        <v>45811</v>
      </c>
      <c r="F513" t="s">
        <v>299</v>
      </c>
      <c r="G513" s="3" t="s">
        <v>163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 s="3">
        <v>963.9</v>
      </c>
      <c r="N513" t="s">
        <v>105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144</v>
      </c>
      <c r="W513" t="s">
        <v>219</v>
      </c>
      <c r="X513" s="4">
        <v>0</v>
      </c>
      <c r="Y513" t="s">
        <v>62</v>
      </c>
      <c r="AK513" s="5"/>
    </row>
    <row r="514" spans="1:47" hidden="1" x14ac:dyDescent="0.25">
      <c r="A514" t="s">
        <v>63</v>
      </c>
      <c r="B514" s="1">
        <v>0</v>
      </c>
      <c r="C514">
        <v>0</v>
      </c>
      <c r="D514" s="3">
        <v>1620</v>
      </c>
      <c r="E514" s="2">
        <v>0</v>
      </c>
      <c r="F514">
        <v>0</v>
      </c>
      <c r="G514" s="3">
        <v>1200</v>
      </c>
      <c r="H514" s="3" t="s">
        <v>54</v>
      </c>
      <c r="I514" s="3" t="s">
        <v>59</v>
      </c>
      <c r="K514" s="3" t="s">
        <v>91</v>
      </c>
      <c r="L514" t="s">
        <v>91</v>
      </c>
      <c r="M514" s="3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  <c r="X514" s="4"/>
      <c r="AK514" s="5"/>
    </row>
    <row r="515" spans="1:47" hidden="1" x14ac:dyDescent="0.25">
      <c r="A515" t="s">
        <v>95</v>
      </c>
      <c r="B515" s="1">
        <v>37438</v>
      </c>
      <c r="C515" t="s">
        <v>48</v>
      </c>
      <c r="D515" t="s">
        <v>49</v>
      </c>
      <c r="E515" s="2">
        <v>45811</v>
      </c>
      <c r="F515" t="s">
        <v>300</v>
      </c>
      <c r="G515" t="s">
        <v>93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 s="3">
        <v>349.32</v>
      </c>
      <c r="N515" t="s">
        <v>105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144</v>
      </c>
      <c r="W515" t="s">
        <v>220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 s="3">
        <v>0</v>
      </c>
      <c r="AE515" s="3">
        <v>2200</v>
      </c>
      <c r="AF515" t="s">
        <v>54</v>
      </c>
      <c r="AG515" t="s">
        <v>59</v>
      </c>
      <c r="AI515" t="s">
        <v>214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hidden="1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127</v>
      </c>
      <c r="G516" t="s">
        <v>128</v>
      </c>
      <c r="H516" s="3">
        <v>1183</v>
      </c>
      <c r="I516" s="3">
        <v>1183</v>
      </c>
      <c r="J516">
        <v>0</v>
      </c>
      <c r="K516" s="3">
        <v>1360.45</v>
      </c>
      <c r="L516" s="3">
        <v>170.8</v>
      </c>
      <c r="M516" s="3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129</v>
      </c>
      <c r="X516" s="4">
        <v>0</v>
      </c>
      <c r="Y516" t="s">
        <v>62</v>
      </c>
      <c r="AD516" s="3"/>
      <c r="AE516" s="3"/>
      <c r="AK516" s="5"/>
    </row>
    <row r="517" spans="1:47" hidden="1" x14ac:dyDescent="0.25">
      <c r="A517" t="s">
        <v>63</v>
      </c>
      <c r="B517" s="1">
        <v>170.8</v>
      </c>
      <c r="C517">
        <v>0</v>
      </c>
      <c r="D517" s="3">
        <v>0</v>
      </c>
      <c r="E517" s="2">
        <v>0</v>
      </c>
      <c r="F517">
        <v>0</v>
      </c>
      <c r="G517" s="3">
        <v>700</v>
      </c>
      <c r="H517" s="3" t="s">
        <v>54</v>
      </c>
      <c r="I517" s="3" t="s">
        <v>59</v>
      </c>
      <c r="K517" s="3" t="s">
        <v>60</v>
      </c>
      <c r="L517" s="3" t="s">
        <v>60</v>
      </c>
      <c r="M517" s="3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  <c r="X517" s="4"/>
    </row>
    <row r="518" spans="1:47" hidden="1" x14ac:dyDescent="0.25">
      <c r="A518" t="s">
        <v>95</v>
      </c>
      <c r="B518" s="1">
        <v>37440</v>
      </c>
      <c r="C518" t="s">
        <v>48</v>
      </c>
      <c r="D518" t="s">
        <v>49</v>
      </c>
      <c r="E518" s="2">
        <v>45813</v>
      </c>
      <c r="F518" t="s">
        <v>159</v>
      </c>
      <c r="G518" s="3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141</v>
      </c>
      <c r="X518" s="4">
        <v>0</v>
      </c>
      <c r="Y518" t="s">
        <v>58</v>
      </c>
      <c r="Z518" s="3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91</v>
      </c>
      <c r="AJ518" t="s">
        <v>91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hidden="1" x14ac:dyDescent="0.25">
      <c r="A519" t="s">
        <v>95</v>
      </c>
      <c r="B519" s="1">
        <v>37443</v>
      </c>
      <c r="C519" t="s">
        <v>48</v>
      </c>
      <c r="D519" t="s">
        <v>49</v>
      </c>
      <c r="E519" s="2">
        <v>45813</v>
      </c>
      <c r="F519" t="s">
        <v>301</v>
      </c>
      <c r="G519" t="s">
        <v>66</v>
      </c>
      <c r="H519" s="3">
        <v>990</v>
      </c>
      <c r="I519" s="3">
        <v>990</v>
      </c>
      <c r="J519">
        <v>0</v>
      </c>
      <c r="K519" s="3">
        <v>990</v>
      </c>
      <c r="L519" s="3">
        <v>246.2</v>
      </c>
      <c r="M519" s="3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  <c r="Z519" s="3"/>
      <c r="AE519" s="3"/>
      <c r="AK519" s="5"/>
    </row>
    <row r="520" spans="1:47" hidden="1" x14ac:dyDescent="0.25">
      <c r="A520" t="s">
        <v>63</v>
      </c>
      <c r="B520" s="1">
        <v>246.2</v>
      </c>
      <c r="C520">
        <v>0</v>
      </c>
      <c r="D520">
        <v>0</v>
      </c>
      <c r="E520" s="2">
        <v>0</v>
      </c>
      <c r="F520">
        <v>0</v>
      </c>
      <c r="G520">
        <v>200</v>
      </c>
      <c r="H520" s="3" t="s">
        <v>54</v>
      </c>
      <c r="I520" s="3" t="s">
        <v>59</v>
      </c>
      <c r="K520" s="3" t="s">
        <v>73</v>
      </c>
      <c r="L520" s="3" t="s">
        <v>73</v>
      </c>
      <c r="M520" s="3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  <c r="X520" s="4"/>
    </row>
    <row r="521" spans="1:47" hidden="1" x14ac:dyDescent="0.25">
      <c r="A521" t="s">
        <v>47</v>
      </c>
      <c r="B521" s="1">
        <v>37444</v>
      </c>
      <c r="C521" t="s">
        <v>48</v>
      </c>
      <c r="D521" s="3" t="s">
        <v>49</v>
      </c>
      <c r="E521" s="2">
        <v>45813</v>
      </c>
      <c r="F521" t="s">
        <v>302</v>
      </c>
      <c r="G521" t="s">
        <v>86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 s="3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174</v>
      </c>
      <c r="X521" s="4">
        <v>0</v>
      </c>
      <c r="Y521" t="s">
        <v>62</v>
      </c>
    </row>
    <row r="522" spans="1:47" hidden="1" x14ac:dyDescent="0.25">
      <c r="A522" t="s">
        <v>63</v>
      </c>
      <c r="B522" s="1">
        <v>0</v>
      </c>
      <c r="C522">
        <v>0</v>
      </c>
      <c r="D522">
        <v>435</v>
      </c>
      <c r="E522" s="2">
        <v>0</v>
      </c>
      <c r="F522">
        <v>0</v>
      </c>
      <c r="G522" s="3">
        <v>250</v>
      </c>
      <c r="H522" s="3" t="s">
        <v>54</v>
      </c>
      <c r="I522" s="3" t="s">
        <v>59</v>
      </c>
      <c r="K522" s="3" t="s">
        <v>73</v>
      </c>
      <c r="L522" s="3" t="s">
        <v>73</v>
      </c>
      <c r="M522" s="3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  <c r="X522" s="4"/>
    </row>
    <row r="523" spans="1:47" hidden="1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s="3" t="s">
        <v>302</v>
      </c>
      <c r="G523" s="3" t="s">
        <v>86</v>
      </c>
      <c r="H523" s="3">
        <v>3180</v>
      </c>
      <c r="I523" s="3">
        <v>3180</v>
      </c>
      <c r="J523">
        <v>0</v>
      </c>
      <c r="K523" s="3">
        <v>3657</v>
      </c>
      <c r="L523" s="3">
        <v>435</v>
      </c>
      <c r="M523" s="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174</v>
      </c>
      <c r="X523" s="4">
        <v>0</v>
      </c>
      <c r="Y523" t="s">
        <v>62</v>
      </c>
    </row>
    <row r="524" spans="1:47" hidden="1" x14ac:dyDescent="0.25">
      <c r="A524" t="s">
        <v>63</v>
      </c>
      <c r="B524" s="3">
        <v>0</v>
      </c>
      <c r="C524">
        <v>0</v>
      </c>
      <c r="D524">
        <v>435</v>
      </c>
      <c r="E524" s="2">
        <v>0</v>
      </c>
      <c r="F524">
        <v>0</v>
      </c>
      <c r="G524" s="3">
        <v>250</v>
      </c>
      <c r="H524" s="3" t="s">
        <v>54</v>
      </c>
      <c r="I524" s="3" t="s">
        <v>59</v>
      </c>
      <c r="K524" s="3" t="s">
        <v>73</v>
      </c>
      <c r="L524" s="3" t="s">
        <v>73</v>
      </c>
      <c r="M524" s="3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  <c r="X524" s="4"/>
      <c r="Z524" s="3"/>
      <c r="AE524" s="3"/>
      <c r="AK524" s="5"/>
    </row>
    <row r="525" spans="1:47" hidden="1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302</v>
      </c>
      <c r="G525" t="s">
        <v>86</v>
      </c>
      <c r="H525" s="3">
        <v>921.2</v>
      </c>
      <c r="I525" s="3">
        <v>921.2</v>
      </c>
      <c r="J525">
        <v>0</v>
      </c>
      <c r="K525" s="3">
        <v>1059.3800000000001</v>
      </c>
      <c r="L525" s="3">
        <v>107.03</v>
      </c>
      <c r="M525" s="3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174</v>
      </c>
      <c r="X525" s="4">
        <v>0</v>
      </c>
      <c r="Y525" t="s">
        <v>62</v>
      </c>
      <c r="AK525" s="5"/>
    </row>
    <row r="526" spans="1:47" hidden="1" x14ac:dyDescent="0.25">
      <c r="A526" t="s">
        <v>63</v>
      </c>
      <c r="B526" s="3">
        <v>0</v>
      </c>
      <c r="C526">
        <v>0</v>
      </c>
      <c r="D526">
        <v>107.03</v>
      </c>
      <c r="E526" s="2">
        <v>0</v>
      </c>
      <c r="F526">
        <v>0</v>
      </c>
      <c r="G526" s="3">
        <v>70</v>
      </c>
      <c r="H526" s="3" t="s">
        <v>54</v>
      </c>
      <c r="I526" s="3" t="s">
        <v>59</v>
      </c>
      <c r="K526" s="3" t="s">
        <v>73</v>
      </c>
      <c r="L526" s="3" t="s">
        <v>73</v>
      </c>
      <c r="M526" s="3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  <c r="X526" s="4"/>
    </row>
    <row r="527" spans="1:47" hidden="1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107</v>
      </c>
      <c r="G527" s="3" t="s">
        <v>108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83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109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91</v>
      </c>
      <c r="AJ527" t="s">
        <v>91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hidden="1" x14ac:dyDescent="0.25">
      <c r="A528" t="s">
        <v>95</v>
      </c>
      <c r="B528" s="1">
        <v>37448</v>
      </c>
      <c r="C528" t="s">
        <v>48</v>
      </c>
      <c r="D528" t="s">
        <v>49</v>
      </c>
      <c r="E528" s="2">
        <v>45813</v>
      </c>
      <c r="F528" t="s">
        <v>273</v>
      </c>
      <c r="G528" s="3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 s="3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94</v>
      </c>
      <c r="X528" s="4">
        <v>0</v>
      </c>
      <c r="Y528" t="s">
        <v>62</v>
      </c>
    </row>
    <row r="529" spans="1:47" hidden="1" x14ac:dyDescent="0.25">
      <c r="A529" t="s">
        <v>63</v>
      </c>
      <c r="B529" s="3">
        <v>1195</v>
      </c>
      <c r="C529">
        <v>0</v>
      </c>
      <c r="D529">
        <v>0</v>
      </c>
      <c r="E529" s="2">
        <v>0</v>
      </c>
      <c r="F529">
        <v>0</v>
      </c>
      <c r="G529" s="3">
        <v>1000</v>
      </c>
      <c r="H529" s="3" t="s">
        <v>54</v>
      </c>
      <c r="I529" s="3" t="s">
        <v>59</v>
      </c>
      <c r="K529" s="3" t="s">
        <v>60</v>
      </c>
      <c r="L529" s="3" t="s">
        <v>60</v>
      </c>
      <c r="M529" s="3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  <c r="X529" s="4"/>
    </row>
    <row r="530" spans="1:47" hidden="1" x14ac:dyDescent="0.25">
      <c r="A530" t="s">
        <v>95</v>
      </c>
      <c r="B530" s="1">
        <v>37449</v>
      </c>
      <c r="C530" t="s">
        <v>48</v>
      </c>
      <c r="D530" t="s">
        <v>49</v>
      </c>
      <c r="E530" s="2">
        <v>45813</v>
      </c>
      <c r="F530" t="s">
        <v>133</v>
      </c>
      <c r="G530" s="3" t="s">
        <v>93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hidden="1" x14ac:dyDescent="0.25">
      <c r="A531" t="s">
        <v>63</v>
      </c>
      <c r="B531" s="3">
        <v>3748</v>
      </c>
      <c r="C531">
        <v>0</v>
      </c>
      <c r="D531">
        <v>0</v>
      </c>
      <c r="E531" s="2">
        <v>0</v>
      </c>
      <c r="F531">
        <v>0</v>
      </c>
      <c r="G531" s="3">
        <v>48000</v>
      </c>
      <c r="H531" s="3" t="s">
        <v>54</v>
      </c>
      <c r="I531" s="3" t="s">
        <v>59</v>
      </c>
      <c r="J531" t="s">
        <v>178</v>
      </c>
      <c r="K531" s="3" t="s">
        <v>60</v>
      </c>
      <c r="L531" s="3" t="s">
        <v>91</v>
      </c>
      <c r="M531" s="3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  <c r="X531" s="4"/>
    </row>
    <row r="532" spans="1:47" hidden="1" x14ac:dyDescent="0.25">
      <c r="A532" t="s">
        <v>47</v>
      </c>
      <c r="B532" s="1">
        <v>37450</v>
      </c>
      <c r="C532" t="s">
        <v>48</v>
      </c>
      <c r="D532" s="3" t="s">
        <v>49</v>
      </c>
      <c r="E532" s="2">
        <v>45813</v>
      </c>
      <c r="F532" t="s">
        <v>100</v>
      </c>
      <c r="G532" s="3" t="s">
        <v>93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 s="3">
        <v>998.69</v>
      </c>
      <c r="N532" t="s">
        <v>83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101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102</v>
      </c>
      <c r="AI532" t="s">
        <v>91</v>
      </c>
      <c r="AJ532" t="s">
        <v>91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hidden="1" x14ac:dyDescent="0.25">
      <c r="A533" t="s">
        <v>95</v>
      </c>
      <c r="B533" s="1">
        <v>37451</v>
      </c>
      <c r="C533" t="s">
        <v>48</v>
      </c>
      <c r="D533" s="3" t="s">
        <v>49</v>
      </c>
      <c r="E533" s="2">
        <v>45814</v>
      </c>
      <c r="F533" t="s">
        <v>303</v>
      </c>
      <c r="G533" s="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141</v>
      </c>
      <c r="X533" s="4">
        <v>0</v>
      </c>
      <c r="Y533" t="s">
        <v>62</v>
      </c>
    </row>
    <row r="534" spans="1:47" hidden="1" x14ac:dyDescent="0.25">
      <c r="A534" t="s">
        <v>63</v>
      </c>
      <c r="B534" s="3">
        <v>4219</v>
      </c>
      <c r="C534">
        <v>0</v>
      </c>
      <c r="D534">
        <v>0</v>
      </c>
      <c r="E534" s="2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3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  <c r="X534" s="4"/>
    </row>
    <row r="535" spans="1:47" hidden="1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244</v>
      </c>
      <c r="G535" s="3" t="s">
        <v>93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 s="3">
        <v>513.59</v>
      </c>
      <c r="N535" t="s">
        <v>105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144</v>
      </c>
      <c r="W535" t="s">
        <v>151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214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hidden="1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131</v>
      </c>
      <c r="G536" t="s">
        <v>88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 s="3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132</v>
      </c>
      <c r="X536" s="4">
        <v>0</v>
      </c>
      <c r="Y536" t="s">
        <v>58</v>
      </c>
      <c r="Z536" s="3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hidden="1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148</v>
      </c>
      <c r="G537" t="s">
        <v>66</v>
      </c>
      <c r="H537" s="3">
        <v>333</v>
      </c>
      <c r="I537" s="3">
        <v>333</v>
      </c>
      <c r="J537">
        <v>0</v>
      </c>
      <c r="K537" s="3">
        <v>382.95</v>
      </c>
      <c r="L537" s="3">
        <v>83.4</v>
      </c>
      <c r="M537" s="3">
        <v>29.19</v>
      </c>
      <c r="N537" t="s">
        <v>83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 s="3">
        <v>83.4</v>
      </c>
      <c r="AA537">
        <v>0</v>
      </c>
      <c r="AB537">
        <v>0</v>
      </c>
      <c r="AC537">
        <v>0</v>
      </c>
      <c r="AD537">
        <v>0</v>
      </c>
      <c r="AE537" s="3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hidden="1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148</v>
      </c>
      <c r="G538" t="s">
        <v>66</v>
      </c>
      <c r="H538" s="3">
        <v>333</v>
      </c>
      <c r="I538" s="3">
        <v>333</v>
      </c>
      <c r="J538">
        <v>0</v>
      </c>
      <c r="K538" s="3">
        <v>382.95</v>
      </c>
      <c r="L538" s="3">
        <v>83.4</v>
      </c>
      <c r="M538" s="3">
        <v>29.19</v>
      </c>
      <c r="N538" t="s">
        <v>83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 s="3">
        <v>83.4</v>
      </c>
      <c r="AA538">
        <v>0</v>
      </c>
      <c r="AB538">
        <v>0</v>
      </c>
      <c r="AC538">
        <v>0</v>
      </c>
      <c r="AD538">
        <v>0</v>
      </c>
      <c r="AE538" s="3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hidden="1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182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83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hidden="1" x14ac:dyDescent="0.25">
      <c r="A540" t="s">
        <v>63</v>
      </c>
      <c r="B540" s="1">
        <v>0</v>
      </c>
      <c r="C540">
        <v>0</v>
      </c>
      <c r="D540" s="3">
        <v>2374.3000000000002</v>
      </c>
      <c r="E540" s="2">
        <v>0</v>
      </c>
      <c r="F540" s="3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3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  <c r="X540" s="4"/>
    </row>
    <row r="541" spans="1:47" hidden="1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254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151</v>
      </c>
      <c r="X541" s="4">
        <v>0</v>
      </c>
      <c r="Y541" t="s">
        <v>62</v>
      </c>
    </row>
    <row r="542" spans="1:47" hidden="1" x14ac:dyDescent="0.25">
      <c r="A542" t="s">
        <v>63</v>
      </c>
      <c r="B542" s="1">
        <v>0</v>
      </c>
      <c r="C542">
        <v>0</v>
      </c>
      <c r="D542" s="3">
        <v>1927.65</v>
      </c>
      <c r="E542" s="2">
        <v>0</v>
      </c>
      <c r="F542" s="3">
        <v>0</v>
      </c>
      <c r="G542" s="3">
        <v>1250</v>
      </c>
      <c r="H542" s="3" t="s">
        <v>54</v>
      </c>
      <c r="I542" s="3" t="s">
        <v>59</v>
      </c>
      <c r="K542" s="3" t="s">
        <v>80</v>
      </c>
      <c r="L542" t="s">
        <v>73</v>
      </c>
      <c r="M542" s="3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  <c r="X542" s="4"/>
    </row>
    <row r="543" spans="1:47" hidden="1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302</v>
      </c>
      <c r="G543" s="3" t="s">
        <v>86</v>
      </c>
      <c r="H543" s="3">
        <v>2544</v>
      </c>
      <c r="I543" s="3">
        <v>2544</v>
      </c>
      <c r="J543">
        <v>0</v>
      </c>
      <c r="K543" s="3">
        <v>2925.6</v>
      </c>
      <c r="L543" s="3">
        <v>348</v>
      </c>
      <c r="M543" s="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174</v>
      </c>
      <c r="X543" s="4">
        <v>0</v>
      </c>
      <c r="Y543" t="s">
        <v>62</v>
      </c>
    </row>
    <row r="544" spans="1:47" hidden="1" x14ac:dyDescent="0.25">
      <c r="A544" t="s">
        <v>63</v>
      </c>
      <c r="B544" s="1">
        <v>0</v>
      </c>
      <c r="C544">
        <v>0</v>
      </c>
      <c r="D544">
        <v>348</v>
      </c>
      <c r="E544" s="2">
        <v>0</v>
      </c>
      <c r="F544">
        <v>0</v>
      </c>
      <c r="G544" s="3">
        <v>200</v>
      </c>
      <c r="H544" s="3" t="s">
        <v>54</v>
      </c>
      <c r="I544" s="3" t="s">
        <v>59</v>
      </c>
      <c r="K544" s="3" t="s">
        <v>60</v>
      </c>
      <c r="L544" t="s">
        <v>60</v>
      </c>
      <c r="M544" s="3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  <c r="X544" s="4"/>
    </row>
    <row r="545" spans="1:47" hidden="1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s="3" t="s">
        <v>69</v>
      </c>
      <c r="H545" s="3">
        <v>4025</v>
      </c>
      <c r="I545" s="3">
        <v>4025</v>
      </c>
      <c r="J545">
        <v>0</v>
      </c>
      <c r="K545" s="3">
        <v>4628.75</v>
      </c>
      <c r="L545" s="3">
        <v>645</v>
      </c>
      <c r="M545" s="3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hidden="1" x14ac:dyDescent="0.25">
      <c r="A546" t="s">
        <v>63</v>
      </c>
      <c r="B546" s="1">
        <v>0</v>
      </c>
      <c r="C546">
        <v>0</v>
      </c>
      <c r="D546">
        <v>0</v>
      </c>
      <c r="E546" s="2">
        <v>0</v>
      </c>
      <c r="F546" s="3">
        <v>645</v>
      </c>
      <c r="G546" s="3">
        <v>500</v>
      </c>
      <c r="H546" s="3" t="s">
        <v>54</v>
      </c>
      <c r="I546" s="3" t="s">
        <v>59</v>
      </c>
      <c r="K546" s="3" t="s">
        <v>73</v>
      </c>
      <c r="L546" s="3" t="s">
        <v>73</v>
      </c>
      <c r="M546" s="3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  <c r="X546" s="4"/>
    </row>
    <row r="547" spans="1:47" hidden="1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s="3" t="s">
        <v>146</v>
      </c>
      <c r="G547" s="3" t="s">
        <v>88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 s="3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94</v>
      </c>
      <c r="X547" s="4">
        <v>0</v>
      </c>
      <c r="Y547" t="s">
        <v>62</v>
      </c>
      <c r="AK547" s="5"/>
    </row>
    <row r="548" spans="1:47" hidden="1" x14ac:dyDescent="0.25">
      <c r="A548" t="s">
        <v>63</v>
      </c>
      <c r="B548" s="1">
        <v>0</v>
      </c>
      <c r="C548">
        <v>0</v>
      </c>
      <c r="D548">
        <v>0</v>
      </c>
      <c r="E548" s="2">
        <v>0</v>
      </c>
      <c r="F548" s="3">
        <v>1191</v>
      </c>
      <c r="G548">
        <v>600</v>
      </c>
      <c r="H548" s="3" t="s">
        <v>54</v>
      </c>
      <c r="I548" s="3" t="s">
        <v>59</v>
      </c>
      <c r="K548" s="3" t="s">
        <v>73</v>
      </c>
      <c r="L548" s="3" t="s">
        <v>73</v>
      </c>
      <c r="M548" s="3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  <c r="X548" s="4"/>
      <c r="Z548" s="3"/>
      <c r="AE548" s="3"/>
      <c r="AK548" s="5"/>
    </row>
    <row r="549" spans="1:47" hidden="1" x14ac:dyDescent="0.25">
      <c r="A549" t="s">
        <v>95</v>
      </c>
      <c r="B549" s="1">
        <v>37462</v>
      </c>
      <c r="C549" t="s">
        <v>48</v>
      </c>
      <c r="D549" t="s">
        <v>49</v>
      </c>
      <c r="E549" s="2">
        <v>45818</v>
      </c>
      <c r="F549" t="s">
        <v>143</v>
      </c>
      <c r="G549" s="3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105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144</v>
      </c>
      <c r="W549" t="s">
        <v>145</v>
      </c>
      <c r="X549" s="4">
        <v>0</v>
      </c>
      <c r="Y549" t="s">
        <v>58</v>
      </c>
      <c r="Z549">
        <v>0</v>
      </c>
      <c r="AA549">
        <v>0</v>
      </c>
      <c r="AB549" s="3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214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hidden="1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278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 s="3">
        <v>441</v>
      </c>
      <c r="M550" s="3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 s="3">
        <v>441</v>
      </c>
      <c r="AC550">
        <v>0</v>
      </c>
      <c r="AD550">
        <v>0</v>
      </c>
      <c r="AE550" s="3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hidden="1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278</v>
      </c>
      <c r="G551" s="3" t="s">
        <v>51</v>
      </c>
      <c r="H551" s="3">
        <v>3745</v>
      </c>
      <c r="I551" s="3">
        <v>3745</v>
      </c>
      <c r="J551">
        <v>0</v>
      </c>
      <c r="K551" s="3">
        <v>3745</v>
      </c>
      <c r="L551" s="3">
        <v>441</v>
      </c>
      <c r="M551" s="3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hidden="1" x14ac:dyDescent="0.25">
      <c r="A552" t="s">
        <v>95</v>
      </c>
      <c r="B552" s="1">
        <v>37467</v>
      </c>
      <c r="C552" t="s">
        <v>48</v>
      </c>
      <c r="D552" t="s">
        <v>49</v>
      </c>
      <c r="E552" s="2">
        <v>45818</v>
      </c>
      <c r="F552" t="s">
        <v>405</v>
      </c>
      <c r="G552" s="3" t="s">
        <v>88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 s="3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406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147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hidden="1" x14ac:dyDescent="0.25">
      <c r="A553" t="s">
        <v>95</v>
      </c>
      <c r="B553" s="1">
        <v>37468</v>
      </c>
      <c r="C553" t="s">
        <v>48</v>
      </c>
      <c r="D553" t="s">
        <v>49</v>
      </c>
      <c r="E553" s="2">
        <v>45818</v>
      </c>
      <c r="F553" t="s">
        <v>405</v>
      </c>
      <c r="G553" s="3" t="s">
        <v>88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 s="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406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147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hidden="1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100</v>
      </c>
      <c r="G554" s="3" t="s">
        <v>93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83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101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102</v>
      </c>
      <c r="AI554" t="s">
        <v>91</v>
      </c>
      <c r="AJ554" t="s">
        <v>91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hidden="1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s="3" t="s">
        <v>153</v>
      </c>
      <c r="G555" s="3" t="s">
        <v>88</v>
      </c>
      <c r="H555" s="3">
        <v>4485</v>
      </c>
      <c r="I555" s="3">
        <v>4485</v>
      </c>
      <c r="J555">
        <v>0</v>
      </c>
      <c r="K555" s="3">
        <v>5157.75</v>
      </c>
      <c r="L555" s="3">
        <v>972</v>
      </c>
      <c r="M555" s="3">
        <v>356.72</v>
      </c>
      <c r="N555" t="s">
        <v>105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144</v>
      </c>
      <c r="W555" t="s">
        <v>84</v>
      </c>
      <c r="X555" s="4">
        <v>0</v>
      </c>
      <c r="Y555" t="s">
        <v>62</v>
      </c>
      <c r="Z555" s="3"/>
      <c r="AB555" s="3"/>
      <c r="AE555" s="3"/>
      <c r="AK555" s="5"/>
    </row>
    <row r="556" spans="1:47" hidden="1" x14ac:dyDescent="0.25">
      <c r="A556" t="s">
        <v>63</v>
      </c>
      <c r="B556" s="1">
        <v>972</v>
      </c>
      <c r="C556">
        <v>0</v>
      </c>
      <c r="D556">
        <v>0</v>
      </c>
      <c r="E556" s="2">
        <v>0</v>
      </c>
      <c r="F556">
        <v>0</v>
      </c>
      <c r="G556" s="3">
        <v>1500</v>
      </c>
      <c r="H556" s="3" t="s">
        <v>54</v>
      </c>
      <c r="I556" s="3" t="s">
        <v>59</v>
      </c>
      <c r="J556" t="s">
        <v>147</v>
      </c>
      <c r="K556" s="3" t="s">
        <v>214</v>
      </c>
      <c r="L556" s="3" t="s">
        <v>73</v>
      </c>
      <c r="M556" s="3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  <c r="X556" s="4"/>
      <c r="AK556" s="5"/>
    </row>
    <row r="557" spans="1:47" hidden="1" x14ac:dyDescent="0.25">
      <c r="A557" t="s">
        <v>95</v>
      </c>
      <c r="B557" s="1">
        <v>37471</v>
      </c>
      <c r="C557" t="s">
        <v>48</v>
      </c>
      <c r="D557" t="s">
        <v>49</v>
      </c>
      <c r="E557" s="2">
        <v>45820</v>
      </c>
      <c r="F557" s="3" t="s">
        <v>138</v>
      </c>
      <c r="G557" s="3" t="s">
        <v>139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129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102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hidden="1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111</v>
      </c>
      <c r="G558" t="s">
        <v>112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114</v>
      </c>
      <c r="AI558" t="s">
        <v>60</v>
      </c>
      <c r="AJ558" t="s">
        <v>91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hidden="1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s="3" t="s">
        <v>110</v>
      </c>
      <c r="G559" s="3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 s="3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94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hidden="1" x14ac:dyDescent="0.25">
      <c r="A560" t="s">
        <v>95</v>
      </c>
      <c r="B560" s="1">
        <v>37475</v>
      </c>
      <c r="C560" t="s">
        <v>48</v>
      </c>
      <c r="D560" t="s">
        <v>49</v>
      </c>
      <c r="E560" s="2">
        <v>45820</v>
      </c>
      <c r="F560" t="s">
        <v>216</v>
      </c>
      <c r="G560" t="s">
        <v>163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 s="3">
        <v>632.15</v>
      </c>
      <c r="N560" t="s">
        <v>105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144</v>
      </c>
      <c r="W560" t="s">
        <v>151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214</v>
      </c>
      <c r="AJ560" t="s">
        <v>91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hidden="1" x14ac:dyDescent="0.25">
      <c r="A561" t="s">
        <v>95</v>
      </c>
      <c r="B561" s="1">
        <v>37476</v>
      </c>
      <c r="C561" t="s">
        <v>48</v>
      </c>
      <c r="D561" t="s">
        <v>49</v>
      </c>
      <c r="E561" s="2">
        <v>45820</v>
      </c>
      <c r="F561" s="3" t="s">
        <v>304</v>
      </c>
      <c r="G561" s="3" t="s">
        <v>93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 s="3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295</v>
      </c>
      <c r="X561" s="4">
        <v>0</v>
      </c>
      <c r="Y561" t="s">
        <v>62</v>
      </c>
      <c r="AB561" s="3"/>
      <c r="AK561" s="5"/>
    </row>
    <row r="562" spans="1:47" hidden="1" x14ac:dyDescent="0.25">
      <c r="A562" t="s">
        <v>63</v>
      </c>
      <c r="B562" s="1">
        <v>532</v>
      </c>
      <c r="C562">
        <v>798</v>
      </c>
      <c r="D562">
        <v>0</v>
      </c>
      <c r="E562" s="2">
        <v>0</v>
      </c>
      <c r="F562">
        <v>0</v>
      </c>
      <c r="G562" s="3">
        <v>5000</v>
      </c>
      <c r="H562" s="3" t="s">
        <v>54</v>
      </c>
      <c r="I562" s="3" t="s">
        <v>59</v>
      </c>
      <c r="J562" t="s">
        <v>305</v>
      </c>
      <c r="K562" s="3" t="s">
        <v>60</v>
      </c>
      <c r="L562" s="3" t="s">
        <v>60</v>
      </c>
      <c r="M562" s="3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  <c r="X562" s="4"/>
      <c r="AD562" s="3"/>
      <c r="AE562" s="3"/>
      <c r="AK562" s="5"/>
    </row>
    <row r="563" spans="1:47" hidden="1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s="3" t="s">
        <v>170</v>
      </c>
      <c r="G563" s="3" t="s">
        <v>112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 s="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169</v>
      </c>
      <c r="X563" s="4">
        <v>0</v>
      </c>
      <c r="Y563" t="s">
        <v>62</v>
      </c>
      <c r="AE563" s="3"/>
      <c r="AK563" s="5"/>
    </row>
    <row r="564" spans="1:47" hidden="1" x14ac:dyDescent="0.25">
      <c r="A564" t="s">
        <v>63</v>
      </c>
      <c r="B564" s="3">
        <v>1212</v>
      </c>
      <c r="C564">
        <v>0</v>
      </c>
      <c r="D564">
        <v>0</v>
      </c>
      <c r="E564" s="2">
        <v>0</v>
      </c>
      <c r="F564">
        <v>0</v>
      </c>
      <c r="G564" s="3">
        <v>1500</v>
      </c>
      <c r="H564" s="3" t="s">
        <v>54</v>
      </c>
      <c r="I564" s="3" t="s">
        <v>59</v>
      </c>
      <c r="K564" s="3" t="s">
        <v>91</v>
      </c>
      <c r="L564" s="3" t="s">
        <v>91</v>
      </c>
      <c r="M564" s="3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  <c r="X564" s="4"/>
    </row>
    <row r="565" spans="1:47" hidden="1" x14ac:dyDescent="0.25">
      <c r="A565" t="s">
        <v>95</v>
      </c>
      <c r="B565" s="1">
        <v>37478</v>
      </c>
      <c r="C565" t="s">
        <v>48</v>
      </c>
      <c r="D565" t="s">
        <v>49</v>
      </c>
      <c r="E565" s="2">
        <v>45821</v>
      </c>
      <c r="F565" s="3" t="s">
        <v>216</v>
      </c>
      <c r="G565" s="3" t="s">
        <v>163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 s="3">
        <v>632.15</v>
      </c>
      <c r="N565" t="s">
        <v>105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144</v>
      </c>
      <c r="W565" t="s">
        <v>151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214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hidden="1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302</v>
      </c>
      <c r="G566" t="s">
        <v>86</v>
      </c>
      <c r="H566" s="3">
        <v>1512</v>
      </c>
      <c r="I566" s="3">
        <v>1512</v>
      </c>
      <c r="J566">
        <v>0</v>
      </c>
      <c r="K566" s="3">
        <v>1738.8</v>
      </c>
      <c r="L566" s="3">
        <v>207</v>
      </c>
      <c r="M566" s="3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174</v>
      </c>
      <c r="X566" s="4">
        <v>0</v>
      </c>
      <c r="Y566" t="s">
        <v>62</v>
      </c>
      <c r="AD566" s="3"/>
      <c r="AE566" s="3"/>
      <c r="AK566" s="5"/>
    </row>
    <row r="567" spans="1:47" hidden="1" x14ac:dyDescent="0.25">
      <c r="A567" t="s">
        <v>63</v>
      </c>
      <c r="B567" s="1">
        <v>0</v>
      </c>
      <c r="C567">
        <v>0</v>
      </c>
      <c r="D567">
        <v>207</v>
      </c>
      <c r="E567" s="2">
        <v>0</v>
      </c>
      <c r="F567" s="3">
        <v>0</v>
      </c>
      <c r="G567" s="3">
        <v>200</v>
      </c>
      <c r="H567" s="3" t="s">
        <v>54</v>
      </c>
      <c r="I567" s="3" t="s">
        <v>59</v>
      </c>
      <c r="K567" s="3" t="s">
        <v>60</v>
      </c>
      <c r="L567" t="s">
        <v>73</v>
      </c>
      <c r="M567" s="3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hidden="1" x14ac:dyDescent="0.25">
      <c r="A568" t="s">
        <v>95</v>
      </c>
      <c r="B568" s="1">
        <v>37480</v>
      </c>
      <c r="C568" t="s">
        <v>48</v>
      </c>
      <c r="D568" t="s">
        <v>49</v>
      </c>
      <c r="E568" s="2">
        <v>45824</v>
      </c>
      <c r="F568" t="s">
        <v>274</v>
      </c>
      <c r="G568" s="3" t="s">
        <v>155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 s="3">
        <v>943.5</v>
      </c>
      <c r="N568" t="s">
        <v>105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144</v>
      </c>
      <c r="W568" t="s">
        <v>129</v>
      </c>
      <c r="X568" s="4">
        <v>0</v>
      </c>
      <c r="Y568" t="s">
        <v>62</v>
      </c>
    </row>
    <row r="569" spans="1:47" hidden="1" x14ac:dyDescent="0.25">
      <c r="A569" t="s">
        <v>63</v>
      </c>
      <c r="B569" s="3">
        <v>2775</v>
      </c>
      <c r="C569">
        <v>0</v>
      </c>
      <c r="D569">
        <v>0</v>
      </c>
      <c r="E569" s="2">
        <v>0</v>
      </c>
      <c r="F569" s="3">
        <v>0</v>
      </c>
      <c r="G569" s="3">
        <v>6000</v>
      </c>
      <c r="H569" s="3" t="s">
        <v>54</v>
      </c>
      <c r="I569" s="3" t="s">
        <v>59</v>
      </c>
      <c r="J569" t="s">
        <v>235</v>
      </c>
      <c r="K569" s="3" t="s">
        <v>214</v>
      </c>
      <c r="L569" s="3" t="s">
        <v>73</v>
      </c>
      <c r="M569" s="3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  <c r="X569" s="4"/>
      <c r="Z569" s="3"/>
      <c r="AE569" s="3"/>
      <c r="AK569" s="5"/>
    </row>
    <row r="570" spans="1:47" hidden="1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202</v>
      </c>
      <c r="G570" t="s">
        <v>122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 s="3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91</v>
      </c>
      <c r="AJ570" t="s">
        <v>91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hidden="1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s="3" t="s">
        <v>202</v>
      </c>
      <c r="G571" s="3" t="s">
        <v>122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 s="3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91</v>
      </c>
      <c r="AJ571" t="s">
        <v>91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hidden="1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202</v>
      </c>
      <c r="G572" t="s">
        <v>122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 s="3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91</v>
      </c>
      <c r="AJ572" t="s">
        <v>91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hidden="1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202</v>
      </c>
      <c r="G573" s="3" t="s">
        <v>122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 s="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91</v>
      </c>
      <c r="AJ573" t="s">
        <v>91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hidden="1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127</v>
      </c>
      <c r="G574" t="s">
        <v>128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 s="3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177</v>
      </c>
      <c r="X574" s="4">
        <v>0</v>
      </c>
      <c r="Y574" t="s">
        <v>62</v>
      </c>
    </row>
    <row r="575" spans="1:47" hidden="1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3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hidden="1" x14ac:dyDescent="0.25">
      <c r="A576" t="s">
        <v>95</v>
      </c>
      <c r="B576" s="1">
        <v>37486</v>
      </c>
      <c r="C576" t="s">
        <v>48</v>
      </c>
      <c r="D576" t="s">
        <v>49</v>
      </c>
      <c r="E576" s="2">
        <v>45824</v>
      </c>
      <c r="F576" t="s">
        <v>162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 s="3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151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hidden="1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306</v>
      </c>
      <c r="G577" t="s">
        <v>249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 s="3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188</v>
      </c>
      <c r="X577" s="4">
        <v>0</v>
      </c>
      <c r="Y577" t="s">
        <v>62</v>
      </c>
    </row>
    <row r="578" spans="1:47" hidden="1" x14ac:dyDescent="0.25">
      <c r="A578" t="s">
        <v>63</v>
      </c>
      <c r="B578" s="1">
        <v>452.2</v>
      </c>
      <c r="C578">
        <v>0</v>
      </c>
      <c r="D578">
        <v>0</v>
      </c>
      <c r="E578" s="2">
        <v>0</v>
      </c>
      <c r="F578">
        <v>0</v>
      </c>
      <c r="G578">
        <v>750</v>
      </c>
      <c r="H578" s="3" t="s">
        <v>54</v>
      </c>
      <c r="I578" s="3" t="s">
        <v>59</v>
      </c>
      <c r="K578" s="3" t="s">
        <v>80</v>
      </c>
      <c r="L578" t="s">
        <v>73</v>
      </c>
      <c r="M578" s="3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  <c r="X578" s="4"/>
    </row>
    <row r="579" spans="1:47" hidden="1" x14ac:dyDescent="0.25">
      <c r="A579" t="s">
        <v>95</v>
      </c>
      <c r="B579" s="1">
        <v>37489</v>
      </c>
      <c r="C579" t="s">
        <v>48</v>
      </c>
      <c r="D579" t="s">
        <v>49</v>
      </c>
      <c r="E579" s="2">
        <v>45825</v>
      </c>
      <c r="F579" t="s">
        <v>138</v>
      </c>
      <c r="G579" t="s">
        <v>139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 s="3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99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 s="3">
        <v>450</v>
      </c>
      <c r="AF579" t="s">
        <v>54</v>
      </c>
      <c r="AG579" t="s">
        <v>59</v>
      </c>
      <c r="AH579" t="s">
        <v>102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hidden="1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 s="3">
        <v>275</v>
      </c>
      <c r="I580" s="3">
        <v>275</v>
      </c>
      <c r="J580">
        <v>0</v>
      </c>
      <c r="K580" s="3">
        <v>283.94</v>
      </c>
      <c r="L580" s="3">
        <v>42</v>
      </c>
      <c r="M580" s="3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hidden="1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 s="3">
        <v>42</v>
      </c>
      <c r="G581" s="3">
        <v>500</v>
      </c>
      <c r="H581" t="s">
        <v>54</v>
      </c>
      <c r="I581" t="s">
        <v>59</v>
      </c>
      <c r="K581" t="s">
        <v>73</v>
      </c>
      <c r="L581" t="s">
        <v>73</v>
      </c>
      <c r="M581" s="3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hidden="1" x14ac:dyDescent="0.25">
      <c r="A582" t="s">
        <v>95</v>
      </c>
      <c r="B582" s="1">
        <v>37493</v>
      </c>
      <c r="C582" t="s">
        <v>48</v>
      </c>
      <c r="D582" t="s">
        <v>49</v>
      </c>
      <c r="E582" s="2">
        <v>45826</v>
      </c>
      <c r="F582" t="s">
        <v>307</v>
      </c>
      <c r="G582" t="s">
        <v>93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 s="3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hidden="1" x14ac:dyDescent="0.25">
      <c r="A583" t="s">
        <v>63</v>
      </c>
      <c r="B583" s="3">
        <v>72</v>
      </c>
      <c r="C583">
        <v>0</v>
      </c>
      <c r="D583" s="3">
        <v>1336.5</v>
      </c>
      <c r="E583">
        <v>0</v>
      </c>
      <c r="F583" s="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3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hidden="1" x14ac:dyDescent="0.25">
      <c r="A584" t="s">
        <v>134</v>
      </c>
      <c r="B584" s="1">
        <v>37494</v>
      </c>
      <c r="C584" t="s">
        <v>48</v>
      </c>
      <c r="D584" t="s">
        <v>49</v>
      </c>
      <c r="E584" s="2">
        <v>45826</v>
      </c>
      <c r="F584" t="s">
        <v>308</v>
      </c>
      <c r="G584" t="s">
        <v>187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 s="3">
        <v>803.76</v>
      </c>
      <c r="N584" t="s">
        <v>105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144</v>
      </c>
      <c r="W584" t="s">
        <v>113</v>
      </c>
      <c r="X584" s="4">
        <v>0</v>
      </c>
      <c r="Y584" t="s">
        <v>62</v>
      </c>
      <c r="AD584" s="3"/>
      <c r="AE584" s="3"/>
      <c r="AK584" s="5"/>
    </row>
    <row r="585" spans="1:47" hidden="1" x14ac:dyDescent="0.25">
      <c r="A585" t="s">
        <v>63</v>
      </c>
      <c r="B585" s="3">
        <v>2364</v>
      </c>
      <c r="C585">
        <v>0</v>
      </c>
      <c r="D585">
        <v>0</v>
      </c>
      <c r="E585" s="2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3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  <c r="X585" s="4"/>
    </row>
    <row r="586" spans="1:47" hidden="1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157</v>
      </c>
      <c r="G586" t="s">
        <v>108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158</v>
      </c>
      <c r="X586" s="4">
        <v>0</v>
      </c>
      <c r="Y586" t="s">
        <v>58</v>
      </c>
      <c r="Z586" s="3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91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hidden="1" x14ac:dyDescent="0.25">
      <c r="A587" t="s">
        <v>95</v>
      </c>
      <c r="B587" s="1">
        <v>37496</v>
      </c>
      <c r="C587" t="s">
        <v>48</v>
      </c>
      <c r="D587" t="s">
        <v>49</v>
      </c>
      <c r="E587" s="2">
        <v>45828</v>
      </c>
      <c r="F587" t="s">
        <v>283</v>
      </c>
      <c r="G587" t="s">
        <v>213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 s="3">
        <v>711.75</v>
      </c>
      <c r="N587" t="s">
        <v>105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144</v>
      </c>
      <c r="W587" t="s">
        <v>284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214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hidden="1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103</v>
      </c>
      <c r="G588" s="3" t="s">
        <v>88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 s="3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hidden="1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309</v>
      </c>
      <c r="G589" t="s">
        <v>112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 s="3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113</v>
      </c>
      <c r="X589" s="4">
        <v>0</v>
      </c>
      <c r="Y589" t="s">
        <v>62</v>
      </c>
      <c r="Z589" s="3"/>
      <c r="AE589" s="3"/>
      <c r="AK589" s="5"/>
    </row>
    <row r="590" spans="1:47" hidden="1" x14ac:dyDescent="0.25">
      <c r="A590" t="s">
        <v>63</v>
      </c>
      <c r="B590" s="3">
        <v>1220.4000000000001</v>
      </c>
      <c r="C590">
        <v>0</v>
      </c>
      <c r="D590" s="3">
        <v>0</v>
      </c>
      <c r="E590" s="2">
        <v>0</v>
      </c>
      <c r="F590">
        <v>0</v>
      </c>
      <c r="G590" s="3">
        <v>3601</v>
      </c>
      <c r="H590" s="3" t="s">
        <v>54</v>
      </c>
      <c r="I590" s="3" t="s">
        <v>59</v>
      </c>
      <c r="K590" s="3" t="s">
        <v>60</v>
      </c>
      <c r="L590" s="3" t="s">
        <v>60</v>
      </c>
      <c r="M590" s="3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  <c r="X590" s="4"/>
    </row>
    <row r="591" spans="1:47" hidden="1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278</v>
      </c>
      <c r="G591" s="3" t="s">
        <v>51</v>
      </c>
      <c r="H591" s="3">
        <v>3745</v>
      </c>
      <c r="I591" s="3">
        <v>3745</v>
      </c>
      <c r="J591">
        <v>0</v>
      </c>
      <c r="K591" s="3">
        <v>3745</v>
      </c>
      <c r="L591" s="3">
        <v>441</v>
      </c>
      <c r="M591" s="3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 s="3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hidden="1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278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 s="3">
        <v>441</v>
      </c>
      <c r="M592" s="3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hidden="1" x14ac:dyDescent="0.25">
      <c r="A593" t="s">
        <v>134</v>
      </c>
      <c r="B593" s="1">
        <v>37501</v>
      </c>
      <c r="C593" t="s">
        <v>48</v>
      </c>
      <c r="D593" t="s">
        <v>49</v>
      </c>
      <c r="E593" s="2">
        <v>45828</v>
      </c>
      <c r="F593" t="s">
        <v>404</v>
      </c>
      <c r="G593" s="3" t="s">
        <v>136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113</v>
      </c>
      <c r="X593" s="4">
        <v>0</v>
      </c>
      <c r="Y593" t="s">
        <v>62</v>
      </c>
    </row>
    <row r="594" spans="1:47" hidden="1" x14ac:dyDescent="0.25">
      <c r="A594" t="s">
        <v>63</v>
      </c>
      <c r="B594" s="3">
        <v>4002</v>
      </c>
      <c r="C594">
        <v>0</v>
      </c>
      <c r="D594">
        <v>0</v>
      </c>
      <c r="E594" s="2">
        <v>0</v>
      </c>
      <c r="F594">
        <v>0</v>
      </c>
      <c r="G594" s="3">
        <v>2000</v>
      </c>
      <c r="H594" s="3" t="s">
        <v>54</v>
      </c>
      <c r="I594" s="3" t="s">
        <v>59</v>
      </c>
      <c r="J594" t="s">
        <v>178</v>
      </c>
      <c r="K594" s="3" t="s">
        <v>60</v>
      </c>
      <c r="L594" s="3" t="s">
        <v>73</v>
      </c>
      <c r="M594" s="3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  <c r="X594" s="4"/>
      <c r="AE594" s="3"/>
      <c r="AK594" s="5"/>
    </row>
    <row r="595" spans="1:47" hidden="1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148</v>
      </c>
      <c r="G595" s="3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 s="3">
        <v>116.99</v>
      </c>
      <c r="N595" t="s">
        <v>83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hidden="1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131</v>
      </c>
      <c r="G596" t="s">
        <v>88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 s="3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132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hidden="1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310</v>
      </c>
      <c r="G597" s="3" t="s">
        <v>117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 s="3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  <c r="Z597" s="3"/>
      <c r="AE597" s="3"/>
      <c r="AK597" s="5"/>
    </row>
    <row r="598" spans="1:47" hidden="1" x14ac:dyDescent="0.25">
      <c r="A598" t="s">
        <v>63</v>
      </c>
      <c r="B598" s="1">
        <v>121.8</v>
      </c>
      <c r="C598">
        <v>0</v>
      </c>
      <c r="D598">
        <v>0</v>
      </c>
      <c r="E598" s="2">
        <v>0</v>
      </c>
      <c r="F598">
        <v>974.4</v>
      </c>
      <c r="G598" s="3">
        <v>2800</v>
      </c>
      <c r="H598" s="3" t="s">
        <v>54</v>
      </c>
      <c r="I598" s="3" t="s">
        <v>59</v>
      </c>
      <c r="J598" t="s">
        <v>178</v>
      </c>
      <c r="K598" s="3" t="s">
        <v>73</v>
      </c>
      <c r="L598" s="3" t="s">
        <v>60</v>
      </c>
      <c r="M598" s="3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  <c r="X598" s="4"/>
    </row>
    <row r="599" spans="1:47" hidden="1" x14ac:dyDescent="0.25">
      <c r="A599" t="s">
        <v>95</v>
      </c>
      <c r="B599" s="1">
        <v>37507</v>
      </c>
      <c r="C599" t="s">
        <v>48</v>
      </c>
      <c r="D599" t="s">
        <v>49</v>
      </c>
      <c r="E599" s="2">
        <v>45831</v>
      </c>
      <c r="F599" t="s">
        <v>149</v>
      </c>
      <c r="G599" s="3" t="s">
        <v>150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 s="3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151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hidden="1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170</v>
      </c>
      <c r="G600" t="s">
        <v>112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 s="3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169</v>
      </c>
      <c r="X600" s="4">
        <v>0</v>
      </c>
      <c r="Y600" t="s">
        <v>62</v>
      </c>
    </row>
    <row r="601" spans="1:47" hidden="1" x14ac:dyDescent="0.25">
      <c r="A601" t="s">
        <v>63</v>
      </c>
      <c r="B601" s="3">
        <v>1335</v>
      </c>
      <c r="C601">
        <v>0</v>
      </c>
      <c r="D601" s="3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91</v>
      </c>
      <c r="L601" t="s">
        <v>91</v>
      </c>
      <c r="M601" s="3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hidden="1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92</v>
      </c>
      <c r="G602" t="s">
        <v>93</v>
      </c>
      <c r="H602" s="3">
        <v>2892.7</v>
      </c>
      <c r="I602" s="3">
        <v>2892.7</v>
      </c>
      <c r="J602">
        <v>0</v>
      </c>
      <c r="K602" s="3">
        <v>3326.61</v>
      </c>
      <c r="L602" s="3">
        <v>121.79</v>
      </c>
      <c r="M602" s="3">
        <v>83.65</v>
      </c>
      <c r="N602" t="s">
        <v>83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94</v>
      </c>
      <c r="X602" s="4">
        <v>0</v>
      </c>
      <c r="Y602" t="s">
        <v>62</v>
      </c>
      <c r="AE602" s="3"/>
      <c r="AK602" s="5"/>
    </row>
    <row r="603" spans="1:47" hidden="1" x14ac:dyDescent="0.25">
      <c r="A603" t="s">
        <v>63</v>
      </c>
      <c r="B603" s="3">
        <v>0</v>
      </c>
      <c r="C603">
        <v>0</v>
      </c>
      <c r="D603">
        <v>121.79</v>
      </c>
      <c r="E603" s="2">
        <v>0</v>
      </c>
      <c r="F603">
        <v>0</v>
      </c>
      <c r="G603" s="3">
        <v>170</v>
      </c>
      <c r="H603" s="3" t="s">
        <v>54</v>
      </c>
      <c r="I603" s="3" t="s">
        <v>59</v>
      </c>
      <c r="K603" s="3" t="s">
        <v>73</v>
      </c>
      <c r="L603" s="3" t="s">
        <v>73</v>
      </c>
      <c r="M603" s="3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  <c r="X603" s="4"/>
      <c r="Z603" s="3"/>
      <c r="AB603" s="3"/>
      <c r="AE603" s="3"/>
      <c r="AK603" s="5"/>
    </row>
    <row r="604" spans="1:47" hidden="1" x14ac:dyDescent="0.25">
      <c r="A604" t="s">
        <v>95</v>
      </c>
      <c r="B604" s="1">
        <v>37510</v>
      </c>
      <c r="C604" t="s">
        <v>48</v>
      </c>
      <c r="D604" t="s">
        <v>49</v>
      </c>
      <c r="E604" s="2">
        <v>45832</v>
      </c>
      <c r="F604" t="s">
        <v>311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 s="3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312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hidden="1" x14ac:dyDescent="0.25">
      <c r="A605" t="s">
        <v>95</v>
      </c>
      <c r="B605" s="1">
        <v>37511</v>
      </c>
      <c r="C605" t="s">
        <v>48</v>
      </c>
      <c r="D605" t="s">
        <v>49</v>
      </c>
      <c r="E605" s="2">
        <v>45832</v>
      </c>
      <c r="F605" t="s">
        <v>313</v>
      </c>
      <c r="G605" s="3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 s="3">
        <v>188.1</v>
      </c>
      <c r="N605" t="s">
        <v>83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hidden="1" x14ac:dyDescent="0.25">
      <c r="A606" t="s">
        <v>95</v>
      </c>
      <c r="B606" s="1">
        <v>37512</v>
      </c>
      <c r="C606" t="s">
        <v>48</v>
      </c>
      <c r="D606" t="s">
        <v>49</v>
      </c>
      <c r="E606" s="2">
        <v>45832</v>
      </c>
      <c r="F606" s="3" t="s">
        <v>143</v>
      </c>
      <c r="G606" s="3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105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144</v>
      </c>
      <c r="W606" t="s">
        <v>145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91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hidden="1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175</v>
      </c>
      <c r="G607" s="3" t="s">
        <v>93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 s="3">
        <v>276.89999999999998</v>
      </c>
      <c r="N607" t="s">
        <v>105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144</v>
      </c>
      <c r="W607" t="s">
        <v>106</v>
      </c>
      <c r="X607" s="4">
        <v>0</v>
      </c>
      <c r="Y607" t="s">
        <v>62</v>
      </c>
      <c r="AK607" s="5"/>
    </row>
    <row r="608" spans="1:47" hidden="1" x14ac:dyDescent="0.25">
      <c r="A608" t="s">
        <v>63</v>
      </c>
      <c r="B608" s="1">
        <v>0</v>
      </c>
      <c r="C608">
        <v>0</v>
      </c>
      <c r="D608">
        <v>446.6</v>
      </c>
      <c r="E608" s="2">
        <v>0</v>
      </c>
      <c r="F608">
        <v>0</v>
      </c>
      <c r="G608">
        <v>200</v>
      </c>
      <c r="H608" s="3" t="s">
        <v>54</v>
      </c>
      <c r="I608" s="3" t="s">
        <v>59</v>
      </c>
      <c r="J608" t="s">
        <v>142</v>
      </c>
      <c r="K608" s="3" t="s">
        <v>73</v>
      </c>
      <c r="L608" s="3" t="s">
        <v>73</v>
      </c>
      <c r="M608" s="3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  <c r="X608" s="4"/>
      <c r="AD608" s="3"/>
      <c r="AE608" s="3"/>
      <c r="AK608" s="5"/>
    </row>
    <row r="609" spans="1:47" hidden="1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314</v>
      </c>
      <c r="G609" s="3" t="s">
        <v>93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 s="3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219</v>
      </c>
      <c r="X609" s="4">
        <v>0</v>
      </c>
      <c r="Y609" t="s">
        <v>62</v>
      </c>
      <c r="Z609" s="3"/>
      <c r="AE609" s="3"/>
      <c r="AK609" s="5"/>
    </row>
    <row r="610" spans="1:47" hidden="1" x14ac:dyDescent="0.25">
      <c r="A610" t="s">
        <v>63</v>
      </c>
      <c r="B610" s="1">
        <v>0</v>
      </c>
      <c r="C610">
        <v>0</v>
      </c>
      <c r="D610" s="3">
        <v>1560</v>
      </c>
      <c r="E610" s="2">
        <v>0</v>
      </c>
      <c r="F610">
        <v>0</v>
      </c>
      <c r="G610">
        <v>800</v>
      </c>
      <c r="H610" s="3" t="s">
        <v>54</v>
      </c>
      <c r="I610" s="3" t="s">
        <v>59</v>
      </c>
      <c r="K610" s="3" t="s">
        <v>60</v>
      </c>
      <c r="L610" t="s">
        <v>60</v>
      </c>
      <c r="M610" s="3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  <c r="X610" s="4"/>
    </row>
    <row r="611" spans="1:47" hidden="1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302</v>
      </c>
      <c r="G611" s="3" t="s">
        <v>86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 s="3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174</v>
      </c>
      <c r="X611" s="4">
        <v>0</v>
      </c>
      <c r="Y611" t="s">
        <v>62</v>
      </c>
    </row>
    <row r="612" spans="1:47" hidden="1" x14ac:dyDescent="0.25">
      <c r="A612" t="s">
        <v>63</v>
      </c>
      <c r="B612" s="1">
        <v>0</v>
      </c>
      <c r="C612">
        <v>0</v>
      </c>
      <c r="D612">
        <v>609</v>
      </c>
      <c r="E612" s="2">
        <v>0</v>
      </c>
      <c r="F612">
        <v>0</v>
      </c>
      <c r="G612">
        <v>350</v>
      </c>
      <c r="H612" s="3" t="s">
        <v>54</v>
      </c>
      <c r="I612" s="3" t="s">
        <v>59</v>
      </c>
      <c r="K612" s="3" t="s">
        <v>73</v>
      </c>
      <c r="L612" t="s">
        <v>91</v>
      </c>
      <c r="M612" s="3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  <c r="X612" s="4"/>
    </row>
    <row r="613" spans="1:47" hidden="1" x14ac:dyDescent="0.25">
      <c r="A613" t="s">
        <v>95</v>
      </c>
      <c r="B613" s="1">
        <v>37518</v>
      </c>
      <c r="C613" t="s">
        <v>48</v>
      </c>
      <c r="D613" t="s">
        <v>49</v>
      </c>
      <c r="E613" s="2">
        <v>45833</v>
      </c>
      <c r="F613" t="s">
        <v>274</v>
      </c>
      <c r="G613" t="s">
        <v>155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 s="3">
        <v>211.14</v>
      </c>
      <c r="N613" t="s">
        <v>105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144</v>
      </c>
      <c r="W613" t="s">
        <v>129</v>
      </c>
      <c r="X613" s="4">
        <v>0</v>
      </c>
      <c r="Y613" t="s">
        <v>62</v>
      </c>
    </row>
    <row r="614" spans="1:47" hidden="1" x14ac:dyDescent="0.25">
      <c r="A614" t="s">
        <v>63</v>
      </c>
      <c r="B614" s="1">
        <v>621</v>
      </c>
      <c r="C614">
        <v>0</v>
      </c>
      <c r="D614">
        <v>0</v>
      </c>
      <c r="E614" s="2">
        <v>0</v>
      </c>
      <c r="F614">
        <v>0</v>
      </c>
      <c r="G614" s="3">
        <v>1500</v>
      </c>
      <c r="H614" s="3" t="s">
        <v>54</v>
      </c>
      <c r="I614" s="3" t="s">
        <v>59</v>
      </c>
      <c r="J614" t="s">
        <v>235</v>
      </c>
      <c r="K614" s="3" t="s">
        <v>73</v>
      </c>
      <c r="L614" s="3" t="s">
        <v>73</v>
      </c>
      <c r="M614" s="3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  <c r="X614" s="4"/>
      <c r="AD614" s="3"/>
      <c r="AE614" s="3"/>
      <c r="AK614" s="5"/>
    </row>
    <row r="615" spans="1:47" hidden="1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315</v>
      </c>
      <c r="G615" s="3" t="s">
        <v>316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 s="3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151</v>
      </c>
      <c r="X615" s="4">
        <v>0</v>
      </c>
      <c r="Y615" t="s">
        <v>62</v>
      </c>
    </row>
    <row r="616" spans="1:47" hidden="1" x14ac:dyDescent="0.25">
      <c r="A616" t="s">
        <v>63</v>
      </c>
      <c r="B616" s="1">
        <v>0</v>
      </c>
      <c r="C616">
        <v>0</v>
      </c>
      <c r="D616">
        <v>0</v>
      </c>
      <c r="E616" s="2">
        <v>0</v>
      </c>
      <c r="F616">
        <v>610.4</v>
      </c>
      <c r="G616" s="3">
        <v>1400</v>
      </c>
      <c r="H616" s="3" t="s">
        <v>54</v>
      </c>
      <c r="I616" s="3" t="s">
        <v>59</v>
      </c>
      <c r="J616" t="s">
        <v>79</v>
      </c>
      <c r="K616" s="3" t="s">
        <v>91</v>
      </c>
      <c r="L616" s="3" t="s">
        <v>91</v>
      </c>
      <c r="M616" s="3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  <c r="X616" s="4"/>
    </row>
    <row r="617" spans="1:47" hidden="1" x14ac:dyDescent="0.25">
      <c r="A617" t="s">
        <v>95</v>
      </c>
      <c r="B617" s="1">
        <v>37521</v>
      </c>
      <c r="C617" t="s">
        <v>48</v>
      </c>
      <c r="D617" t="s">
        <v>49</v>
      </c>
      <c r="E617" s="2">
        <v>45833</v>
      </c>
      <c r="F617" t="s">
        <v>143</v>
      </c>
      <c r="G617" s="3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 s="3">
        <v>957.39</v>
      </c>
      <c r="N617" t="s">
        <v>105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144</v>
      </c>
      <c r="W617" t="s">
        <v>145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hidden="1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170</v>
      </c>
      <c r="G618" s="3" t="s">
        <v>112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 s="3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169</v>
      </c>
      <c r="X618" s="4">
        <v>0</v>
      </c>
      <c r="Y618" t="s">
        <v>62</v>
      </c>
    </row>
    <row r="619" spans="1:47" hidden="1" x14ac:dyDescent="0.25">
      <c r="A619" t="s">
        <v>63</v>
      </c>
      <c r="B619" s="3">
        <v>1038</v>
      </c>
      <c r="C619">
        <v>0</v>
      </c>
      <c r="D619">
        <v>0</v>
      </c>
      <c r="E619" s="2">
        <v>0</v>
      </c>
      <c r="F619">
        <v>0</v>
      </c>
      <c r="G619" s="3">
        <v>1000</v>
      </c>
      <c r="H619" s="3" t="s">
        <v>54</v>
      </c>
      <c r="I619" s="3" t="s">
        <v>59</v>
      </c>
      <c r="K619" s="3" t="s">
        <v>91</v>
      </c>
      <c r="L619" t="s">
        <v>91</v>
      </c>
      <c r="M619" s="3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hidden="1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100</v>
      </c>
      <c r="G620" t="s">
        <v>93</v>
      </c>
      <c r="H620" s="3">
        <v>1940</v>
      </c>
      <c r="I620" s="3">
        <v>1940</v>
      </c>
      <c r="J620">
        <v>0</v>
      </c>
      <c r="K620" s="3">
        <v>2231</v>
      </c>
      <c r="L620" s="3">
        <v>414</v>
      </c>
      <c r="M620" s="3">
        <v>144.9</v>
      </c>
      <c r="N620" t="s">
        <v>83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101</v>
      </c>
      <c r="X620" s="4">
        <v>0</v>
      </c>
      <c r="Y620" t="s">
        <v>58</v>
      </c>
      <c r="Z620" s="3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102</v>
      </c>
      <c r="AI620" t="s">
        <v>91</v>
      </c>
      <c r="AJ620" t="s">
        <v>91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hidden="1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127</v>
      </c>
      <c r="G621" t="s">
        <v>128</v>
      </c>
      <c r="H621" s="3">
        <v>3855</v>
      </c>
      <c r="I621" s="3">
        <v>3855</v>
      </c>
      <c r="J621">
        <v>0</v>
      </c>
      <c r="K621" s="3">
        <v>4433.25</v>
      </c>
      <c r="L621" s="3">
        <v>699</v>
      </c>
      <c r="M621" s="3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177</v>
      </c>
      <c r="X621" s="4">
        <v>0</v>
      </c>
      <c r="Y621" t="s">
        <v>62</v>
      </c>
      <c r="Z621" s="3"/>
      <c r="AE621" s="3"/>
      <c r="AK621" s="5"/>
    </row>
    <row r="622" spans="1:47" hidden="1" x14ac:dyDescent="0.25">
      <c r="A622" t="s">
        <v>63</v>
      </c>
      <c r="B622" s="1">
        <v>699</v>
      </c>
      <c r="C622">
        <v>0</v>
      </c>
      <c r="D622">
        <v>0</v>
      </c>
      <c r="E622" s="2">
        <v>0</v>
      </c>
      <c r="F622">
        <v>0</v>
      </c>
      <c r="G622">
        <v>875</v>
      </c>
      <c r="H622" s="3" t="s">
        <v>54</v>
      </c>
      <c r="I622" s="3" t="s">
        <v>59</v>
      </c>
      <c r="K622" s="3" t="s">
        <v>91</v>
      </c>
      <c r="L622" s="3" t="s">
        <v>60</v>
      </c>
      <c r="M622" s="3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  <c r="X622" s="4"/>
      <c r="Z622" s="3"/>
      <c r="AB622" s="3"/>
      <c r="AE622" s="3"/>
      <c r="AK622" s="5"/>
    </row>
    <row r="623" spans="1:47" hidden="1" x14ac:dyDescent="0.25">
      <c r="A623" t="s">
        <v>95</v>
      </c>
      <c r="B623" s="1">
        <v>37527</v>
      </c>
      <c r="C623" t="s">
        <v>48</v>
      </c>
      <c r="D623" t="s">
        <v>49</v>
      </c>
      <c r="E623" s="2">
        <v>45834</v>
      </c>
      <c r="F623" t="s">
        <v>317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 s="3">
        <v>233</v>
      </c>
      <c r="M623" s="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119</v>
      </c>
      <c r="W623" t="s">
        <v>287</v>
      </c>
      <c r="X623" s="4">
        <v>0</v>
      </c>
      <c r="Y623" t="s">
        <v>62</v>
      </c>
      <c r="Z623" s="3"/>
      <c r="AE623" s="3"/>
      <c r="AK623" s="5"/>
    </row>
    <row r="624" spans="1:47" hidden="1" x14ac:dyDescent="0.25">
      <c r="A624" t="s">
        <v>63</v>
      </c>
      <c r="B624" s="1">
        <v>0</v>
      </c>
      <c r="C624">
        <v>0</v>
      </c>
      <c r="D624">
        <v>233</v>
      </c>
      <c r="E624" s="2">
        <v>0</v>
      </c>
      <c r="F624">
        <v>0</v>
      </c>
      <c r="G624">
        <v>100</v>
      </c>
      <c r="H624" s="3" t="s">
        <v>54</v>
      </c>
      <c r="I624" s="3" t="s">
        <v>59</v>
      </c>
      <c r="K624" s="3" t="s">
        <v>80</v>
      </c>
      <c r="L624" s="3" t="s">
        <v>91</v>
      </c>
      <c r="M624" s="3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  <c r="X624" s="4"/>
      <c r="Z624" s="3"/>
      <c r="AE624" s="3"/>
      <c r="AK624" s="5"/>
    </row>
    <row r="625" spans="1:47" hidden="1" x14ac:dyDescent="0.25">
      <c r="A625" t="s">
        <v>95</v>
      </c>
      <c r="B625" s="1">
        <v>37528</v>
      </c>
      <c r="C625" t="s">
        <v>48</v>
      </c>
      <c r="D625" t="s">
        <v>49</v>
      </c>
      <c r="E625" s="2">
        <v>45834</v>
      </c>
      <c r="F625" t="s">
        <v>317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 s="3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119</v>
      </c>
      <c r="W625" t="s">
        <v>287</v>
      </c>
      <c r="X625" s="4">
        <v>0</v>
      </c>
      <c r="Y625" t="s">
        <v>62</v>
      </c>
      <c r="AE625" s="3"/>
      <c r="AK625" s="5"/>
    </row>
    <row r="626" spans="1:47" hidden="1" x14ac:dyDescent="0.25">
      <c r="A626" t="s">
        <v>63</v>
      </c>
      <c r="B626" s="1">
        <v>0</v>
      </c>
      <c r="C626">
        <v>0</v>
      </c>
      <c r="D626">
        <v>396.1</v>
      </c>
      <c r="E626" s="2">
        <v>0</v>
      </c>
      <c r="F626">
        <v>0</v>
      </c>
      <c r="G626">
        <v>170</v>
      </c>
      <c r="H626" s="3" t="s">
        <v>54</v>
      </c>
      <c r="I626" s="3" t="s">
        <v>59</v>
      </c>
      <c r="K626" s="3" t="s">
        <v>80</v>
      </c>
      <c r="L626" s="3" t="s">
        <v>91</v>
      </c>
      <c r="M626" s="3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  <c r="X626" s="4"/>
      <c r="AB626" s="3"/>
      <c r="AD626" s="3"/>
      <c r="AE626" s="3"/>
      <c r="AK626" s="5"/>
    </row>
    <row r="627" spans="1:47" hidden="1" x14ac:dyDescent="0.25">
      <c r="A627" t="s">
        <v>95</v>
      </c>
      <c r="B627" s="1">
        <v>37529</v>
      </c>
      <c r="C627" t="s">
        <v>48</v>
      </c>
      <c r="D627" s="3" t="s">
        <v>49</v>
      </c>
      <c r="E627" s="2">
        <v>45834</v>
      </c>
      <c r="F627" t="s">
        <v>410</v>
      </c>
      <c r="G627" s="3" t="s">
        <v>117</v>
      </c>
      <c r="H627" s="3">
        <v>1760</v>
      </c>
      <c r="I627" s="3">
        <v>1760</v>
      </c>
      <c r="J627">
        <v>0</v>
      </c>
      <c r="K627" s="3">
        <v>1760</v>
      </c>
      <c r="L627" s="3">
        <v>472</v>
      </c>
      <c r="M627" s="3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197</v>
      </c>
      <c r="Z627">
        <v>472</v>
      </c>
      <c r="AA627">
        <v>0</v>
      </c>
      <c r="AB627">
        <v>0</v>
      </c>
      <c r="AC627">
        <v>0</v>
      </c>
      <c r="AD627" s="3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hidden="1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110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 s="3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94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hidden="1" x14ac:dyDescent="0.25">
      <c r="A629" t="s">
        <v>47</v>
      </c>
      <c r="B629" s="1">
        <v>37531</v>
      </c>
      <c r="C629" t="s">
        <v>48</v>
      </c>
      <c r="D629" s="3" t="s">
        <v>49</v>
      </c>
      <c r="E629" s="2">
        <v>45835</v>
      </c>
      <c r="F629" t="s">
        <v>127</v>
      </c>
      <c r="G629" s="3" t="s">
        <v>128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 s="3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177</v>
      </c>
      <c r="X629" s="4">
        <v>0</v>
      </c>
      <c r="Y629" t="s">
        <v>62</v>
      </c>
    </row>
    <row r="630" spans="1:47" hidden="1" x14ac:dyDescent="0.25">
      <c r="A630" t="s">
        <v>63</v>
      </c>
      <c r="B630" s="1">
        <v>699</v>
      </c>
      <c r="C630">
        <v>0</v>
      </c>
      <c r="D630">
        <v>0</v>
      </c>
      <c r="E630" s="2">
        <v>0</v>
      </c>
      <c r="F630">
        <v>0</v>
      </c>
      <c r="G630">
        <v>875</v>
      </c>
      <c r="H630" s="3" t="s">
        <v>54</v>
      </c>
      <c r="I630" s="3" t="s">
        <v>59</v>
      </c>
      <c r="K630" s="3" t="s">
        <v>60</v>
      </c>
      <c r="L630" t="s">
        <v>60</v>
      </c>
      <c r="M630" s="3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  <c r="X630" s="4"/>
    </row>
    <row r="631" spans="1:47" hidden="1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127</v>
      </c>
      <c r="G631" t="s">
        <v>128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 s="3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177</v>
      </c>
      <c r="X631" s="4">
        <v>0</v>
      </c>
      <c r="Y631" t="s">
        <v>62</v>
      </c>
    </row>
    <row r="632" spans="1:47" hidden="1" x14ac:dyDescent="0.25">
      <c r="A632" t="s">
        <v>63</v>
      </c>
      <c r="B632" s="1">
        <v>699</v>
      </c>
      <c r="C632">
        <v>0</v>
      </c>
      <c r="D632">
        <v>0</v>
      </c>
      <c r="E632" s="2">
        <v>0</v>
      </c>
      <c r="F632">
        <v>0</v>
      </c>
      <c r="G632">
        <v>875</v>
      </c>
      <c r="H632" s="3" t="s">
        <v>54</v>
      </c>
      <c r="I632" s="3" t="s">
        <v>59</v>
      </c>
      <c r="K632" s="3" t="s">
        <v>60</v>
      </c>
      <c r="L632" s="3" t="s">
        <v>60</v>
      </c>
      <c r="M632" s="3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  <c r="X632" s="4"/>
    </row>
    <row r="633" spans="1:47" hidden="1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127</v>
      </c>
      <c r="G633" s="3" t="s">
        <v>128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 s="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177</v>
      </c>
      <c r="X633" s="4">
        <v>0</v>
      </c>
      <c r="Y633" t="s">
        <v>62</v>
      </c>
    </row>
    <row r="634" spans="1:47" hidden="1" x14ac:dyDescent="0.25">
      <c r="A634" t="s">
        <v>63</v>
      </c>
      <c r="B634" s="1">
        <v>699</v>
      </c>
      <c r="C634">
        <v>0</v>
      </c>
      <c r="D634">
        <v>0</v>
      </c>
      <c r="E634" s="2">
        <v>0</v>
      </c>
      <c r="F634">
        <v>0</v>
      </c>
      <c r="G634">
        <v>875</v>
      </c>
      <c r="H634" s="3" t="s">
        <v>54</v>
      </c>
      <c r="I634" s="3" t="s">
        <v>59</v>
      </c>
      <c r="K634" s="3" t="s">
        <v>60</v>
      </c>
      <c r="L634" s="3" t="s">
        <v>60</v>
      </c>
      <c r="M634" s="3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  <c r="X634" s="4"/>
    </row>
    <row r="635" spans="1:47" hidden="1" x14ac:dyDescent="0.25">
      <c r="A635" t="s">
        <v>95</v>
      </c>
      <c r="B635" s="1">
        <v>37537</v>
      </c>
      <c r="C635" t="s">
        <v>48</v>
      </c>
      <c r="D635" s="3" t="s">
        <v>49</v>
      </c>
      <c r="E635" s="2">
        <v>45835</v>
      </c>
      <c r="F635" t="s">
        <v>318</v>
      </c>
      <c r="G635" s="3" t="s">
        <v>249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 s="3">
        <v>299.45999999999998</v>
      </c>
      <c r="N635" t="s">
        <v>105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94</v>
      </c>
      <c r="X635" s="4">
        <v>0</v>
      </c>
      <c r="Y635" t="s">
        <v>62</v>
      </c>
    </row>
    <row r="636" spans="1:47" hidden="1" x14ac:dyDescent="0.25">
      <c r="A636" t="s">
        <v>63</v>
      </c>
      <c r="B636" s="1">
        <v>0</v>
      </c>
      <c r="C636">
        <v>0</v>
      </c>
      <c r="D636">
        <v>499.1</v>
      </c>
      <c r="E636" s="2">
        <v>0</v>
      </c>
      <c r="F636">
        <v>0</v>
      </c>
      <c r="G636">
        <v>700</v>
      </c>
      <c r="H636" s="3" t="s">
        <v>54</v>
      </c>
      <c r="I636" s="3" t="s">
        <v>59</v>
      </c>
      <c r="J636" t="s">
        <v>319</v>
      </c>
      <c r="K636" s="3" t="s">
        <v>214</v>
      </c>
      <c r="L636" t="s">
        <v>91</v>
      </c>
      <c r="M636" s="3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  <c r="X636" s="4"/>
    </row>
    <row r="637" spans="1:47" hidden="1" x14ac:dyDescent="0.25">
      <c r="A637" t="s">
        <v>95</v>
      </c>
      <c r="B637" s="1">
        <v>37538</v>
      </c>
      <c r="C637" t="s">
        <v>48</v>
      </c>
      <c r="D637" t="s">
        <v>49</v>
      </c>
      <c r="E637" s="2">
        <v>45835</v>
      </c>
      <c r="F637" t="s">
        <v>320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 s="3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hidden="1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199</v>
      </c>
      <c r="G638" t="s">
        <v>93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83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269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 s="3">
        <v>0</v>
      </c>
      <c r="AE638" s="3">
        <v>6000</v>
      </c>
      <c r="AF638" t="s">
        <v>54</v>
      </c>
      <c r="AG638" t="s">
        <v>59</v>
      </c>
      <c r="AH638" t="s">
        <v>142</v>
      </c>
      <c r="AI638" t="s">
        <v>91</v>
      </c>
      <c r="AJ638" t="s">
        <v>91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hidden="1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100</v>
      </c>
      <c r="G639" s="3" t="s">
        <v>93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83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101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 s="3">
        <v>0</v>
      </c>
      <c r="AE639" s="3">
        <v>3000</v>
      </c>
      <c r="AF639" t="s">
        <v>54</v>
      </c>
      <c r="AG639" t="s">
        <v>59</v>
      </c>
      <c r="AH639" t="s">
        <v>102</v>
      </c>
      <c r="AI639" t="s">
        <v>91</v>
      </c>
      <c r="AJ639" t="s">
        <v>91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hidden="1" x14ac:dyDescent="0.25">
      <c r="A640" t="s">
        <v>95</v>
      </c>
      <c r="B640" s="1">
        <v>37542</v>
      </c>
      <c r="C640" t="s">
        <v>48</v>
      </c>
      <c r="D640" t="s">
        <v>49</v>
      </c>
      <c r="E640" s="2">
        <v>45835</v>
      </c>
      <c r="F640" t="s">
        <v>176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 s="3">
        <v>811.8</v>
      </c>
      <c r="M640" s="3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177</v>
      </c>
      <c r="X640" s="4">
        <v>0</v>
      </c>
      <c r="Y640" t="s">
        <v>62</v>
      </c>
      <c r="AB640" s="3"/>
      <c r="AE640" s="3"/>
      <c r="AK640" s="5"/>
    </row>
    <row r="641" spans="1:47" hidden="1" x14ac:dyDescent="0.25">
      <c r="A641" t="s">
        <v>63</v>
      </c>
      <c r="B641" s="1">
        <v>0</v>
      </c>
      <c r="C641">
        <v>0</v>
      </c>
      <c r="D641">
        <v>0</v>
      </c>
      <c r="E641" s="2">
        <v>0</v>
      </c>
      <c r="F641">
        <v>811.8</v>
      </c>
      <c r="G641" s="3">
        <v>2350</v>
      </c>
      <c r="H641" s="3" t="s">
        <v>54</v>
      </c>
      <c r="I641" s="3" t="s">
        <v>59</v>
      </c>
      <c r="K641" s="3" t="s">
        <v>60</v>
      </c>
      <c r="L641" s="3" t="s">
        <v>60</v>
      </c>
      <c r="M641" s="3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  <c r="X641" s="4"/>
      <c r="AD641" s="3"/>
      <c r="AE641" s="3"/>
      <c r="AK641" s="5"/>
    </row>
    <row r="642" spans="1:47" hidden="1" x14ac:dyDescent="0.25">
      <c r="A642" t="s">
        <v>95</v>
      </c>
      <c r="B642" s="1">
        <v>37543</v>
      </c>
      <c r="C642" t="s">
        <v>48</v>
      </c>
      <c r="D642" t="s">
        <v>49</v>
      </c>
      <c r="E642" s="2">
        <v>45835</v>
      </c>
      <c r="F642" t="s">
        <v>171</v>
      </c>
      <c r="G642" s="3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 s="3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151</v>
      </c>
      <c r="X642" s="4">
        <v>0</v>
      </c>
      <c r="Y642" t="s">
        <v>62</v>
      </c>
      <c r="AD642" s="3"/>
      <c r="AE642" s="3"/>
      <c r="AK642" s="5"/>
    </row>
    <row r="643" spans="1:47" hidden="1" x14ac:dyDescent="0.25">
      <c r="A643" t="s">
        <v>63</v>
      </c>
      <c r="B643" s="1">
        <v>0</v>
      </c>
      <c r="C643">
        <v>0</v>
      </c>
      <c r="D643" s="3">
        <v>1568.4</v>
      </c>
      <c r="E643" s="2">
        <v>0</v>
      </c>
      <c r="F643">
        <v>0</v>
      </c>
      <c r="G643" s="3">
        <v>2600</v>
      </c>
      <c r="H643" s="3" t="s">
        <v>54</v>
      </c>
      <c r="I643" s="3" t="s">
        <v>59</v>
      </c>
      <c r="K643" s="3" t="s">
        <v>80</v>
      </c>
      <c r="L643" s="3" t="s">
        <v>73</v>
      </c>
      <c r="M643" s="3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  <c r="X643" s="4"/>
      <c r="AD643" s="3"/>
      <c r="AE643" s="3"/>
      <c r="AK643" s="5"/>
    </row>
    <row r="644" spans="1:47" hidden="1" x14ac:dyDescent="0.25">
      <c r="A644" t="s">
        <v>95</v>
      </c>
      <c r="B644" s="1">
        <v>37544</v>
      </c>
      <c r="C644" t="s">
        <v>48</v>
      </c>
      <c r="D644" t="s">
        <v>49</v>
      </c>
      <c r="E644" s="2">
        <v>45835</v>
      </c>
      <c r="F644" t="s">
        <v>192</v>
      </c>
      <c r="G644" t="s">
        <v>156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  <c r="AE644" s="3"/>
      <c r="AK644" s="5"/>
    </row>
    <row r="645" spans="1:47" hidden="1" x14ac:dyDescent="0.25">
      <c r="A645" t="s">
        <v>63</v>
      </c>
      <c r="B645" s="1">
        <v>0</v>
      </c>
      <c r="C645">
        <v>0</v>
      </c>
      <c r="D645">
        <v>0</v>
      </c>
      <c r="E645" s="2">
        <v>0</v>
      </c>
      <c r="F645" s="3">
        <v>6256.7</v>
      </c>
      <c r="G645" s="3">
        <v>7750</v>
      </c>
      <c r="H645" s="3" t="s">
        <v>54</v>
      </c>
      <c r="I645" s="3" t="s">
        <v>59</v>
      </c>
      <c r="K645" s="3" t="s">
        <v>80</v>
      </c>
      <c r="L645" t="s">
        <v>91</v>
      </c>
      <c r="M645" s="3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  <c r="X645" s="4"/>
      <c r="AK645" s="5"/>
    </row>
    <row r="646" spans="1:47" hidden="1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278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 s="3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 s="3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hidden="1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278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 s="3">
        <v>441</v>
      </c>
      <c r="M647" s="3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 s="3">
        <v>0</v>
      </c>
      <c r="AA647">
        <v>0</v>
      </c>
      <c r="AB647">
        <v>441</v>
      </c>
      <c r="AC647">
        <v>0</v>
      </c>
      <c r="AD647" s="3">
        <v>0</v>
      </c>
      <c r="AE647" s="3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hidden="1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223</v>
      </c>
      <c r="G648" t="s">
        <v>88</v>
      </c>
      <c r="H648" s="3">
        <v>1368.8</v>
      </c>
      <c r="I648" s="3">
        <v>1368.8</v>
      </c>
      <c r="J648">
        <v>0</v>
      </c>
      <c r="K648" s="3">
        <v>1574.12</v>
      </c>
      <c r="L648" s="3">
        <v>348</v>
      </c>
      <c r="M648" s="3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  <c r="AE648" s="3"/>
      <c r="AK648" s="5"/>
    </row>
    <row r="649" spans="1:47" hidden="1" x14ac:dyDescent="0.25">
      <c r="A649" t="s">
        <v>63</v>
      </c>
      <c r="B649" s="1">
        <v>348</v>
      </c>
      <c r="C649">
        <v>0</v>
      </c>
      <c r="D649" s="3">
        <v>0</v>
      </c>
      <c r="E649" s="2">
        <v>0</v>
      </c>
      <c r="F649">
        <v>0</v>
      </c>
      <c r="G649" s="3">
        <v>290</v>
      </c>
      <c r="H649" s="3" t="s">
        <v>54</v>
      </c>
      <c r="I649" s="3" t="s">
        <v>59</v>
      </c>
      <c r="J649" t="s">
        <v>147</v>
      </c>
      <c r="K649" s="3" t="s">
        <v>60</v>
      </c>
      <c r="L649" s="3" t="s">
        <v>60</v>
      </c>
      <c r="M649" s="3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  <c r="X649" s="4"/>
      <c r="AD649" s="3"/>
      <c r="AE649" s="3"/>
      <c r="AK649" s="5"/>
    </row>
    <row r="650" spans="1:47" hidden="1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 s="3">
        <v>282.89999999999998</v>
      </c>
      <c r="M650" s="3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 s="3">
        <v>0</v>
      </c>
      <c r="AA650">
        <v>0</v>
      </c>
      <c r="AB650" s="3">
        <v>282.89999999999998</v>
      </c>
      <c r="AC650">
        <v>0</v>
      </c>
      <c r="AD650" s="3">
        <v>0</v>
      </c>
      <c r="AE650" s="3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hidden="1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s="3" t="s">
        <v>146</v>
      </c>
      <c r="G651" s="3" t="s">
        <v>88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  <c r="AB651" s="3"/>
      <c r="AD651" s="3"/>
      <c r="AE651" s="3"/>
      <c r="AK651" s="5"/>
    </row>
    <row r="652" spans="1:47" hidden="1" x14ac:dyDescent="0.25">
      <c r="A652" t="s">
        <v>63</v>
      </c>
      <c r="B652" s="1">
        <v>0</v>
      </c>
      <c r="C652">
        <v>0</v>
      </c>
      <c r="D652">
        <v>0</v>
      </c>
      <c r="E652" s="2">
        <v>0</v>
      </c>
      <c r="F652" s="3">
        <v>3970</v>
      </c>
      <c r="G652" s="3">
        <v>2000</v>
      </c>
      <c r="H652" s="3" t="s">
        <v>54</v>
      </c>
      <c r="I652" s="3" t="s">
        <v>59</v>
      </c>
      <c r="K652" s="3" t="s">
        <v>60</v>
      </c>
      <c r="L652" s="3" t="s">
        <v>60</v>
      </c>
      <c r="M652" s="3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  <c r="X652" s="4"/>
      <c r="AB652" s="3"/>
      <c r="AE652" s="3"/>
      <c r="AK652" s="5"/>
    </row>
    <row r="653" spans="1:47" hidden="1" x14ac:dyDescent="0.25">
      <c r="A653" t="s">
        <v>95</v>
      </c>
      <c r="B653" s="1">
        <v>37550</v>
      </c>
      <c r="C653" t="s">
        <v>48</v>
      </c>
      <c r="D653" t="s">
        <v>49</v>
      </c>
      <c r="E653" s="2">
        <v>45838</v>
      </c>
      <c r="F653" t="s">
        <v>118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119</v>
      </c>
      <c r="W653" t="s">
        <v>120</v>
      </c>
      <c r="X653" s="4">
        <v>0</v>
      </c>
      <c r="Y653" t="s">
        <v>58</v>
      </c>
      <c r="Z653" s="3">
        <v>0</v>
      </c>
      <c r="AA653">
        <v>0</v>
      </c>
      <c r="AB653" s="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hidden="1" x14ac:dyDescent="0.25">
      <c r="A654" t="s">
        <v>95</v>
      </c>
      <c r="B654" s="1">
        <v>37551</v>
      </c>
      <c r="C654" t="s">
        <v>48</v>
      </c>
      <c r="D654" t="s">
        <v>49</v>
      </c>
      <c r="E654" s="2">
        <v>45838</v>
      </c>
      <c r="F654" t="s">
        <v>118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119</v>
      </c>
      <c r="W654" t="s">
        <v>120</v>
      </c>
      <c r="X654" s="4">
        <v>0</v>
      </c>
      <c r="Y654" t="s">
        <v>58</v>
      </c>
      <c r="Z654" s="3">
        <v>0</v>
      </c>
      <c r="AA654">
        <v>0</v>
      </c>
      <c r="AB654" s="3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hidden="1" x14ac:dyDescent="0.25">
      <c r="A655" t="s">
        <v>95</v>
      </c>
      <c r="B655" s="1">
        <v>37552</v>
      </c>
      <c r="C655" t="s">
        <v>48</v>
      </c>
      <c r="D655" t="s">
        <v>49</v>
      </c>
      <c r="E655" s="2">
        <v>45838</v>
      </c>
      <c r="F655" t="s">
        <v>118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119</v>
      </c>
      <c r="W655" t="s">
        <v>120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hidden="1" x14ac:dyDescent="0.25">
      <c r="A656" t="s">
        <v>95</v>
      </c>
      <c r="B656" s="1">
        <v>37553</v>
      </c>
      <c r="C656" t="s">
        <v>48</v>
      </c>
      <c r="D656" t="s">
        <v>49</v>
      </c>
      <c r="E656" s="2">
        <v>45838</v>
      </c>
      <c r="F656" s="3" t="s">
        <v>118</v>
      </c>
      <c r="G656" s="3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119</v>
      </c>
      <c r="W656" t="s">
        <v>120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hidden="1" x14ac:dyDescent="0.25">
      <c r="A657" t="s">
        <v>95</v>
      </c>
      <c r="B657" s="1">
        <v>37555</v>
      </c>
      <c r="C657" t="s">
        <v>48</v>
      </c>
      <c r="D657" t="s">
        <v>49</v>
      </c>
      <c r="E657" s="2">
        <v>45838</v>
      </c>
      <c r="F657" t="s">
        <v>118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119</v>
      </c>
      <c r="W657" t="s">
        <v>120</v>
      </c>
      <c r="X657" s="4">
        <v>0</v>
      </c>
      <c r="Y657" t="s">
        <v>58</v>
      </c>
      <c r="Z657">
        <v>0</v>
      </c>
      <c r="AA657">
        <v>0</v>
      </c>
      <c r="AB657" s="3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hidden="1" x14ac:dyDescent="0.25">
      <c r="A658" t="s">
        <v>95</v>
      </c>
      <c r="B658" s="1">
        <v>37556</v>
      </c>
      <c r="C658" t="s">
        <v>48</v>
      </c>
      <c r="D658" t="s">
        <v>49</v>
      </c>
      <c r="E658" s="2">
        <v>45838</v>
      </c>
      <c r="F658" t="s">
        <v>140</v>
      </c>
      <c r="G658" t="s">
        <v>93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 s="3">
        <v>352.51</v>
      </c>
      <c r="N658" t="s">
        <v>105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144</v>
      </c>
      <c r="W658" t="s">
        <v>220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142</v>
      </c>
      <c r="AI658" t="s">
        <v>214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hidden="1" x14ac:dyDescent="0.25">
      <c r="A659" t="s">
        <v>95</v>
      </c>
      <c r="B659" s="1">
        <v>37557</v>
      </c>
      <c r="C659" t="s">
        <v>48</v>
      </c>
      <c r="D659" t="s">
        <v>49</v>
      </c>
      <c r="E659" s="2">
        <v>45838</v>
      </c>
      <c r="F659" t="s">
        <v>118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119</v>
      </c>
      <c r="W659" t="s">
        <v>120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hidden="1" x14ac:dyDescent="0.25">
      <c r="A660" t="s">
        <v>95</v>
      </c>
      <c r="B660" s="1">
        <v>37558</v>
      </c>
      <c r="C660" t="s">
        <v>48</v>
      </c>
      <c r="D660" t="s">
        <v>49</v>
      </c>
      <c r="E660" s="2">
        <v>45838</v>
      </c>
      <c r="F660" t="s">
        <v>138</v>
      </c>
      <c r="G660" s="3" t="s">
        <v>139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 s="3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198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102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hidden="1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321</v>
      </c>
      <c r="G661" s="3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 s="3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151</v>
      </c>
      <c r="X661" s="4">
        <v>0</v>
      </c>
      <c r="Y661" t="s">
        <v>62</v>
      </c>
    </row>
    <row r="662" spans="1:47" hidden="1" x14ac:dyDescent="0.25">
      <c r="A662" t="s">
        <v>63</v>
      </c>
      <c r="B662" s="1">
        <v>0</v>
      </c>
      <c r="C662">
        <v>0</v>
      </c>
      <c r="D662" s="3">
        <v>1150.5</v>
      </c>
      <c r="E662" s="2">
        <v>0</v>
      </c>
      <c r="F662">
        <v>0</v>
      </c>
      <c r="G662" s="3">
        <v>600</v>
      </c>
      <c r="H662" s="3" t="s">
        <v>54</v>
      </c>
      <c r="I662" s="3" t="s">
        <v>59</v>
      </c>
      <c r="K662" s="3" t="s">
        <v>80</v>
      </c>
      <c r="L662" t="s">
        <v>73</v>
      </c>
      <c r="M662" s="3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  <c r="X662" s="4"/>
      <c r="AK662" s="5"/>
    </row>
    <row r="663" spans="1:47" hidden="1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202</v>
      </c>
      <c r="G663" t="s">
        <v>122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 s="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hidden="1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148</v>
      </c>
      <c r="G664" s="3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 s="3">
        <v>116.99</v>
      </c>
      <c r="N664" t="s">
        <v>83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hidden="1" x14ac:dyDescent="0.25">
      <c r="A665" t="s">
        <v>134</v>
      </c>
      <c r="B665" s="1">
        <v>37562</v>
      </c>
      <c r="C665" t="s">
        <v>48</v>
      </c>
      <c r="D665" t="s">
        <v>49</v>
      </c>
      <c r="E665" s="2">
        <v>45840</v>
      </c>
      <c r="F665" t="s">
        <v>236</v>
      </c>
      <c r="G665" t="s">
        <v>237</v>
      </c>
      <c r="H665" s="3">
        <v>5740</v>
      </c>
      <c r="I665" s="3">
        <v>5740</v>
      </c>
      <c r="J665">
        <v>0</v>
      </c>
      <c r="K665" s="3">
        <v>5740</v>
      </c>
      <c r="L665" s="3">
        <v>853</v>
      </c>
      <c r="M665" s="3">
        <v>507.54</v>
      </c>
      <c r="N665" t="s">
        <v>83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160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hidden="1" x14ac:dyDescent="0.25">
      <c r="A666" t="s">
        <v>95</v>
      </c>
      <c r="B666" s="1">
        <v>37563</v>
      </c>
      <c r="C666" t="s">
        <v>48</v>
      </c>
      <c r="D666" t="s">
        <v>49</v>
      </c>
      <c r="E666" s="2">
        <v>45840</v>
      </c>
      <c r="F666" s="3" t="s">
        <v>85</v>
      </c>
      <c r="G666" s="3" t="s">
        <v>86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83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84</v>
      </c>
      <c r="X666" s="4">
        <v>0</v>
      </c>
      <c r="Y666" t="s">
        <v>62</v>
      </c>
    </row>
    <row r="667" spans="1:47" hidden="1" x14ac:dyDescent="0.25">
      <c r="A667" t="s">
        <v>63</v>
      </c>
      <c r="B667" s="3">
        <v>2030.4</v>
      </c>
      <c r="C667">
        <v>0</v>
      </c>
      <c r="D667" s="3">
        <v>1012.5</v>
      </c>
      <c r="E667" s="2">
        <v>0</v>
      </c>
      <c r="F667">
        <v>0</v>
      </c>
      <c r="G667" s="3">
        <v>1400</v>
      </c>
      <c r="H667" s="3" t="s">
        <v>54</v>
      </c>
      <c r="I667" s="3" t="s">
        <v>59</v>
      </c>
      <c r="K667" s="3" t="s">
        <v>91</v>
      </c>
      <c r="L667" s="3" t="s">
        <v>91</v>
      </c>
      <c r="M667" s="3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  <c r="X667" s="4"/>
      <c r="AA667" s="3"/>
      <c r="AE667" s="3"/>
      <c r="AK667" s="5"/>
    </row>
    <row r="668" spans="1:47" hidden="1" x14ac:dyDescent="0.25">
      <c r="A668" t="s">
        <v>95</v>
      </c>
      <c r="B668" s="1">
        <v>37566</v>
      </c>
      <c r="C668" t="s">
        <v>48</v>
      </c>
      <c r="D668" t="s">
        <v>49</v>
      </c>
      <c r="E668" s="2">
        <v>45840</v>
      </c>
      <c r="F668" t="s">
        <v>154</v>
      </c>
      <c r="G668" t="s">
        <v>155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105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144</v>
      </c>
      <c r="W668" t="s">
        <v>72</v>
      </c>
      <c r="X668" s="4">
        <v>0</v>
      </c>
      <c r="Y668" t="s">
        <v>62</v>
      </c>
      <c r="AA668" s="3"/>
      <c r="AB668" s="3"/>
      <c r="AE668" s="3"/>
      <c r="AK668" s="5"/>
    </row>
    <row r="669" spans="1:47" hidden="1" x14ac:dyDescent="0.25">
      <c r="A669" t="s">
        <v>63</v>
      </c>
      <c r="B669" s="3">
        <v>3170.8</v>
      </c>
      <c r="C669">
        <v>0</v>
      </c>
      <c r="D669">
        <v>0</v>
      </c>
      <c r="E669" s="2">
        <v>0</v>
      </c>
      <c r="F669">
        <v>0</v>
      </c>
      <c r="G669" s="3">
        <v>1150</v>
      </c>
      <c r="H669" s="3" t="s">
        <v>54</v>
      </c>
      <c r="I669" s="3" t="s">
        <v>59</v>
      </c>
      <c r="K669" s="3" t="s">
        <v>73</v>
      </c>
      <c r="L669" s="3" t="s">
        <v>73</v>
      </c>
      <c r="M669" s="3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  <c r="X669" s="4"/>
      <c r="AA669" s="3"/>
      <c r="AB669" s="3"/>
      <c r="AE669" s="3"/>
      <c r="AK669" s="5"/>
    </row>
    <row r="670" spans="1:47" hidden="1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148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 s="3">
        <v>195.5</v>
      </c>
      <c r="M670" s="3">
        <v>146.22999999999999</v>
      </c>
      <c r="N670" t="s">
        <v>83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 s="3">
        <v>0</v>
      </c>
      <c r="AB670">
        <v>195.5</v>
      </c>
      <c r="AC670">
        <v>0</v>
      </c>
      <c r="AD670">
        <v>0</v>
      </c>
      <c r="AE670" s="3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hidden="1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s="3" t="s">
        <v>148</v>
      </c>
      <c r="G671" s="3" t="s">
        <v>66</v>
      </c>
      <c r="H671" s="3">
        <v>1733</v>
      </c>
      <c r="I671" s="3">
        <v>1733</v>
      </c>
      <c r="J671">
        <v>0</v>
      </c>
      <c r="K671" s="3">
        <v>1992.95</v>
      </c>
      <c r="L671" s="3">
        <v>195.5</v>
      </c>
      <c r="M671" s="3">
        <v>146.22999999999999</v>
      </c>
      <c r="N671" t="s">
        <v>83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 s="3">
        <v>0</v>
      </c>
      <c r="AB671">
        <v>195.5</v>
      </c>
      <c r="AC671">
        <v>0</v>
      </c>
      <c r="AD671">
        <v>0</v>
      </c>
      <c r="AE671" s="3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hidden="1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148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 s="3">
        <v>303.38</v>
      </c>
      <c r="M672" s="3">
        <v>226.92</v>
      </c>
      <c r="N672" t="s">
        <v>83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 s="3">
        <v>0</v>
      </c>
      <c r="AB672">
        <v>303.38</v>
      </c>
      <c r="AC672">
        <v>0</v>
      </c>
      <c r="AD672">
        <v>0</v>
      </c>
      <c r="AE672" s="3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hidden="1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s="3" t="s">
        <v>148</v>
      </c>
      <c r="G673" s="3" t="s">
        <v>66</v>
      </c>
      <c r="H673" s="3">
        <v>2975</v>
      </c>
      <c r="I673" s="3">
        <v>2975</v>
      </c>
      <c r="J673">
        <v>0</v>
      </c>
      <c r="K673" s="3">
        <v>3421.25</v>
      </c>
      <c r="L673" s="3">
        <v>323.12</v>
      </c>
      <c r="M673" s="3">
        <v>241.69</v>
      </c>
      <c r="N673" t="s">
        <v>83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 s="3">
        <v>0</v>
      </c>
      <c r="AB673">
        <v>323.12</v>
      </c>
      <c r="AC673">
        <v>0</v>
      </c>
      <c r="AD673">
        <v>0</v>
      </c>
      <c r="AE673" s="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hidden="1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148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 s="3">
        <v>327.45999999999998</v>
      </c>
      <c r="M674" s="3">
        <v>244.94</v>
      </c>
      <c r="N674" t="s">
        <v>83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hidden="1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s="3" t="s">
        <v>148</v>
      </c>
      <c r="G675" s="3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 s="3">
        <v>422.21</v>
      </c>
      <c r="N675" t="s">
        <v>83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hidden="1" x14ac:dyDescent="0.25">
      <c r="A676" t="s">
        <v>95</v>
      </c>
      <c r="B676" s="1">
        <v>37573</v>
      </c>
      <c r="C676" t="s">
        <v>48</v>
      </c>
      <c r="D676" t="s">
        <v>49</v>
      </c>
      <c r="E676" s="2">
        <v>45840</v>
      </c>
      <c r="F676" t="s">
        <v>303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 s="3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141</v>
      </c>
      <c r="X676" s="4">
        <v>0</v>
      </c>
      <c r="Y676" t="s">
        <v>197</v>
      </c>
      <c r="Z676" s="3">
        <v>2633</v>
      </c>
      <c r="AA676">
        <v>0</v>
      </c>
      <c r="AB676">
        <v>0</v>
      </c>
      <c r="AC676">
        <v>0</v>
      </c>
      <c r="AD676" s="3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hidden="1" x14ac:dyDescent="0.25">
      <c r="A677" t="s">
        <v>95</v>
      </c>
      <c r="B677" s="1">
        <v>37574</v>
      </c>
      <c r="C677" t="s">
        <v>48</v>
      </c>
      <c r="D677" t="s">
        <v>49</v>
      </c>
      <c r="E677" s="2">
        <v>45840</v>
      </c>
      <c r="F677" t="s">
        <v>143</v>
      </c>
      <c r="G677" s="3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105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144</v>
      </c>
      <c r="W677" t="s">
        <v>145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hidden="1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202</v>
      </c>
      <c r="G678" t="s">
        <v>122</v>
      </c>
      <c r="H678" s="3">
        <v>2708.4</v>
      </c>
      <c r="I678" s="3">
        <v>2708.4</v>
      </c>
      <c r="J678">
        <v>0</v>
      </c>
      <c r="K678" s="3">
        <v>3114.66</v>
      </c>
      <c r="L678" s="3">
        <v>247.68</v>
      </c>
      <c r="M678" s="3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hidden="1" x14ac:dyDescent="0.25">
      <c r="A679" t="s">
        <v>47</v>
      </c>
      <c r="B679" s="1">
        <v>37576</v>
      </c>
      <c r="C679" t="s">
        <v>48</v>
      </c>
      <c r="D679" s="3" t="s">
        <v>49</v>
      </c>
      <c r="E679" s="2">
        <v>45840</v>
      </c>
      <c r="F679" t="s">
        <v>202</v>
      </c>
      <c r="G679" s="3" t="s">
        <v>122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 s="3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hidden="1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202</v>
      </c>
      <c r="G680" t="s">
        <v>122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 s="3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hidden="1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202</v>
      </c>
      <c r="G681" t="s">
        <v>122</v>
      </c>
      <c r="H681" s="3">
        <v>2708.4</v>
      </c>
      <c r="I681" s="3">
        <v>2708.4</v>
      </c>
      <c r="J681">
        <v>0</v>
      </c>
      <c r="K681" s="3">
        <v>3114.66</v>
      </c>
      <c r="L681" s="3">
        <v>247.68</v>
      </c>
      <c r="M681" s="3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hidden="1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202</v>
      </c>
      <c r="G682" s="3" t="s">
        <v>122</v>
      </c>
      <c r="H682" s="3">
        <v>2708.4</v>
      </c>
      <c r="I682" s="3">
        <v>2708.4</v>
      </c>
      <c r="J682">
        <v>0</v>
      </c>
      <c r="K682" s="3">
        <v>3114.66</v>
      </c>
      <c r="L682" s="3">
        <v>247.68</v>
      </c>
      <c r="M682" s="3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hidden="1" x14ac:dyDescent="0.25">
      <c r="A683" t="s">
        <v>95</v>
      </c>
      <c r="B683" s="1">
        <v>37524</v>
      </c>
      <c r="C683" t="s">
        <v>48</v>
      </c>
      <c r="D683" s="3" t="s">
        <v>49</v>
      </c>
      <c r="E683" s="2">
        <v>45841</v>
      </c>
      <c r="F683" t="s">
        <v>322</v>
      </c>
      <c r="G683" s="3" t="s">
        <v>108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  <c r="AK683" s="5"/>
    </row>
    <row r="684" spans="1:47" hidden="1" x14ac:dyDescent="0.25">
      <c r="A684" t="s">
        <v>63</v>
      </c>
      <c r="B684" s="1">
        <v>0</v>
      </c>
      <c r="C684">
        <v>0</v>
      </c>
      <c r="D684" s="3">
        <v>3431.25</v>
      </c>
      <c r="E684" s="2">
        <v>0</v>
      </c>
      <c r="F684">
        <v>0</v>
      </c>
      <c r="G684" s="3">
        <v>2250</v>
      </c>
      <c r="H684" s="3" t="s">
        <v>54</v>
      </c>
      <c r="I684" s="3" t="s">
        <v>59</v>
      </c>
      <c r="K684" s="3" t="s">
        <v>60</v>
      </c>
      <c r="L684" t="s">
        <v>60</v>
      </c>
      <c r="M684" s="3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  <c r="X684" s="4"/>
      <c r="AK684" s="5"/>
    </row>
    <row r="685" spans="1:47" hidden="1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296</v>
      </c>
      <c r="G685" s="3" t="s">
        <v>93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105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144</v>
      </c>
      <c r="W685" t="s">
        <v>101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hidden="1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 s="3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  <c r="AE686" s="3"/>
      <c r="AK686" s="5"/>
    </row>
    <row r="687" spans="1:47" hidden="1" x14ac:dyDescent="0.25">
      <c r="A687" t="s">
        <v>63</v>
      </c>
      <c r="B687" s="1">
        <v>132.25</v>
      </c>
      <c r="C687">
        <v>0</v>
      </c>
      <c r="D687">
        <v>916.2</v>
      </c>
      <c r="E687" s="2">
        <v>0</v>
      </c>
      <c r="F687">
        <v>0</v>
      </c>
      <c r="G687" s="3">
        <v>1350</v>
      </c>
      <c r="H687" s="3" t="s">
        <v>54</v>
      </c>
      <c r="I687" s="3" t="s">
        <v>59</v>
      </c>
      <c r="J687" t="s">
        <v>64</v>
      </c>
      <c r="K687" s="3" t="s">
        <v>73</v>
      </c>
      <c r="L687" s="3" t="s">
        <v>60</v>
      </c>
      <c r="M687" s="3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  <c r="X687" s="4"/>
      <c r="AD687" s="3"/>
      <c r="AE687" s="3"/>
      <c r="AK687" s="5"/>
    </row>
    <row r="688" spans="1:47" hidden="1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148</v>
      </c>
      <c r="G688" t="s">
        <v>66</v>
      </c>
      <c r="H688" s="3">
        <v>711</v>
      </c>
      <c r="I688" s="3">
        <v>711</v>
      </c>
      <c r="J688">
        <v>0</v>
      </c>
      <c r="K688" s="3">
        <v>817.65</v>
      </c>
      <c r="L688" s="3">
        <v>95.16</v>
      </c>
      <c r="M688" s="3">
        <v>59</v>
      </c>
      <c r="N688" t="s">
        <v>83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 s="3">
        <v>95.16</v>
      </c>
      <c r="AC688">
        <v>0</v>
      </c>
      <c r="AD688">
        <v>0</v>
      </c>
      <c r="AE688" s="3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hidden="1" x14ac:dyDescent="0.25">
      <c r="A689" t="s">
        <v>95</v>
      </c>
      <c r="B689" s="1">
        <v>37584</v>
      </c>
      <c r="C689" t="s">
        <v>48</v>
      </c>
      <c r="D689" s="3" t="s">
        <v>49</v>
      </c>
      <c r="E689" s="2">
        <v>45841</v>
      </c>
      <c r="F689" t="s">
        <v>411</v>
      </c>
      <c r="G689" s="3" t="s">
        <v>66</v>
      </c>
      <c r="H689" s="3">
        <v>540</v>
      </c>
      <c r="I689" s="3">
        <v>540</v>
      </c>
      <c r="J689">
        <v>0</v>
      </c>
      <c r="K689" s="3">
        <v>540</v>
      </c>
      <c r="L689">
        <v>87.5</v>
      </c>
      <c r="M689" s="3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94</v>
      </c>
      <c r="X689" s="4">
        <v>0</v>
      </c>
      <c r="Y689" t="s">
        <v>62</v>
      </c>
      <c r="AK689" s="5"/>
    </row>
    <row r="690" spans="1:47" hidden="1" x14ac:dyDescent="0.25">
      <c r="A690" t="s">
        <v>63</v>
      </c>
      <c r="B690" s="1">
        <v>87.5</v>
      </c>
      <c r="C690">
        <v>0</v>
      </c>
      <c r="D690">
        <v>0</v>
      </c>
      <c r="E690" s="2">
        <v>0</v>
      </c>
      <c r="F690">
        <v>0</v>
      </c>
      <c r="G690">
        <v>500</v>
      </c>
      <c r="H690" s="3" t="s">
        <v>54</v>
      </c>
      <c r="I690" s="3" t="s">
        <v>59</v>
      </c>
      <c r="K690" s="3" t="s">
        <v>60</v>
      </c>
      <c r="L690" s="3" t="s">
        <v>60</v>
      </c>
      <c r="M690" s="3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  <c r="X690" s="4"/>
      <c r="AB690" s="3"/>
      <c r="AE690" s="3"/>
      <c r="AK690" s="5"/>
    </row>
    <row r="691" spans="1:47" hidden="1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s="3" t="s">
        <v>153</v>
      </c>
      <c r="G691" s="3" t="s">
        <v>88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 s="3">
        <v>387.74</v>
      </c>
      <c r="N691" t="s">
        <v>105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144</v>
      </c>
      <c r="W691" t="s">
        <v>84</v>
      </c>
      <c r="X691" s="4">
        <v>0</v>
      </c>
      <c r="Y691" t="s">
        <v>62</v>
      </c>
      <c r="AB691" s="3"/>
      <c r="AE691" s="3"/>
      <c r="AK691" s="5"/>
    </row>
    <row r="692" spans="1:47" hidden="1" x14ac:dyDescent="0.25">
      <c r="A692" t="s">
        <v>63</v>
      </c>
      <c r="B692" s="1">
        <v>972</v>
      </c>
      <c r="C692">
        <v>0</v>
      </c>
      <c r="D692">
        <v>50.04</v>
      </c>
      <c r="E692" s="2">
        <v>0</v>
      </c>
      <c r="F692">
        <v>0</v>
      </c>
      <c r="G692" s="3">
        <v>1620</v>
      </c>
      <c r="H692" s="3" t="s">
        <v>54</v>
      </c>
      <c r="I692" s="3" t="s">
        <v>59</v>
      </c>
      <c r="J692" t="s">
        <v>147</v>
      </c>
      <c r="K692" s="3" t="s">
        <v>214</v>
      </c>
      <c r="L692" s="3" t="s">
        <v>73</v>
      </c>
      <c r="M692" s="3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  <c r="X692" s="4"/>
      <c r="Z692" s="3"/>
      <c r="AE692" s="3"/>
      <c r="AK692" s="5"/>
    </row>
    <row r="693" spans="1:47" hidden="1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203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 s="3">
        <v>513.54</v>
      </c>
      <c r="M693" s="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188</v>
      </c>
      <c r="X693" s="4">
        <v>0</v>
      </c>
      <c r="Y693" t="s">
        <v>62</v>
      </c>
      <c r="Z693" s="3"/>
      <c r="AE693" s="3"/>
      <c r="AK693" s="5"/>
    </row>
    <row r="694" spans="1:47" hidden="1" x14ac:dyDescent="0.25">
      <c r="A694" t="s">
        <v>63</v>
      </c>
      <c r="B694" s="1">
        <v>0</v>
      </c>
      <c r="C694">
        <v>0</v>
      </c>
      <c r="D694">
        <v>513.54</v>
      </c>
      <c r="E694" s="2">
        <v>0</v>
      </c>
      <c r="F694">
        <v>0</v>
      </c>
      <c r="G694">
        <v>270</v>
      </c>
      <c r="H694" s="3" t="s">
        <v>54</v>
      </c>
      <c r="I694" s="3" t="s">
        <v>59</v>
      </c>
      <c r="K694" s="3" t="s">
        <v>80</v>
      </c>
      <c r="L694" s="3" t="s">
        <v>73</v>
      </c>
      <c r="M694" s="3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  <c r="X694" s="4"/>
      <c r="Z694" s="3"/>
      <c r="AE694" s="3"/>
      <c r="AK694" s="5"/>
    </row>
    <row r="695" spans="1:47" hidden="1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107</v>
      </c>
      <c r="G695" t="s">
        <v>108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83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109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91</v>
      </c>
      <c r="AJ695" t="s">
        <v>91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hidden="1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323</v>
      </c>
      <c r="G696" t="s">
        <v>249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 s="3">
        <v>280.66000000000003</v>
      </c>
      <c r="N696" t="s">
        <v>83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115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hidden="1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148</v>
      </c>
      <c r="G697" t="s">
        <v>66</v>
      </c>
      <c r="H697" s="3">
        <v>402.5</v>
      </c>
      <c r="I697" s="3">
        <v>402.5</v>
      </c>
      <c r="J697">
        <v>0</v>
      </c>
      <c r="K697" s="3">
        <v>462.88</v>
      </c>
      <c r="L697" s="3">
        <v>54.4</v>
      </c>
      <c r="M697" s="3">
        <v>33.729999999999997</v>
      </c>
      <c r="N697" t="s">
        <v>83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hidden="1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205</v>
      </c>
      <c r="G698" s="3" t="s">
        <v>117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 s="3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115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206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hidden="1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146</v>
      </c>
      <c r="G699" t="s">
        <v>88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94</v>
      </c>
      <c r="X699" s="4">
        <v>0</v>
      </c>
      <c r="Y699" t="s">
        <v>62</v>
      </c>
      <c r="AE699" s="3"/>
      <c r="AK699" s="5"/>
    </row>
    <row r="700" spans="1:47" hidden="1" x14ac:dyDescent="0.25">
      <c r="A700" t="s">
        <v>63</v>
      </c>
      <c r="B700" s="3">
        <v>0</v>
      </c>
      <c r="C700">
        <v>0</v>
      </c>
      <c r="D700">
        <v>0</v>
      </c>
      <c r="E700" s="2">
        <v>0</v>
      </c>
      <c r="F700" s="3">
        <v>4010</v>
      </c>
      <c r="G700" s="3">
        <v>2000</v>
      </c>
      <c r="H700" s="3" t="s">
        <v>54</v>
      </c>
      <c r="I700" s="3" t="s">
        <v>59</v>
      </c>
      <c r="K700" s="3" t="s">
        <v>73</v>
      </c>
      <c r="L700" s="3" t="s">
        <v>73</v>
      </c>
      <c r="M700" s="3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  <c r="X700" s="4"/>
    </row>
    <row r="701" spans="1:47" hidden="1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s="3" t="s">
        <v>146</v>
      </c>
      <c r="G701" s="3" t="s">
        <v>88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94</v>
      </c>
      <c r="X701" s="4">
        <v>0</v>
      </c>
      <c r="Y701" t="s">
        <v>62</v>
      </c>
    </row>
    <row r="702" spans="1:47" hidden="1" x14ac:dyDescent="0.25">
      <c r="A702" t="s">
        <v>63</v>
      </c>
      <c r="B702" s="1">
        <v>0</v>
      </c>
      <c r="C702">
        <v>0</v>
      </c>
      <c r="D702">
        <v>0</v>
      </c>
      <c r="E702" s="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3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  <c r="X702" s="4"/>
    </row>
    <row r="703" spans="1:47" hidden="1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146</v>
      </c>
      <c r="G703" t="s">
        <v>88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94</v>
      </c>
      <c r="X703" s="4">
        <v>0</v>
      </c>
      <c r="Y703" t="s">
        <v>62</v>
      </c>
    </row>
    <row r="704" spans="1:47" hidden="1" x14ac:dyDescent="0.25">
      <c r="A704" t="s">
        <v>63</v>
      </c>
      <c r="B704" s="3">
        <v>0</v>
      </c>
      <c r="C704">
        <v>0</v>
      </c>
      <c r="D704">
        <v>0</v>
      </c>
      <c r="E704" s="2">
        <v>0</v>
      </c>
      <c r="F704" s="3">
        <v>4491.2</v>
      </c>
      <c r="G704" s="3">
        <v>2240</v>
      </c>
      <c r="H704" s="3" t="s">
        <v>54</v>
      </c>
      <c r="I704" s="3" t="s">
        <v>59</v>
      </c>
      <c r="K704" s="3" t="s">
        <v>73</v>
      </c>
      <c r="L704" s="3" t="s">
        <v>73</v>
      </c>
      <c r="M704" s="3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  <c r="Z704" s="3"/>
      <c r="AE704" s="3"/>
      <c r="AK704" s="5"/>
    </row>
    <row r="705" spans="1:47" hidden="1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146</v>
      </c>
      <c r="G705" t="s">
        <v>88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94</v>
      </c>
      <c r="X705" s="4">
        <v>0</v>
      </c>
      <c r="Y705" t="s">
        <v>62</v>
      </c>
    </row>
    <row r="706" spans="1:47" hidden="1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3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hidden="1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146</v>
      </c>
      <c r="G707" t="s">
        <v>88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94</v>
      </c>
      <c r="X707" s="4">
        <v>0</v>
      </c>
      <c r="Y707" t="s">
        <v>62</v>
      </c>
    </row>
    <row r="708" spans="1:47" hidden="1" x14ac:dyDescent="0.25">
      <c r="A708" t="s">
        <v>63</v>
      </c>
      <c r="B708">
        <v>0</v>
      </c>
      <c r="C708">
        <v>0</v>
      </c>
      <c r="D708" s="3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3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hidden="1" x14ac:dyDescent="0.25">
      <c r="A709" t="s">
        <v>95</v>
      </c>
      <c r="B709" s="1">
        <v>37597</v>
      </c>
      <c r="C709" t="s">
        <v>48</v>
      </c>
      <c r="D709" t="s">
        <v>49</v>
      </c>
      <c r="E709" s="2">
        <v>45846</v>
      </c>
      <c r="F709" t="s">
        <v>407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188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91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hidden="1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100</v>
      </c>
      <c r="G710" t="s">
        <v>93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 s="3">
        <v>370.49</v>
      </c>
      <c r="N710" t="s">
        <v>83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101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102</v>
      </c>
      <c r="AI710" t="s">
        <v>91</v>
      </c>
      <c r="AJ710" t="s">
        <v>91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hidden="1" x14ac:dyDescent="0.25">
      <c r="A711" t="s">
        <v>95</v>
      </c>
      <c r="B711" s="1">
        <v>37601</v>
      </c>
      <c r="C711" t="s">
        <v>48</v>
      </c>
      <c r="D711" t="s">
        <v>49</v>
      </c>
      <c r="E711" s="2">
        <v>45847</v>
      </c>
      <c r="F711" t="s">
        <v>324</v>
      </c>
      <c r="G711" t="s">
        <v>163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105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144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91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hidden="1" x14ac:dyDescent="0.25">
      <c r="A712" t="s">
        <v>47</v>
      </c>
      <c r="B712" s="1">
        <v>37603</v>
      </c>
      <c r="C712" t="s">
        <v>48</v>
      </c>
      <c r="D712" s="3" t="s">
        <v>49</v>
      </c>
      <c r="E712" s="2">
        <v>45847</v>
      </c>
      <c r="F712" t="s">
        <v>314</v>
      </c>
      <c r="G712" t="s">
        <v>93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 s="3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219</v>
      </c>
      <c r="X712" s="4">
        <v>0</v>
      </c>
      <c r="Y712" t="s">
        <v>62</v>
      </c>
    </row>
    <row r="713" spans="1:47" hidden="1" x14ac:dyDescent="0.25">
      <c r="A713" t="s">
        <v>63</v>
      </c>
      <c r="B713" s="1">
        <v>203</v>
      </c>
      <c r="C713">
        <v>0</v>
      </c>
      <c r="D713">
        <v>0</v>
      </c>
      <c r="E713" s="2">
        <v>0</v>
      </c>
      <c r="F713">
        <v>0</v>
      </c>
      <c r="G713">
        <v>500</v>
      </c>
      <c r="H713" s="3" t="s">
        <v>54</v>
      </c>
      <c r="I713" s="3" t="s">
        <v>59</v>
      </c>
      <c r="K713" s="3" t="s">
        <v>73</v>
      </c>
      <c r="L713" t="s">
        <v>91</v>
      </c>
      <c r="M713" s="3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  <c r="X713" s="4"/>
    </row>
    <row r="714" spans="1:47" hidden="1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325</v>
      </c>
      <c r="G714" t="s">
        <v>88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 s="3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198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178</v>
      </c>
      <c r="AI714" t="s">
        <v>91</v>
      </c>
      <c r="AJ714" t="s">
        <v>91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hidden="1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121</v>
      </c>
      <c r="G715" t="s">
        <v>122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 s="3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94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hidden="1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205</v>
      </c>
      <c r="G716" t="s">
        <v>117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 s="3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115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206</v>
      </c>
      <c r="AI716" t="s">
        <v>91</v>
      </c>
      <c r="AJ716" t="s">
        <v>91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hidden="1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92</v>
      </c>
      <c r="G717" t="s">
        <v>93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 s="3">
        <v>102.9</v>
      </c>
      <c r="N717" t="s">
        <v>83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94</v>
      </c>
      <c r="X717" s="4">
        <v>0</v>
      </c>
      <c r="Y717" t="s">
        <v>62</v>
      </c>
    </row>
    <row r="718" spans="1:47" hidden="1" x14ac:dyDescent="0.25">
      <c r="A718" t="s">
        <v>63</v>
      </c>
      <c r="B718" s="1">
        <v>0</v>
      </c>
      <c r="C718">
        <v>0</v>
      </c>
      <c r="D718">
        <v>165.96</v>
      </c>
      <c r="E718" s="2">
        <v>0</v>
      </c>
      <c r="F718">
        <v>0</v>
      </c>
      <c r="G718">
        <v>120</v>
      </c>
      <c r="H718" s="3" t="s">
        <v>54</v>
      </c>
      <c r="I718" s="3" t="s">
        <v>59</v>
      </c>
      <c r="K718" s="3" t="s">
        <v>73</v>
      </c>
      <c r="L718" s="3" t="s">
        <v>73</v>
      </c>
      <c r="M718" s="3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  <c r="X718" s="4"/>
      <c r="AD718" s="3"/>
      <c r="AE718" s="3"/>
      <c r="AK718" s="5"/>
    </row>
    <row r="719" spans="1:47" hidden="1" x14ac:dyDescent="0.25">
      <c r="A719" t="s">
        <v>95</v>
      </c>
      <c r="B719" s="1">
        <v>37608</v>
      </c>
      <c r="C719" t="s">
        <v>48</v>
      </c>
      <c r="D719" t="s">
        <v>49</v>
      </c>
      <c r="E719" s="2">
        <v>45847</v>
      </c>
      <c r="F719" t="s">
        <v>410</v>
      </c>
      <c r="G719" t="s">
        <v>117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 s="3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197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91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hidden="1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326</v>
      </c>
      <c r="G720" t="s">
        <v>93</v>
      </c>
      <c r="H720" s="3">
        <v>3180</v>
      </c>
      <c r="I720" s="3">
        <v>3180</v>
      </c>
      <c r="J720">
        <v>0</v>
      </c>
      <c r="K720" s="3">
        <v>3657</v>
      </c>
      <c r="L720" s="3">
        <v>523.20000000000005</v>
      </c>
      <c r="M720" s="3">
        <v>313.92</v>
      </c>
      <c r="N720" t="s">
        <v>327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115</v>
      </c>
      <c r="X720" s="4">
        <v>0</v>
      </c>
      <c r="Y720" t="s">
        <v>62</v>
      </c>
    </row>
    <row r="721" spans="1:47" hidden="1" x14ac:dyDescent="0.25">
      <c r="A721" t="s">
        <v>63</v>
      </c>
      <c r="B721" s="1">
        <v>0</v>
      </c>
      <c r="C721">
        <v>0</v>
      </c>
      <c r="D721">
        <v>523.20000000000005</v>
      </c>
      <c r="E721" s="2">
        <v>0</v>
      </c>
      <c r="F721">
        <v>0</v>
      </c>
      <c r="G721" s="3">
        <v>600</v>
      </c>
      <c r="H721" s="3" t="s">
        <v>54</v>
      </c>
      <c r="I721" s="3" t="s">
        <v>59</v>
      </c>
      <c r="K721" s="3" t="s">
        <v>91</v>
      </c>
      <c r="L721" t="s">
        <v>91</v>
      </c>
      <c r="M721" s="3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  <c r="X721" s="4"/>
    </row>
    <row r="722" spans="1:47" hidden="1" x14ac:dyDescent="0.25">
      <c r="A722" t="s">
        <v>95</v>
      </c>
      <c r="B722" s="1">
        <v>37610</v>
      </c>
      <c r="C722" t="s">
        <v>48</v>
      </c>
      <c r="D722" t="s">
        <v>49</v>
      </c>
      <c r="E722" s="2">
        <v>45848</v>
      </c>
      <c r="F722" t="s">
        <v>273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 s="3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94</v>
      </c>
      <c r="X722" s="4">
        <v>0</v>
      </c>
      <c r="Y722" t="s">
        <v>62</v>
      </c>
    </row>
    <row r="723" spans="1:47" hidden="1" x14ac:dyDescent="0.25">
      <c r="A723" t="s">
        <v>63</v>
      </c>
      <c r="B723" s="3">
        <v>1195</v>
      </c>
      <c r="C723">
        <v>0</v>
      </c>
      <c r="D723">
        <v>0</v>
      </c>
      <c r="E723" s="2">
        <v>0</v>
      </c>
      <c r="F723">
        <v>0</v>
      </c>
      <c r="G723" s="3">
        <v>1000</v>
      </c>
      <c r="H723" s="3" t="s">
        <v>54</v>
      </c>
      <c r="I723" s="3" t="s">
        <v>59</v>
      </c>
      <c r="K723" s="3" t="s">
        <v>91</v>
      </c>
      <c r="L723" s="3" t="s">
        <v>91</v>
      </c>
      <c r="M723" s="3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  <c r="X723" s="4"/>
    </row>
    <row r="724" spans="1:47" hidden="1" x14ac:dyDescent="0.25">
      <c r="A724" t="s">
        <v>95</v>
      </c>
      <c r="B724" s="1">
        <v>37611</v>
      </c>
      <c r="C724" t="s">
        <v>48</v>
      </c>
      <c r="D724" t="s">
        <v>49</v>
      </c>
      <c r="E724" s="2">
        <v>45848</v>
      </c>
      <c r="F724" s="3" t="s">
        <v>328</v>
      </c>
      <c r="G724" s="3" t="s">
        <v>208</v>
      </c>
      <c r="H724" s="3">
        <v>5275.7</v>
      </c>
      <c r="I724" s="3">
        <v>5275.7</v>
      </c>
      <c r="J724">
        <v>0</v>
      </c>
      <c r="K724" s="3">
        <v>5275.7</v>
      </c>
      <c r="L724" s="3">
        <v>671.71</v>
      </c>
      <c r="M724" s="3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113</v>
      </c>
      <c r="X724" s="4">
        <v>0</v>
      </c>
      <c r="Y724" t="s">
        <v>62</v>
      </c>
    </row>
    <row r="725" spans="1:47" hidden="1" x14ac:dyDescent="0.25">
      <c r="A725" t="s">
        <v>63</v>
      </c>
      <c r="B725" s="1">
        <v>433</v>
      </c>
      <c r="C725">
        <v>0</v>
      </c>
      <c r="D725">
        <v>0</v>
      </c>
      <c r="E725" s="2">
        <v>0</v>
      </c>
      <c r="F725">
        <v>238.71</v>
      </c>
      <c r="G725" s="3">
        <v>3530</v>
      </c>
      <c r="H725" s="3" t="s">
        <v>54</v>
      </c>
      <c r="I725" s="3" t="s">
        <v>59</v>
      </c>
      <c r="J725" t="s">
        <v>79</v>
      </c>
      <c r="K725" s="3" t="s">
        <v>80</v>
      </c>
      <c r="L725" t="s">
        <v>73</v>
      </c>
      <c r="M725" s="3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  <c r="X725" s="4"/>
    </row>
    <row r="726" spans="1:47" hidden="1" x14ac:dyDescent="0.25">
      <c r="A726" t="s">
        <v>95</v>
      </c>
      <c r="B726" s="1">
        <v>37612</v>
      </c>
      <c r="C726" t="s">
        <v>48</v>
      </c>
      <c r="D726" t="s">
        <v>49</v>
      </c>
      <c r="E726" s="2">
        <v>45848</v>
      </c>
      <c r="F726" t="s">
        <v>152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 s="3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94</v>
      </c>
      <c r="X726" s="4">
        <v>0</v>
      </c>
      <c r="Y726" t="s">
        <v>197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hidden="1" x14ac:dyDescent="0.25">
      <c r="A727" t="s">
        <v>95</v>
      </c>
      <c r="B727" s="1">
        <v>37613</v>
      </c>
      <c r="C727" t="s">
        <v>48</v>
      </c>
      <c r="D727" t="s">
        <v>49</v>
      </c>
      <c r="E727" s="2">
        <v>45848</v>
      </c>
      <c r="F727" t="s">
        <v>329</v>
      </c>
      <c r="G727" t="s">
        <v>330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105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91</v>
      </c>
      <c r="W727" t="s">
        <v>132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91</v>
      </c>
      <c r="AJ727" t="s">
        <v>91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hidden="1" x14ac:dyDescent="0.25">
      <c r="A728" t="s">
        <v>95</v>
      </c>
      <c r="B728" s="1">
        <v>37614</v>
      </c>
      <c r="C728" t="s">
        <v>48</v>
      </c>
      <c r="D728" t="s">
        <v>49</v>
      </c>
      <c r="E728" s="2">
        <v>45848</v>
      </c>
      <c r="F728" t="s">
        <v>329</v>
      </c>
      <c r="G728" t="s">
        <v>330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105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91</v>
      </c>
      <c r="W728" t="s">
        <v>132</v>
      </c>
      <c r="X728" s="4">
        <v>0</v>
      </c>
      <c r="Y728" t="s">
        <v>197</v>
      </c>
      <c r="Z728" s="3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91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hidden="1" x14ac:dyDescent="0.25">
      <c r="A729" t="s">
        <v>95</v>
      </c>
      <c r="B729" s="1">
        <v>37615</v>
      </c>
      <c r="C729" t="s">
        <v>48</v>
      </c>
      <c r="D729" t="s">
        <v>49</v>
      </c>
      <c r="E729" s="2">
        <v>45848</v>
      </c>
      <c r="F729" t="s">
        <v>329</v>
      </c>
      <c r="G729" t="s">
        <v>330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105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91</v>
      </c>
      <c r="W729" t="s">
        <v>132</v>
      </c>
      <c r="X729" s="4">
        <v>0</v>
      </c>
      <c r="Y729" t="s">
        <v>197</v>
      </c>
      <c r="Z729" s="3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91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hidden="1" x14ac:dyDescent="0.25">
      <c r="A730" t="s">
        <v>95</v>
      </c>
      <c r="B730" s="1">
        <v>37616</v>
      </c>
      <c r="C730" t="s">
        <v>48</v>
      </c>
      <c r="D730" t="s">
        <v>49</v>
      </c>
      <c r="E730" s="2">
        <v>45848</v>
      </c>
      <c r="F730" t="s">
        <v>329</v>
      </c>
      <c r="G730" t="s">
        <v>330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105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91</v>
      </c>
      <c r="W730" t="s">
        <v>132</v>
      </c>
      <c r="X730" s="4">
        <v>0</v>
      </c>
      <c r="Y730" t="s">
        <v>197</v>
      </c>
      <c r="Z730">
        <v>0</v>
      </c>
      <c r="AA730">
        <v>0</v>
      </c>
      <c r="AB730" s="3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91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hidden="1" x14ac:dyDescent="0.25">
      <c r="A731" t="s">
        <v>95</v>
      </c>
      <c r="B731" s="1">
        <v>37617</v>
      </c>
      <c r="C731" t="s">
        <v>48</v>
      </c>
      <c r="D731" t="s">
        <v>49</v>
      </c>
      <c r="E731" s="2">
        <v>45848</v>
      </c>
      <c r="F731" t="s">
        <v>329</v>
      </c>
      <c r="G731" t="s">
        <v>330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105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91</v>
      </c>
      <c r="W731" t="s">
        <v>132</v>
      </c>
      <c r="X731" s="4">
        <v>0</v>
      </c>
      <c r="Y731" t="s">
        <v>197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91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hidden="1" x14ac:dyDescent="0.25">
      <c r="A732" t="s">
        <v>95</v>
      </c>
      <c r="B732" s="1">
        <v>37618</v>
      </c>
      <c r="C732" t="s">
        <v>48</v>
      </c>
      <c r="D732" t="s">
        <v>49</v>
      </c>
      <c r="E732" s="2">
        <v>45848</v>
      </c>
      <c r="F732" t="s">
        <v>123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 s="3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hidden="1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110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 s="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94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hidden="1" x14ac:dyDescent="0.25">
      <c r="A734" t="s">
        <v>95</v>
      </c>
      <c r="B734" s="1">
        <v>37621</v>
      </c>
      <c r="C734" t="s">
        <v>48</v>
      </c>
      <c r="D734" t="s">
        <v>49</v>
      </c>
      <c r="E734" s="2">
        <v>45848</v>
      </c>
      <c r="F734" t="s">
        <v>331</v>
      </c>
      <c r="G734" t="s">
        <v>136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 s="3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160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332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hidden="1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148</v>
      </c>
      <c r="G735" s="3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 s="3">
        <v>133.97999999999999</v>
      </c>
      <c r="N735" t="s">
        <v>83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hidden="1" x14ac:dyDescent="0.25">
      <c r="A736" t="s">
        <v>95</v>
      </c>
      <c r="B736" s="1">
        <v>37625</v>
      </c>
      <c r="C736" t="s">
        <v>48</v>
      </c>
      <c r="D736" t="s">
        <v>49</v>
      </c>
      <c r="E736" s="2">
        <v>45849</v>
      </c>
      <c r="F736" t="s">
        <v>300</v>
      </c>
      <c r="G736" t="s">
        <v>93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 s="3">
        <v>346.3</v>
      </c>
      <c r="N736" t="s">
        <v>105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144</v>
      </c>
      <c r="W736" t="s">
        <v>220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142</v>
      </c>
      <c r="AI736" t="s">
        <v>214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hidden="1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100</v>
      </c>
      <c r="G737" s="3" t="s">
        <v>93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83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101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102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hidden="1" x14ac:dyDescent="0.25">
      <c r="A738" t="s">
        <v>95</v>
      </c>
      <c r="B738" s="1">
        <v>37628</v>
      </c>
      <c r="C738" t="s">
        <v>48</v>
      </c>
      <c r="D738" t="s">
        <v>49</v>
      </c>
      <c r="E738" s="2">
        <v>45849</v>
      </c>
      <c r="F738" t="s">
        <v>300</v>
      </c>
      <c r="G738" t="s">
        <v>93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 s="3">
        <v>680.8</v>
      </c>
      <c r="N738" t="s">
        <v>105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144</v>
      </c>
      <c r="W738" t="s">
        <v>220</v>
      </c>
      <c r="X738" s="4">
        <v>0</v>
      </c>
      <c r="Y738" t="s">
        <v>58</v>
      </c>
      <c r="Z738" s="3">
        <v>2002.34</v>
      </c>
      <c r="AA738">
        <v>0</v>
      </c>
      <c r="AB738" s="3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142</v>
      </c>
      <c r="AI738" t="s">
        <v>214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hidden="1" x14ac:dyDescent="0.25">
      <c r="A739" t="s">
        <v>95</v>
      </c>
      <c r="B739" s="1">
        <v>37629</v>
      </c>
      <c r="C739" t="s">
        <v>48</v>
      </c>
      <c r="D739" t="s">
        <v>49</v>
      </c>
      <c r="E739" s="2">
        <v>45849</v>
      </c>
      <c r="F739" t="s">
        <v>226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  <c r="AB739" s="3"/>
      <c r="AK739" s="5"/>
    </row>
    <row r="740" spans="1:47" hidden="1" x14ac:dyDescent="0.25">
      <c r="A740" t="s">
        <v>63</v>
      </c>
      <c r="B740" s="1">
        <v>0</v>
      </c>
      <c r="C740">
        <v>0</v>
      </c>
      <c r="D740" s="3">
        <v>2020.9</v>
      </c>
      <c r="E740" s="2">
        <v>0</v>
      </c>
      <c r="F740">
        <v>179.4</v>
      </c>
      <c r="G740" s="3">
        <v>2370</v>
      </c>
      <c r="H740" s="3" t="s">
        <v>54</v>
      </c>
      <c r="I740" s="3" t="s">
        <v>59</v>
      </c>
      <c r="K740" s="3" t="s">
        <v>80</v>
      </c>
      <c r="L740" s="3" t="s">
        <v>73</v>
      </c>
      <c r="M740" s="3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  <c r="X740" s="4"/>
    </row>
    <row r="741" spans="1:47" hidden="1" x14ac:dyDescent="0.25">
      <c r="A741" t="s">
        <v>95</v>
      </c>
      <c r="B741" s="1">
        <v>37631</v>
      </c>
      <c r="C741" t="s">
        <v>48</v>
      </c>
      <c r="D741" t="s">
        <v>49</v>
      </c>
      <c r="E741" s="2">
        <v>45852</v>
      </c>
      <c r="F741" t="s">
        <v>333</v>
      </c>
      <c r="G741" s="3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132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hidden="1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157</v>
      </c>
      <c r="G742" t="s">
        <v>108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158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hidden="1" x14ac:dyDescent="0.25">
      <c r="A743" t="s">
        <v>95</v>
      </c>
      <c r="B743" s="1">
        <v>37633</v>
      </c>
      <c r="C743" t="s">
        <v>48</v>
      </c>
      <c r="D743" t="s">
        <v>49</v>
      </c>
      <c r="E743" s="2">
        <v>45852</v>
      </c>
      <c r="F743" t="s">
        <v>179</v>
      </c>
      <c r="G743" s="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132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hidden="1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 s="3">
        <v>696.6</v>
      </c>
      <c r="M744" s="3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  <c r="AB744" s="3"/>
      <c r="AE744" s="3"/>
      <c r="AK744" s="5"/>
    </row>
    <row r="745" spans="1:47" hidden="1" x14ac:dyDescent="0.25">
      <c r="A745" t="s">
        <v>63</v>
      </c>
      <c r="B745" s="1">
        <v>654.6</v>
      </c>
      <c r="C745">
        <v>0</v>
      </c>
      <c r="D745">
        <v>0</v>
      </c>
      <c r="E745" s="2">
        <v>0</v>
      </c>
      <c r="F745">
        <v>42</v>
      </c>
      <c r="G745" s="3">
        <v>1100</v>
      </c>
      <c r="H745" s="3" t="s">
        <v>54</v>
      </c>
      <c r="I745" s="3" t="s">
        <v>59</v>
      </c>
      <c r="K745" s="3" t="s">
        <v>73</v>
      </c>
      <c r="L745" s="3" t="s">
        <v>73</v>
      </c>
      <c r="M745" s="3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  <c r="X745" s="4"/>
      <c r="AB745" s="3"/>
      <c r="AE745" s="3"/>
      <c r="AK745" s="5"/>
    </row>
    <row r="746" spans="1:47" hidden="1" x14ac:dyDescent="0.25">
      <c r="A746" t="s">
        <v>95</v>
      </c>
      <c r="B746" s="1">
        <v>37635</v>
      </c>
      <c r="C746" t="s">
        <v>48</v>
      </c>
      <c r="D746" s="3" t="s">
        <v>49</v>
      </c>
      <c r="E746" s="2">
        <v>45853</v>
      </c>
      <c r="F746" t="s">
        <v>152</v>
      </c>
      <c r="G746" s="3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 s="3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196</v>
      </c>
      <c r="AK746" s="5"/>
    </row>
    <row r="747" spans="1:47" hidden="1" x14ac:dyDescent="0.25">
      <c r="A747" t="s">
        <v>197</v>
      </c>
      <c r="B747" s="1">
        <v>0</v>
      </c>
      <c r="C747">
        <v>0</v>
      </c>
      <c r="D747">
        <v>0</v>
      </c>
      <c r="E747" s="2">
        <v>0</v>
      </c>
      <c r="F747" s="3">
        <v>1152</v>
      </c>
      <c r="G747" s="3">
        <v>2000</v>
      </c>
      <c r="H747" s="3" t="s">
        <v>54</v>
      </c>
      <c r="I747" s="3" t="s">
        <v>59</v>
      </c>
      <c r="K747" s="3" t="s">
        <v>60</v>
      </c>
      <c r="L747" s="3" t="s">
        <v>60</v>
      </c>
      <c r="M747" s="3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  <c r="X747" s="4"/>
      <c r="AK747" s="5"/>
    </row>
    <row r="748" spans="1:47" hidden="1" x14ac:dyDescent="0.25">
      <c r="A748" t="s">
        <v>95</v>
      </c>
      <c r="B748" s="1">
        <v>37636</v>
      </c>
      <c r="C748" t="s">
        <v>48</v>
      </c>
      <c r="D748" s="3" t="s">
        <v>49</v>
      </c>
      <c r="E748" s="2">
        <v>45853</v>
      </c>
      <c r="F748" t="s">
        <v>162</v>
      </c>
      <c r="G748" s="3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 s="3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151</v>
      </c>
      <c r="X748" s="4">
        <v>0</v>
      </c>
      <c r="Y748" t="s">
        <v>58</v>
      </c>
      <c r="Z748">
        <v>0</v>
      </c>
      <c r="AA748" s="3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hidden="1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166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 s="3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132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hidden="1" x14ac:dyDescent="0.25">
      <c r="A750" t="s">
        <v>95</v>
      </c>
      <c r="B750" s="1">
        <v>37638</v>
      </c>
      <c r="C750" t="s">
        <v>48</v>
      </c>
      <c r="D750" t="s">
        <v>49</v>
      </c>
      <c r="E750" s="2">
        <v>45853</v>
      </c>
      <c r="F750" t="s">
        <v>183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 s="3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334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hidden="1" x14ac:dyDescent="0.25">
      <c r="A751" t="s">
        <v>134</v>
      </c>
      <c r="B751" s="1">
        <v>37639</v>
      </c>
      <c r="C751" t="s">
        <v>48</v>
      </c>
      <c r="D751" t="s">
        <v>49</v>
      </c>
      <c r="E751" s="2">
        <v>45853</v>
      </c>
      <c r="F751" t="s">
        <v>236</v>
      </c>
      <c r="G751" t="s">
        <v>237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83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160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hidden="1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131</v>
      </c>
      <c r="G752" t="s">
        <v>88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 s="3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132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hidden="1" x14ac:dyDescent="0.25">
      <c r="A753" t="s">
        <v>95</v>
      </c>
      <c r="B753" s="1">
        <v>37641</v>
      </c>
      <c r="C753" t="s">
        <v>48</v>
      </c>
      <c r="D753" t="s">
        <v>49</v>
      </c>
      <c r="E753" s="2">
        <v>45853</v>
      </c>
      <c r="F753" t="s">
        <v>405</v>
      </c>
      <c r="G753" t="s">
        <v>88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 s="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406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147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hidden="1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239</v>
      </c>
      <c r="G754" t="s">
        <v>240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83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hidden="1" x14ac:dyDescent="0.25">
      <c r="A755" t="s">
        <v>58</v>
      </c>
      <c r="B755" s="3">
        <v>3025.25</v>
      </c>
      <c r="C755">
        <v>0</v>
      </c>
      <c r="D755">
        <v>0</v>
      </c>
      <c r="E755" s="2">
        <v>0</v>
      </c>
      <c r="F755">
        <v>862</v>
      </c>
      <c r="G755" s="3">
        <v>10250</v>
      </c>
      <c r="H755" s="3" t="s">
        <v>54</v>
      </c>
      <c r="I755" s="3" t="s">
        <v>59</v>
      </c>
      <c r="K755" s="3" t="s">
        <v>73</v>
      </c>
      <c r="L755" s="3" t="s">
        <v>73</v>
      </c>
      <c r="M755" s="3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  <c r="X755" s="4"/>
    </row>
    <row r="756" spans="1:47" hidden="1" x14ac:dyDescent="0.25">
      <c r="A756" t="s">
        <v>47</v>
      </c>
      <c r="B756" s="1">
        <v>37644</v>
      </c>
      <c r="C756" t="s">
        <v>48</v>
      </c>
      <c r="D756" s="3" t="s">
        <v>49</v>
      </c>
      <c r="E756" s="2">
        <v>45853</v>
      </c>
      <c r="F756" t="s">
        <v>239</v>
      </c>
      <c r="G756" s="3" t="s">
        <v>240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83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hidden="1" x14ac:dyDescent="0.25">
      <c r="A757" t="s">
        <v>58</v>
      </c>
      <c r="B757" s="3">
        <v>3025.25</v>
      </c>
      <c r="C757">
        <v>0</v>
      </c>
      <c r="D757">
        <v>0</v>
      </c>
      <c r="E757" s="2">
        <v>0</v>
      </c>
      <c r="F757" s="3">
        <v>862</v>
      </c>
      <c r="G757" s="3">
        <v>10250</v>
      </c>
      <c r="H757" s="3" t="s">
        <v>54</v>
      </c>
      <c r="I757" s="3" t="s">
        <v>59</v>
      </c>
      <c r="K757" s="3" t="s">
        <v>73</v>
      </c>
      <c r="L757" s="3" t="s">
        <v>73</v>
      </c>
      <c r="M757" s="3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  <c r="X757" s="4"/>
    </row>
    <row r="758" spans="1:47" hidden="1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231</v>
      </c>
      <c r="G758" s="3" t="s">
        <v>108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 s="3">
        <v>192.34</v>
      </c>
      <c r="N758" t="s">
        <v>83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  <c r="AK758" s="5"/>
    </row>
    <row r="759" spans="1:47" hidden="1" x14ac:dyDescent="0.25">
      <c r="A759" t="s">
        <v>63</v>
      </c>
      <c r="B759" s="1">
        <v>530</v>
      </c>
      <c r="C759">
        <v>0</v>
      </c>
      <c r="D759">
        <v>0</v>
      </c>
      <c r="E759" s="2">
        <v>0</v>
      </c>
      <c r="F759">
        <v>0</v>
      </c>
      <c r="G759" s="3">
        <v>2000</v>
      </c>
      <c r="H759" s="3" t="s">
        <v>54</v>
      </c>
      <c r="I759" s="3" t="s">
        <v>59</v>
      </c>
      <c r="K759" s="3" t="s">
        <v>73</v>
      </c>
      <c r="L759" s="3" t="s">
        <v>73</v>
      </c>
      <c r="M759" s="3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  <c r="X759" s="4"/>
      <c r="AB759" s="3"/>
      <c r="AE759" s="3"/>
      <c r="AK759" s="5"/>
    </row>
    <row r="760" spans="1:47" hidden="1" x14ac:dyDescent="0.25">
      <c r="A760" t="s">
        <v>95</v>
      </c>
      <c r="B760" s="1">
        <v>37648</v>
      </c>
      <c r="C760" t="s">
        <v>48</v>
      </c>
      <c r="D760" t="s">
        <v>49</v>
      </c>
      <c r="E760" s="2">
        <v>45854</v>
      </c>
      <c r="F760" t="s">
        <v>410</v>
      </c>
      <c r="G760" t="s">
        <v>117</v>
      </c>
      <c r="H760" s="3">
        <v>484</v>
      </c>
      <c r="I760" s="3">
        <v>484</v>
      </c>
      <c r="J760">
        <v>0</v>
      </c>
      <c r="K760" s="3">
        <v>484</v>
      </c>
      <c r="L760" s="3">
        <v>129.80000000000001</v>
      </c>
      <c r="M760" s="3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197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hidden="1" x14ac:dyDescent="0.25">
      <c r="A761" t="s">
        <v>95</v>
      </c>
      <c r="B761" s="1">
        <v>37649</v>
      </c>
      <c r="C761" t="s">
        <v>48</v>
      </c>
      <c r="D761" t="s">
        <v>49</v>
      </c>
      <c r="E761" s="2">
        <v>45854</v>
      </c>
      <c r="F761" s="3" t="s">
        <v>412</v>
      </c>
      <c r="G761" s="3" t="s">
        <v>117</v>
      </c>
      <c r="H761" s="3">
        <v>1389</v>
      </c>
      <c r="I761" s="3">
        <v>1389</v>
      </c>
      <c r="J761">
        <v>0</v>
      </c>
      <c r="K761" s="3">
        <v>1389</v>
      </c>
      <c r="L761" s="3">
        <v>361.5</v>
      </c>
      <c r="M761" s="3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94</v>
      </c>
      <c r="X761" s="4">
        <v>0</v>
      </c>
      <c r="Y761" t="s">
        <v>62</v>
      </c>
      <c r="AA761" s="3"/>
      <c r="AE761" s="3"/>
      <c r="AK761" s="5"/>
    </row>
    <row r="762" spans="1:47" hidden="1" x14ac:dyDescent="0.25">
      <c r="A762" t="s">
        <v>63</v>
      </c>
      <c r="B762" s="1">
        <v>361.5</v>
      </c>
      <c r="C762">
        <v>0</v>
      </c>
      <c r="D762">
        <v>0</v>
      </c>
      <c r="E762" s="2">
        <v>0</v>
      </c>
      <c r="F762">
        <v>0</v>
      </c>
      <c r="G762">
        <v>900</v>
      </c>
      <c r="H762" s="3" t="s">
        <v>54</v>
      </c>
      <c r="I762" s="3" t="s">
        <v>59</v>
      </c>
      <c r="K762" s="3" t="s">
        <v>73</v>
      </c>
      <c r="L762" s="3" t="s">
        <v>73</v>
      </c>
      <c r="M762" s="3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  <c r="X762" s="4"/>
      <c r="AA762" s="3"/>
      <c r="AK762" s="5"/>
    </row>
    <row r="763" spans="1:47" hidden="1" x14ac:dyDescent="0.25">
      <c r="A763" t="s">
        <v>95</v>
      </c>
      <c r="B763" s="1">
        <v>37650</v>
      </c>
      <c r="C763" t="s">
        <v>48</v>
      </c>
      <c r="D763" t="s">
        <v>49</v>
      </c>
      <c r="E763" s="2">
        <v>45855</v>
      </c>
      <c r="F763" t="s">
        <v>274</v>
      </c>
      <c r="G763" s="3" t="s">
        <v>155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105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144</v>
      </c>
      <c r="W763" t="s">
        <v>129</v>
      </c>
      <c r="X763" s="4">
        <v>0</v>
      </c>
      <c r="Y763" t="s">
        <v>62</v>
      </c>
      <c r="AA763" s="3"/>
      <c r="AK763" s="5"/>
    </row>
    <row r="764" spans="1:47" hidden="1" x14ac:dyDescent="0.25">
      <c r="A764" t="s">
        <v>63</v>
      </c>
      <c r="B764" s="3">
        <v>3019</v>
      </c>
      <c r="C764">
        <v>0</v>
      </c>
      <c r="D764">
        <v>0</v>
      </c>
      <c r="E764" s="2">
        <v>0</v>
      </c>
      <c r="F764">
        <v>0</v>
      </c>
      <c r="G764" s="3">
        <v>6000</v>
      </c>
      <c r="H764" s="3" t="s">
        <v>54</v>
      </c>
      <c r="I764" s="3" t="s">
        <v>59</v>
      </c>
      <c r="J764" t="s">
        <v>235</v>
      </c>
      <c r="K764" s="3" t="s">
        <v>73</v>
      </c>
      <c r="L764" s="3" t="s">
        <v>73</v>
      </c>
      <c r="M764" s="3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  <c r="X764" s="4"/>
      <c r="AA764" s="3"/>
      <c r="AK764" s="5"/>
    </row>
    <row r="765" spans="1:47" hidden="1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 s="3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hidden="1" x14ac:dyDescent="0.25">
      <c r="A766" t="s">
        <v>95</v>
      </c>
      <c r="B766" s="1">
        <v>37652</v>
      </c>
      <c r="C766" t="s">
        <v>48</v>
      </c>
      <c r="D766" t="s">
        <v>49</v>
      </c>
      <c r="E766" s="2">
        <v>45856</v>
      </c>
      <c r="F766" t="s">
        <v>335</v>
      </c>
      <c r="G766" s="3" t="s">
        <v>66</v>
      </c>
      <c r="H766" s="3">
        <v>240</v>
      </c>
      <c r="I766" s="3">
        <v>240</v>
      </c>
      <c r="J766">
        <v>0</v>
      </c>
      <c r="K766" s="3">
        <v>240</v>
      </c>
      <c r="L766">
        <v>41.07</v>
      </c>
      <c r="M766" s="3">
        <v>19.3</v>
      </c>
      <c r="N766" t="s">
        <v>105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144</v>
      </c>
      <c r="W766" t="s">
        <v>220</v>
      </c>
      <c r="X766" s="4">
        <v>0</v>
      </c>
      <c r="Y766" t="s">
        <v>62</v>
      </c>
      <c r="AK766" s="5"/>
    </row>
    <row r="767" spans="1:47" hidden="1" x14ac:dyDescent="0.25">
      <c r="A767" t="s">
        <v>63</v>
      </c>
      <c r="B767" s="1">
        <v>0</v>
      </c>
      <c r="C767">
        <v>0</v>
      </c>
      <c r="D767">
        <v>0</v>
      </c>
      <c r="E767" s="2">
        <v>0</v>
      </c>
      <c r="F767">
        <v>41.07</v>
      </c>
      <c r="G767">
        <v>30</v>
      </c>
      <c r="H767" s="3" t="s">
        <v>54</v>
      </c>
      <c r="I767" s="3" t="s">
        <v>59</v>
      </c>
      <c r="K767" s="3" t="s">
        <v>214</v>
      </c>
      <c r="L767" s="3" t="s">
        <v>73</v>
      </c>
      <c r="M767" s="3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  <c r="X767" s="4"/>
      <c r="AA767" s="3"/>
      <c r="AD767" s="3"/>
      <c r="AE767" s="3"/>
      <c r="AK767" s="5"/>
    </row>
    <row r="768" spans="1:47" hidden="1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336</v>
      </c>
      <c r="G768" t="s">
        <v>112</v>
      </c>
      <c r="H768" s="3">
        <v>4199</v>
      </c>
      <c r="I768" s="3">
        <v>4199</v>
      </c>
      <c r="J768">
        <v>0</v>
      </c>
      <c r="K768" s="3">
        <v>4828.8500000000004</v>
      </c>
      <c r="L768" s="3">
        <v>741.2</v>
      </c>
      <c r="M768" s="3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94</v>
      </c>
      <c r="X768" s="4">
        <v>0</v>
      </c>
      <c r="Y768" t="s">
        <v>62</v>
      </c>
      <c r="Z768" s="3"/>
      <c r="AA768" s="3"/>
      <c r="AD768" s="3"/>
      <c r="AE768" s="3"/>
      <c r="AK768" s="5"/>
    </row>
    <row r="769" spans="1:47" hidden="1" x14ac:dyDescent="0.25">
      <c r="A769" t="s">
        <v>63</v>
      </c>
      <c r="B769" s="1">
        <v>741.2</v>
      </c>
      <c r="C769">
        <v>0</v>
      </c>
      <c r="D769">
        <v>0</v>
      </c>
      <c r="E769" s="2">
        <v>0</v>
      </c>
      <c r="F769">
        <v>0</v>
      </c>
      <c r="G769" s="3">
        <v>1700</v>
      </c>
      <c r="H769" s="3" t="s">
        <v>54</v>
      </c>
      <c r="I769" s="3" t="s">
        <v>59</v>
      </c>
      <c r="K769" s="3" t="s">
        <v>73</v>
      </c>
      <c r="L769" s="3" t="s">
        <v>60</v>
      </c>
      <c r="M769" s="3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  <c r="X769" s="4"/>
      <c r="Z769" s="3"/>
      <c r="AE769" s="3"/>
      <c r="AK769" s="5"/>
    </row>
    <row r="770" spans="1:47" hidden="1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285</v>
      </c>
      <c r="G770" t="s">
        <v>69</v>
      </c>
      <c r="H770" s="3">
        <v>300</v>
      </c>
      <c r="I770" s="3">
        <v>300</v>
      </c>
      <c r="J770">
        <v>0</v>
      </c>
      <c r="K770" s="3">
        <v>345</v>
      </c>
      <c r="L770" s="3">
        <v>49.2</v>
      </c>
      <c r="M770" s="3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286</v>
      </c>
      <c r="X770" s="4">
        <v>0</v>
      </c>
      <c r="Y770" t="s">
        <v>62</v>
      </c>
      <c r="Z770" s="3"/>
      <c r="AE770" s="3"/>
      <c r="AK770" s="5"/>
    </row>
    <row r="771" spans="1:47" hidden="1" x14ac:dyDescent="0.25">
      <c r="A771" t="s">
        <v>63</v>
      </c>
      <c r="B771" s="1">
        <v>49.2</v>
      </c>
      <c r="C771">
        <v>0</v>
      </c>
      <c r="D771">
        <v>0</v>
      </c>
      <c r="E771" s="2">
        <v>0</v>
      </c>
      <c r="F771">
        <v>0</v>
      </c>
      <c r="G771">
        <v>50</v>
      </c>
      <c r="H771" s="3" t="s">
        <v>54</v>
      </c>
      <c r="I771" s="3" t="s">
        <v>59</v>
      </c>
      <c r="K771" s="3" t="s">
        <v>80</v>
      </c>
      <c r="L771" s="3" t="s">
        <v>91</v>
      </c>
      <c r="M771" s="3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  <c r="X771" s="4"/>
      <c r="Z771" s="3"/>
      <c r="AE771" s="3"/>
      <c r="AK771" s="5"/>
    </row>
    <row r="772" spans="1:47" hidden="1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337</v>
      </c>
      <c r="G772" t="s">
        <v>93</v>
      </c>
      <c r="H772" s="3">
        <v>5712</v>
      </c>
      <c r="I772" s="3">
        <v>5712</v>
      </c>
      <c r="J772">
        <v>0</v>
      </c>
      <c r="K772" s="3">
        <v>6568.8</v>
      </c>
      <c r="L772" s="3">
        <v>991.2</v>
      </c>
      <c r="M772" s="3">
        <v>579.85</v>
      </c>
      <c r="N772" t="s">
        <v>105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144</v>
      </c>
      <c r="W772" t="s">
        <v>132</v>
      </c>
      <c r="X772" s="4">
        <v>0</v>
      </c>
      <c r="Y772" t="s">
        <v>58</v>
      </c>
      <c r="Z772" s="3">
        <v>0</v>
      </c>
      <c r="AA772">
        <v>0</v>
      </c>
      <c r="AB772" s="3">
        <v>991.2</v>
      </c>
      <c r="AC772">
        <v>0</v>
      </c>
      <c r="AD772">
        <v>0</v>
      </c>
      <c r="AE772" s="3">
        <v>800</v>
      </c>
      <c r="AF772" t="s">
        <v>54</v>
      </c>
      <c r="AG772" t="s">
        <v>59</v>
      </c>
      <c r="AI772" t="s">
        <v>214</v>
      </c>
      <c r="AJ772" t="s">
        <v>91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hidden="1" x14ac:dyDescent="0.25">
      <c r="A773" t="s">
        <v>95</v>
      </c>
      <c r="B773" s="1">
        <v>37657</v>
      </c>
      <c r="C773" t="s">
        <v>48</v>
      </c>
      <c r="D773" t="s">
        <v>49</v>
      </c>
      <c r="E773" s="2">
        <v>45856</v>
      </c>
      <c r="F773" t="s">
        <v>159</v>
      </c>
      <c r="G773" t="s">
        <v>66</v>
      </c>
      <c r="H773" s="3">
        <v>682</v>
      </c>
      <c r="I773" s="3">
        <v>682</v>
      </c>
      <c r="J773">
        <v>0</v>
      </c>
      <c r="K773" s="3">
        <v>682</v>
      </c>
      <c r="L773" s="3">
        <v>117</v>
      </c>
      <c r="M773" s="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141</v>
      </c>
      <c r="X773" s="4">
        <v>0</v>
      </c>
      <c r="Z773" s="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hidden="1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338</v>
      </c>
      <c r="G774" t="s">
        <v>339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 s="3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  <c r="Z774" s="3"/>
      <c r="AE774" s="3"/>
      <c r="AK774" s="5"/>
    </row>
    <row r="775" spans="1:47" hidden="1" x14ac:dyDescent="0.25">
      <c r="A775" t="s">
        <v>63</v>
      </c>
      <c r="B775" s="3">
        <v>2156</v>
      </c>
      <c r="C775">
        <v>0</v>
      </c>
      <c r="D775">
        <v>0</v>
      </c>
      <c r="E775" s="2">
        <v>0</v>
      </c>
      <c r="F775">
        <v>0</v>
      </c>
      <c r="G775" s="3">
        <v>6000</v>
      </c>
      <c r="H775" s="3" t="s">
        <v>54</v>
      </c>
      <c r="I775" s="3" t="s">
        <v>59</v>
      </c>
      <c r="K775" s="3" t="s">
        <v>60</v>
      </c>
      <c r="L775" s="3" t="s">
        <v>60</v>
      </c>
      <c r="M775" s="3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  <c r="X775" s="4"/>
      <c r="Z775" s="3"/>
      <c r="AK775" s="5"/>
    </row>
    <row r="776" spans="1:47" hidden="1" x14ac:dyDescent="0.25">
      <c r="A776" t="s">
        <v>95</v>
      </c>
      <c r="B776" s="1">
        <v>37659</v>
      </c>
      <c r="C776" t="s">
        <v>48</v>
      </c>
      <c r="D776" t="s">
        <v>49</v>
      </c>
      <c r="E776" s="2">
        <v>45856</v>
      </c>
      <c r="F776" t="s">
        <v>331</v>
      </c>
      <c r="G776" t="s">
        <v>136</v>
      </c>
      <c r="H776" s="3">
        <v>5418</v>
      </c>
      <c r="I776" s="3">
        <v>5418</v>
      </c>
      <c r="J776">
        <v>0</v>
      </c>
      <c r="K776" s="3">
        <v>5418</v>
      </c>
      <c r="L776" s="3">
        <v>996</v>
      </c>
      <c r="M776" s="3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160</v>
      </c>
      <c r="X776" s="4">
        <v>0</v>
      </c>
      <c r="Y776" t="s">
        <v>58</v>
      </c>
      <c r="Z776" s="3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332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hidden="1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110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 s="3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94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hidden="1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253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 s="3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  <c r="AE778" s="3"/>
      <c r="AK778" s="5"/>
    </row>
    <row r="779" spans="1:47" hidden="1" x14ac:dyDescent="0.25">
      <c r="A779" t="s">
        <v>63</v>
      </c>
      <c r="B779" s="1">
        <v>0</v>
      </c>
      <c r="C779">
        <v>0</v>
      </c>
      <c r="D779">
        <v>0</v>
      </c>
      <c r="E779" s="2">
        <v>0</v>
      </c>
      <c r="F779">
        <v>410.75</v>
      </c>
      <c r="G779">
        <v>600</v>
      </c>
      <c r="H779" s="3" t="s">
        <v>54</v>
      </c>
      <c r="I779" s="3" t="s">
        <v>59</v>
      </c>
      <c r="K779" s="3" t="s">
        <v>80</v>
      </c>
      <c r="L779" s="3" t="s">
        <v>73</v>
      </c>
      <c r="M779" s="3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  <c r="X779" s="4"/>
      <c r="AK779" s="5"/>
    </row>
    <row r="780" spans="1:47" hidden="1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131</v>
      </c>
      <c r="G780" t="s">
        <v>88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132</v>
      </c>
      <c r="X780" s="4">
        <v>0</v>
      </c>
      <c r="Y780" t="s">
        <v>58</v>
      </c>
      <c r="Z780" s="3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hidden="1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87</v>
      </c>
      <c r="G781" s="3" t="s">
        <v>88</v>
      </c>
      <c r="H781" s="3">
        <v>3880</v>
      </c>
      <c r="I781" s="3">
        <v>3880</v>
      </c>
      <c r="J781">
        <v>0</v>
      </c>
      <c r="K781" s="3">
        <v>4462</v>
      </c>
      <c r="L781" s="3">
        <v>495</v>
      </c>
      <c r="M781" s="3">
        <v>168.23</v>
      </c>
      <c r="N781" t="s">
        <v>83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89</v>
      </c>
      <c r="X781" s="4">
        <v>0</v>
      </c>
      <c r="Y781" t="s">
        <v>62</v>
      </c>
    </row>
    <row r="782" spans="1:47" hidden="1" x14ac:dyDescent="0.25">
      <c r="A782" t="s">
        <v>63</v>
      </c>
      <c r="B782" s="3">
        <v>132</v>
      </c>
      <c r="C782">
        <v>0</v>
      </c>
      <c r="D782">
        <v>0</v>
      </c>
      <c r="E782" s="2">
        <v>363</v>
      </c>
      <c r="F782">
        <v>0</v>
      </c>
      <c r="G782" s="3">
        <v>3000</v>
      </c>
      <c r="H782" s="3" t="s">
        <v>54</v>
      </c>
      <c r="I782" s="3" t="s">
        <v>90</v>
      </c>
      <c r="K782" s="3" t="s">
        <v>73</v>
      </c>
      <c r="L782" s="3" t="s">
        <v>91</v>
      </c>
      <c r="M782" s="3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  <c r="X782" s="4"/>
    </row>
    <row r="783" spans="1:47" hidden="1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s="3" t="s">
        <v>107</v>
      </c>
      <c r="G783" t="s">
        <v>108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83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109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91</v>
      </c>
      <c r="AJ783" t="s">
        <v>91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hidden="1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100</v>
      </c>
      <c r="G784" s="3" t="s">
        <v>93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 s="3">
        <v>598.08000000000004</v>
      </c>
      <c r="N784" t="s">
        <v>83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101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 s="3">
        <v>0</v>
      </c>
      <c r="AE784" s="3">
        <v>2000</v>
      </c>
      <c r="AF784" t="s">
        <v>54</v>
      </c>
      <c r="AG784" t="s">
        <v>59</v>
      </c>
      <c r="AH784" t="s">
        <v>102</v>
      </c>
      <c r="AI784" t="s">
        <v>91</v>
      </c>
      <c r="AJ784" t="s">
        <v>91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hidden="1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167</v>
      </c>
      <c r="G785" t="s">
        <v>168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94</v>
      </c>
      <c r="X785" s="4">
        <v>0</v>
      </c>
      <c r="Y785" t="s">
        <v>62</v>
      </c>
    </row>
    <row r="786" spans="1:47" hidden="1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 s="3">
        <v>0</v>
      </c>
      <c r="G786" s="3">
        <v>26000</v>
      </c>
      <c r="H786" t="s">
        <v>54</v>
      </c>
      <c r="I786" t="s">
        <v>59</v>
      </c>
      <c r="K786" t="s">
        <v>91</v>
      </c>
      <c r="L786" t="s">
        <v>91</v>
      </c>
      <c r="M786" s="3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hidden="1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285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 s="3">
        <v>174.8</v>
      </c>
      <c r="M787" s="3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94</v>
      </c>
      <c r="X787" s="4">
        <v>0</v>
      </c>
      <c r="Y787" t="s">
        <v>62</v>
      </c>
      <c r="Z787" s="3"/>
      <c r="AB787" s="3"/>
      <c r="AE787" s="3"/>
      <c r="AK787" s="5"/>
    </row>
    <row r="788" spans="1:47" hidden="1" x14ac:dyDescent="0.25">
      <c r="A788" t="s">
        <v>63</v>
      </c>
      <c r="B788" s="1">
        <v>0</v>
      </c>
      <c r="C788">
        <v>0</v>
      </c>
      <c r="D788">
        <v>174.8</v>
      </c>
      <c r="E788" s="2">
        <v>0</v>
      </c>
      <c r="F788">
        <v>0</v>
      </c>
      <c r="G788" s="3">
        <v>400</v>
      </c>
      <c r="H788" s="3" t="s">
        <v>54</v>
      </c>
      <c r="I788" s="3" t="s">
        <v>59</v>
      </c>
      <c r="K788" s="3" t="s">
        <v>80</v>
      </c>
      <c r="L788" t="s">
        <v>73</v>
      </c>
      <c r="M788" s="3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  <c r="X788" s="4"/>
      <c r="AK788" s="5"/>
    </row>
    <row r="789" spans="1:47" hidden="1" x14ac:dyDescent="0.25">
      <c r="A789" t="s">
        <v>95</v>
      </c>
      <c r="B789" s="1">
        <v>37669</v>
      </c>
      <c r="C789" t="s">
        <v>48</v>
      </c>
      <c r="D789" t="s">
        <v>49</v>
      </c>
      <c r="E789" s="2">
        <v>45861</v>
      </c>
      <c r="F789" t="s">
        <v>176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 s="3">
        <v>578</v>
      </c>
      <c r="M789" s="3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177</v>
      </c>
      <c r="X789" s="4">
        <v>0</v>
      </c>
      <c r="Y789" t="s">
        <v>62</v>
      </c>
      <c r="AK789" s="5"/>
    </row>
    <row r="790" spans="1:47" hidden="1" x14ac:dyDescent="0.25">
      <c r="A790" t="s">
        <v>63</v>
      </c>
      <c r="B790" s="3">
        <v>0</v>
      </c>
      <c r="C790">
        <v>0</v>
      </c>
      <c r="D790">
        <v>0</v>
      </c>
      <c r="E790" s="2">
        <v>0</v>
      </c>
      <c r="F790">
        <v>578</v>
      </c>
      <c r="G790" s="3">
        <v>2000</v>
      </c>
      <c r="H790" s="3" t="s">
        <v>54</v>
      </c>
      <c r="I790" s="3" t="s">
        <v>59</v>
      </c>
      <c r="K790" s="3" t="s">
        <v>60</v>
      </c>
      <c r="L790" t="s">
        <v>60</v>
      </c>
      <c r="M790" s="3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  <c r="X790" s="4"/>
      <c r="AK790" s="5"/>
    </row>
    <row r="791" spans="1:47" hidden="1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100</v>
      </c>
      <c r="G791" t="s">
        <v>93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 s="3">
        <v>575.77</v>
      </c>
      <c r="N791" t="s">
        <v>83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101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102</v>
      </c>
      <c r="AI791" t="s">
        <v>91</v>
      </c>
      <c r="AJ791" t="s">
        <v>91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hidden="1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s="3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 s="3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hidden="1" x14ac:dyDescent="0.25">
      <c r="A793" t="s">
        <v>63</v>
      </c>
      <c r="B793" s="1">
        <v>651.20000000000005</v>
      </c>
      <c r="C793">
        <v>0</v>
      </c>
      <c r="D793">
        <v>0</v>
      </c>
      <c r="E793" s="2">
        <v>0</v>
      </c>
      <c r="F793">
        <v>0</v>
      </c>
      <c r="G793">
        <v>800</v>
      </c>
      <c r="H793" s="3" t="s">
        <v>54</v>
      </c>
      <c r="I793" s="3" t="s">
        <v>59</v>
      </c>
      <c r="K793" s="3" t="s">
        <v>73</v>
      </c>
      <c r="L793" t="s">
        <v>73</v>
      </c>
      <c r="M793" s="3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  <c r="X793" s="4"/>
    </row>
    <row r="794" spans="1:47" hidden="1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278</v>
      </c>
      <c r="G794" s="3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 s="3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hidden="1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278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 s="3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hidden="1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278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 s="3">
        <v>441</v>
      </c>
      <c r="M796" s="3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 s="3">
        <v>0</v>
      </c>
      <c r="AA796">
        <v>0</v>
      </c>
      <c r="AB796">
        <v>441</v>
      </c>
      <c r="AC796">
        <v>0</v>
      </c>
      <c r="AD796">
        <v>0</v>
      </c>
      <c r="AE796" s="3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hidden="1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278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 s="3">
        <v>441</v>
      </c>
      <c r="M797" s="3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 s="3">
        <v>441</v>
      </c>
      <c r="AC797">
        <v>0</v>
      </c>
      <c r="AD797">
        <v>0</v>
      </c>
      <c r="AE797" s="3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hidden="1" x14ac:dyDescent="0.25">
      <c r="A798" t="s">
        <v>95</v>
      </c>
      <c r="B798" s="1">
        <v>37677</v>
      </c>
      <c r="C798" t="s">
        <v>48</v>
      </c>
      <c r="D798" t="s">
        <v>49</v>
      </c>
      <c r="E798" s="2">
        <v>45862</v>
      </c>
      <c r="F798" t="s">
        <v>176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 s="3">
        <v>522</v>
      </c>
      <c r="M798" s="3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177</v>
      </c>
      <c r="X798" s="4">
        <v>0</v>
      </c>
      <c r="Y798" t="s">
        <v>62</v>
      </c>
      <c r="AD798" s="3"/>
      <c r="AE798" s="3"/>
      <c r="AK798" s="5"/>
    </row>
    <row r="799" spans="1:47" hidden="1" x14ac:dyDescent="0.25">
      <c r="A799" t="s">
        <v>63</v>
      </c>
      <c r="B799" s="1">
        <v>0</v>
      </c>
      <c r="C799">
        <v>0</v>
      </c>
      <c r="D799">
        <v>0</v>
      </c>
      <c r="E799" s="2">
        <v>0</v>
      </c>
      <c r="F799">
        <v>522</v>
      </c>
      <c r="G799" s="3">
        <v>1000</v>
      </c>
      <c r="H799" s="3" t="s">
        <v>54</v>
      </c>
      <c r="I799" s="3" t="s">
        <v>59</v>
      </c>
      <c r="K799" s="3" t="s">
        <v>60</v>
      </c>
      <c r="L799" s="3" t="s">
        <v>60</v>
      </c>
      <c r="M799" s="3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  <c r="X799" s="4"/>
      <c r="AK799" s="5"/>
    </row>
    <row r="800" spans="1:47" hidden="1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242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 s="3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94</v>
      </c>
      <c r="X800" s="4">
        <v>0</v>
      </c>
      <c r="Y800" t="s">
        <v>62</v>
      </c>
      <c r="AE800" s="3"/>
      <c r="AK800" s="5"/>
    </row>
    <row r="801" spans="1:47" hidden="1" x14ac:dyDescent="0.25">
      <c r="A801" t="s">
        <v>63</v>
      </c>
      <c r="B801" s="1">
        <v>500.04</v>
      </c>
      <c r="C801">
        <v>0</v>
      </c>
      <c r="D801">
        <v>0</v>
      </c>
      <c r="E801" s="2">
        <v>0</v>
      </c>
      <c r="F801">
        <v>0</v>
      </c>
      <c r="G801">
        <v>360</v>
      </c>
      <c r="H801" s="3" t="s">
        <v>54</v>
      </c>
      <c r="I801" s="3" t="s">
        <v>59</v>
      </c>
      <c r="K801" s="3" t="s">
        <v>80</v>
      </c>
      <c r="L801" t="s">
        <v>73</v>
      </c>
      <c r="M801" s="3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  <c r="X801" s="4"/>
      <c r="AE801" s="3"/>
      <c r="AK801" s="5"/>
    </row>
    <row r="802" spans="1:47" hidden="1" x14ac:dyDescent="0.25">
      <c r="A802" t="s">
        <v>95</v>
      </c>
      <c r="B802" s="1">
        <v>37679</v>
      </c>
      <c r="C802" t="s">
        <v>48</v>
      </c>
      <c r="D802" t="s">
        <v>49</v>
      </c>
      <c r="E802" s="2">
        <v>45862</v>
      </c>
      <c r="F802" t="s">
        <v>340</v>
      </c>
      <c r="G802" t="s">
        <v>112</v>
      </c>
      <c r="H802" s="3">
        <v>2167</v>
      </c>
      <c r="I802" s="3">
        <v>2167</v>
      </c>
      <c r="J802">
        <v>0</v>
      </c>
      <c r="K802" s="3">
        <v>2167</v>
      </c>
      <c r="L802" s="3">
        <v>513.70000000000005</v>
      </c>
      <c r="M802" s="3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341</v>
      </c>
      <c r="X802" s="4">
        <v>0</v>
      </c>
      <c r="Y802" t="s">
        <v>62</v>
      </c>
    </row>
    <row r="803" spans="1:47" hidden="1" x14ac:dyDescent="0.25">
      <c r="A803" t="s">
        <v>63</v>
      </c>
      <c r="B803" s="3">
        <v>513.70000000000005</v>
      </c>
      <c r="C803">
        <v>0</v>
      </c>
      <c r="D803" s="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114</v>
      </c>
      <c r="K803" t="s">
        <v>60</v>
      </c>
      <c r="L803" t="s">
        <v>60</v>
      </c>
      <c r="M803" s="3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hidden="1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133</v>
      </c>
      <c r="G804" t="s">
        <v>93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 s="3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115</v>
      </c>
      <c r="X804" s="4">
        <v>0</v>
      </c>
      <c r="Y804" t="s">
        <v>62</v>
      </c>
    </row>
    <row r="805" spans="1:47" hidden="1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 s="3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3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hidden="1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342</v>
      </c>
      <c r="G806" t="s">
        <v>108</v>
      </c>
      <c r="H806" s="3">
        <v>1332</v>
      </c>
      <c r="I806" s="3">
        <v>1332</v>
      </c>
      <c r="J806">
        <v>0</v>
      </c>
      <c r="K806" s="3">
        <v>1531.8</v>
      </c>
      <c r="L806" s="3">
        <v>261.2</v>
      </c>
      <c r="M806" s="3">
        <v>75.75</v>
      </c>
      <c r="N806" t="s">
        <v>105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94</v>
      </c>
      <c r="X806" s="4">
        <v>0</v>
      </c>
      <c r="Y806" t="s">
        <v>62</v>
      </c>
      <c r="AE806" s="3"/>
      <c r="AK806" s="5"/>
    </row>
    <row r="807" spans="1:47" hidden="1" x14ac:dyDescent="0.25">
      <c r="A807" t="s">
        <v>63</v>
      </c>
      <c r="B807" s="1">
        <v>261.2</v>
      </c>
      <c r="C807">
        <v>0</v>
      </c>
      <c r="D807">
        <v>0</v>
      </c>
      <c r="E807" s="2">
        <v>0</v>
      </c>
      <c r="F807" s="3">
        <v>0</v>
      </c>
      <c r="G807" s="3">
        <v>200</v>
      </c>
      <c r="H807" s="3" t="s">
        <v>54</v>
      </c>
      <c r="I807" s="3" t="s">
        <v>59</v>
      </c>
      <c r="K807" s="3" t="s">
        <v>73</v>
      </c>
      <c r="L807" t="s">
        <v>73</v>
      </c>
      <c r="M807" s="3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  <c r="X807" s="4"/>
      <c r="AE807" s="3"/>
      <c r="AK807" s="5"/>
    </row>
    <row r="808" spans="1:47" hidden="1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110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 s="3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94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91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hidden="1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343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 s="3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  <c r="AA809" s="3"/>
      <c r="AE809" s="3"/>
      <c r="AK809" s="5"/>
    </row>
    <row r="810" spans="1:47" hidden="1" x14ac:dyDescent="0.25">
      <c r="A810" t="s">
        <v>63</v>
      </c>
      <c r="B810" s="1">
        <v>0</v>
      </c>
      <c r="C810">
        <v>0</v>
      </c>
      <c r="D810" s="3">
        <v>1082</v>
      </c>
      <c r="E810" s="2">
        <v>0</v>
      </c>
      <c r="F810">
        <v>0</v>
      </c>
      <c r="G810" s="3">
        <v>2000</v>
      </c>
      <c r="H810" s="3" t="s">
        <v>54</v>
      </c>
      <c r="I810" s="3" t="s">
        <v>59</v>
      </c>
      <c r="K810" s="3" t="s">
        <v>60</v>
      </c>
      <c r="L810" t="s">
        <v>60</v>
      </c>
      <c r="M810" s="3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  <c r="X810" s="4"/>
      <c r="AE810" s="3"/>
      <c r="AK810" s="5"/>
    </row>
    <row r="811" spans="1:47" hidden="1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195</v>
      </c>
      <c r="G811" t="s">
        <v>168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 s="3">
        <v>453.27</v>
      </c>
      <c r="N811" t="s">
        <v>105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144</v>
      </c>
      <c r="W811" t="s">
        <v>287</v>
      </c>
      <c r="X811" s="4">
        <v>0</v>
      </c>
      <c r="Z811" s="3">
        <v>1563</v>
      </c>
      <c r="AA811">
        <v>0</v>
      </c>
      <c r="AB811" s="3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214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hidden="1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344</v>
      </c>
      <c r="G812" t="s">
        <v>122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 s="3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  <c r="AA812" s="3"/>
      <c r="AB812" s="3"/>
      <c r="AE812" s="3"/>
      <c r="AK812" s="5"/>
    </row>
    <row r="813" spans="1:47" hidden="1" x14ac:dyDescent="0.25">
      <c r="A813" t="s">
        <v>63</v>
      </c>
      <c r="B813" s="1">
        <v>0</v>
      </c>
      <c r="C813">
        <v>0</v>
      </c>
      <c r="D813">
        <v>0</v>
      </c>
      <c r="E813" s="2">
        <v>0</v>
      </c>
      <c r="F813" s="3">
        <v>1732</v>
      </c>
      <c r="G813" s="3">
        <v>2000</v>
      </c>
      <c r="H813" s="3" t="s">
        <v>54</v>
      </c>
      <c r="I813" s="3" t="s">
        <v>59</v>
      </c>
      <c r="K813" s="3" t="s">
        <v>60</v>
      </c>
      <c r="L813" s="3" t="s">
        <v>60</v>
      </c>
      <c r="M813" s="3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  <c r="X813" s="4"/>
      <c r="AB813" s="3"/>
      <c r="AK813" s="5"/>
    </row>
    <row r="814" spans="1:47" hidden="1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111</v>
      </c>
      <c r="G814" t="s">
        <v>112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158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114</v>
      </c>
      <c r="AI814" t="s">
        <v>73</v>
      </c>
      <c r="AJ814" t="s">
        <v>91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hidden="1" x14ac:dyDescent="0.25">
      <c r="A815" t="s">
        <v>95</v>
      </c>
      <c r="B815" s="1">
        <v>37688</v>
      </c>
      <c r="C815" t="s">
        <v>48</v>
      </c>
      <c r="D815" t="s">
        <v>49</v>
      </c>
      <c r="E815" s="2">
        <v>45866</v>
      </c>
      <c r="F815" t="s">
        <v>143</v>
      </c>
      <c r="G815" s="3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105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144</v>
      </c>
      <c r="W815" t="s">
        <v>145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214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hidden="1" x14ac:dyDescent="0.25">
      <c r="A816" t="s">
        <v>95</v>
      </c>
      <c r="B816" s="1">
        <v>37689</v>
      </c>
      <c r="C816" t="s">
        <v>48</v>
      </c>
      <c r="D816" t="s">
        <v>49</v>
      </c>
      <c r="E816" s="2">
        <v>45866</v>
      </c>
      <c r="F816" t="s">
        <v>211</v>
      </c>
      <c r="G816" s="3" t="s">
        <v>117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 s="3">
        <v>652.72</v>
      </c>
      <c r="N816" t="s">
        <v>83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84</v>
      </c>
      <c r="X816" s="4">
        <v>0</v>
      </c>
      <c r="Y816" t="s">
        <v>62</v>
      </c>
      <c r="AD816" s="3"/>
      <c r="AE816" s="3"/>
      <c r="AK816" s="5"/>
    </row>
    <row r="817" spans="1:47" hidden="1" x14ac:dyDescent="0.25">
      <c r="A817" t="s">
        <v>63</v>
      </c>
      <c r="B817" s="1">
        <v>0</v>
      </c>
      <c r="C817">
        <v>0</v>
      </c>
      <c r="D817" s="3">
        <v>1097</v>
      </c>
      <c r="E817" s="2">
        <v>0</v>
      </c>
      <c r="F817">
        <v>0</v>
      </c>
      <c r="G817" s="3">
        <v>1000</v>
      </c>
      <c r="H817" s="3" t="s">
        <v>54</v>
      </c>
      <c r="I817" s="3" t="s">
        <v>59</v>
      </c>
      <c r="J817" t="s">
        <v>218</v>
      </c>
      <c r="K817" s="3" t="s">
        <v>73</v>
      </c>
      <c r="L817" s="3" t="s">
        <v>73</v>
      </c>
      <c r="M817" s="3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  <c r="X817" s="4"/>
      <c r="AD817" s="3"/>
      <c r="AE817" s="3"/>
      <c r="AK817" s="5"/>
    </row>
    <row r="818" spans="1:47" hidden="1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 s="3">
        <v>557.6</v>
      </c>
      <c r="M818" s="3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197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91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hidden="1" x14ac:dyDescent="0.25">
      <c r="A819" t="s">
        <v>95</v>
      </c>
      <c r="B819" s="1">
        <v>37691</v>
      </c>
      <c r="C819" t="s">
        <v>48</v>
      </c>
      <c r="D819" s="3" t="s">
        <v>49</v>
      </c>
      <c r="E819" s="2">
        <v>45867</v>
      </c>
      <c r="F819" t="s">
        <v>127</v>
      </c>
      <c r="G819" t="s">
        <v>128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 s="3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144</v>
      </c>
      <c r="W819" t="s">
        <v>129</v>
      </c>
      <c r="X819" s="4">
        <v>0</v>
      </c>
      <c r="Y819" t="s">
        <v>62</v>
      </c>
    </row>
    <row r="820" spans="1:47" hidden="1" x14ac:dyDescent="0.25">
      <c r="A820" t="s">
        <v>63</v>
      </c>
      <c r="B820" s="3">
        <v>1044.8</v>
      </c>
      <c r="C820">
        <v>0</v>
      </c>
      <c r="D820">
        <v>0</v>
      </c>
      <c r="E820" s="2">
        <v>0</v>
      </c>
      <c r="F820">
        <v>0</v>
      </c>
      <c r="G820" s="3">
        <v>2700</v>
      </c>
      <c r="H820" s="3" t="s">
        <v>54</v>
      </c>
      <c r="I820" s="3" t="s">
        <v>59</v>
      </c>
      <c r="K820" s="3" t="s">
        <v>73</v>
      </c>
      <c r="L820" s="3" t="s">
        <v>60</v>
      </c>
      <c r="M820" s="3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  <c r="X820" s="4"/>
      <c r="AD820" s="3"/>
      <c r="AE820" s="3"/>
      <c r="AK820" s="5"/>
    </row>
    <row r="821" spans="1:47" hidden="1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 s="3">
        <v>941</v>
      </c>
      <c r="M821" s="3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  <c r="AB821" s="3"/>
      <c r="AE821" s="3"/>
      <c r="AK821" s="5"/>
    </row>
    <row r="822" spans="1:47" hidden="1" x14ac:dyDescent="0.25">
      <c r="A822" t="s">
        <v>63</v>
      </c>
      <c r="B822" s="1">
        <v>0</v>
      </c>
      <c r="C822">
        <v>0</v>
      </c>
      <c r="D822">
        <v>0</v>
      </c>
      <c r="E822" s="2">
        <v>0</v>
      </c>
      <c r="F822">
        <v>941</v>
      </c>
      <c r="G822" s="3">
        <v>500</v>
      </c>
      <c r="H822" s="3" t="s">
        <v>54</v>
      </c>
      <c r="I822" s="3" t="s">
        <v>59</v>
      </c>
      <c r="K822" s="3" t="s">
        <v>73</v>
      </c>
      <c r="L822" s="3" t="s">
        <v>73</v>
      </c>
      <c r="M822" s="3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  <c r="X822" s="4"/>
    </row>
    <row r="823" spans="1:47" hidden="1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s="3" t="s">
        <v>209</v>
      </c>
      <c r="G823" s="3" t="s">
        <v>136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83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141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91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hidden="1" x14ac:dyDescent="0.25">
      <c r="A824" t="s">
        <v>95</v>
      </c>
      <c r="B824" s="1">
        <v>37695</v>
      </c>
      <c r="C824" t="s">
        <v>48</v>
      </c>
      <c r="D824" t="s">
        <v>49</v>
      </c>
      <c r="E824" s="2">
        <v>45867</v>
      </c>
      <c r="F824" t="s">
        <v>291</v>
      </c>
      <c r="G824" s="3" t="s">
        <v>213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89</v>
      </c>
      <c r="X824" s="4">
        <v>0</v>
      </c>
      <c r="Y824" t="s">
        <v>62</v>
      </c>
    </row>
    <row r="825" spans="1:47" hidden="1" x14ac:dyDescent="0.25">
      <c r="A825" t="s">
        <v>63</v>
      </c>
      <c r="B825" s="1">
        <v>0</v>
      </c>
      <c r="C825">
        <v>0</v>
      </c>
      <c r="D825">
        <v>0</v>
      </c>
      <c r="E825" s="2">
        <v>0</v>
      </c>
      <c r="F825" s="3">
        <v>4750</v>
      </c>
      <c r="G825" s="3">
        <v>7500</v>
      </c>
      <c r="H825" s="3" t="s">
        <v>54</v>
      </c>
      <c r="I825" s="3" t="s">
        <v>59</v>
      </c>
      <c r="J825" t="s">
        <v>292</v>
      </c>
      <c r="K825" s="3" t="s">
        <v>73</v>
      </c>
      <c r="L825" t="s">
        <v>73</v>
      </c>
      <c r="M825" s="3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  <c r="X825" s="4"/>
    </row>
    <row r="826" spans="1:47" hidden="1" x14ac:dyDescent="0.25">
      <c r="A826" t="s">
        <v>95</v>
      </c>
      <c r="B826" s="1">
        <v>37696</v>
      </c>
      <c r="C826" t="s">
        <v>48</v>
      </c>
      <c r="D826" t="s">
        <v>49</v>
      </c>
      <c r="E826" s="2">
        <v>45867</v>
      </c>
      <c r="F826" t="s">
        <v>216</v>
      </c>
      <c r="G826" s="3" t="s">
        <v>163</v>
      </c>
      <c r="H826" s="3">
        <v>4440</v>
      </c>
      <c r="I826" s="3">
        <v>4440</v>
      </c>
      <c r="J826">
        <v>0</v>
      </c>
      <c r="K826" s="3">
        <v>4440</v>
      </c>
      <c r="L826" s="3">
        <v>791</v>
      </c>
      <c r="M826" s="3">
        <v>371.77</v>
      </c>
      <c r="N826" t="s">
        <v>105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144</v>
      </c>
      <c r="W826" t="s">
        <v>151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214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hidden="1" x14ac:dyDescent="0.25">
      <c r="A827" t="s">
        <v>95</v>
      </c>
      <c r="B827" s="1">
        <v>37697</v>
      </c>
      <c r="C827" t="s">
        <v>48</v>
      </c>
      <c r="D827" t="s">
        <v>49</v>
      </c>
      <c r="E827" s="2">
        <v>45867</v>
      </c>
      <c r="F827" t="s">
        <v>216</v>
      </c>
      <c r="G827" s="3" t="s">
        <v>163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 s="3">
        <v>297.42</v>
      </c>
      <c r="N827" t="s">
        <v>105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144</v>
      </c>
      <c r="W827" t="s">
        <v>151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214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hidden="1" x14ac:dyDescent="0.25">
      <c r="A828" t="s">
        <v>95</v>
      </c>
      <c r="B828" s="1">
        <v>37698</v>
      </c>
      <c r="C828" t="s">
        <v>48</v>
      </c>
      <c r="D828" t="s">
        <v>49</v>
      </c>
      <c r="E828" s="2">
        <v>45867</v>
      </c>
      <c r="F828" t="s">
        <v>216</v>
      </c>
      <c r="G828" t="s">
        <v>163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 s="3">
        <v>446.12</v>
      </c>
      <c r="N828" t="s">
        <v>105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144</v>
      </c>
      <c r="W828" t="s">
        <v>151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214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hidden="1" x14ac:dyDescent="0.25">
      <c r="A829" t="s">
        <v>95</v>
      </c>
      <c r="B829" s="3">
        <v>37699</v>
      </c>
      <c r="C829" t="s">
        <v>48</v>
      </c>
      <c r="D829" t="s">
        <v>49</v>
      </c>
      <c r="E829" s="2">
        <v>45867</v>
      </c>
      <c r="F829" t="s">
        <v>333</v>
      </c>
      <c r="G829" s="3" t="s">
        <v>69</v>
      </c>
      <c r="H829" s="3">
        <v>3538</v>
      </c>
      <c r="I829" s="3">
        <v>3538</v>
      </c>
      <c r="J829">
        <v>0</v>
      </c>
      <c r="K829" s="3">
        <v>3538</v>
      </c>
      <c r="L829" s="3">
        <v>513.29999999999995</v>
      </c>
      <c r="M829" s="3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132</v>
      </c>
      <c r="X829" s="4">
        <v>0</v>
      </c>
      <c r="Y829" t="s">
        <v>58</v>
      </c>
      <c r="Z829" s="3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345</v>
      </c>
      <c r="AJ829" t="s">
        <v>91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hidden="1" x14ac:dyDescent="0.25">
      <c r="A830" t="s">
        <v>134</v>
      </c>
      <c r="B830" s="1">
        <v>37700</v>
      </c>
      <c r="C830" t="s">
        <v>48</v>
      </c>
      <c r="D830" t="s">
        <v>49</v>
      </c>
      <c r="E830" s="2">
        <v>45868</v>
      </c>
      <c r="F830" t="s">
        <v>107</v>
      </c>
      <c r="G830" t="s">
        <v>108</v>
      </c>
      <c r="H830" s="3">
        <v>7.23</v>
      </c>
      <c r="I830" s="3">
        <v>7.23</v>
      </c>
      <c r="J830">
        <v>0</v>
      </c>
      <c r="K830" s="3">
        <v>7.23</v>
      </c>
      <c r="L830">
        <v>0.93</v>
      </c>
      <c r="M830" s="3">
        <v>0.57999999999999996</v>
      </c>
      <c r="N830" t="s">
        <v>83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109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91</v>
      </c>
      <c r="AJ830" t="s">
        <v>91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hidden="1" x14ac:dyDescent="0.25">
      <c r="A831" t="s">
        <v>95</v>
      </c>
      <c r="B831" s="1">
        <v>37701</v>
      </c>
      <c r="C831" t="s">
        <v>48</v>
      </c>
      <c r="D831" t="s">
        <v>49</v>
      </c>
      <c r="E831" s="2">
        <v>45868</v>
      </c>
      <c r="F831" t="s">
        <v>104</v>
      </c>
      <c r="G831" t="s">
        <v>93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 s="3">
        <v>436.23</v>
      </c>
      <c r="N831" t="s">
        <v>105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144</v>
      </c>
      <c r="W831" t="s">
        <v>106</v>
      </c>
      <c r="X831" s="4">
        <v>0</v>
      </c>
      <c r="Y831" t="s">
        <v>62</v>
      </c>
      <c r="AK831" s="5"/>
    </row>
    <row r="832" spans="1:47" hidden="1" x14ac:dyDescent="0.25">
      <c r="A832" t="s">
        <v>63</v>
      </c>
      <c r="B832" s="1">
        <v>0</v>
      </c>
      <c r="C832">
        <v>0</v>
      </c>
      <c r="D832">
        <v>583.20000000000005</v>
      </c>
      <c r="E832" s="2">
        <v>0</v>
      </c>
      <c r="F832">
        <v>0</v>
      </c>
      <c r="G832">
        <v>150</v>
      </c>
      <c r="H832" s="3" t="s">
        <v>54</v>
      </c>
      <c r="I832" s="3" t="s">
        <v>59</v>
      </c>
      <c r="J832" t="s">
        <v>178</v>
      </c>
      <c r="K832" s="3" t="s">
        <v>214</v>
      </c>
      <c r="L832" s="3" t="s">
        <v>73</v>
      </c>
      <c r="M832" s="3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  <c r="X832" s="4"/>
      <c r="AK832" s="5"/>
    </row>
    <row r="833" spans="1:47" hidden="1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124</v>
      </c>
      <c r="G833" s="3" t="s">
        <v>88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 s="3">
        <v>769.42</v>
      </c>
      <c r="N833" t="s">
        <v>83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94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hidden="1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302</v>
      </c>
      <c r="G834" t="s">
        <v>86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 s="3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174</v>
      </c>
      <c r="X834" s="4">
        <v>0</v>
      </c>
      <c r="Y834" t="s">
        <v>62</v>
      </c>
      <c r="AK834" s="5"/>
    </row>
    <row r="835" spans="1:47" hidden="1" x14ac:dyDescent="0.25">
      <c r="A835" t="s">
        <v>63</v>
      </c>
      <c r="B835" s="1">
        <v>0</v>
      </c>
      <c r="C835">
        <v>0</v>
      </c>
      <c r="D835">
        <v>931.5</v>
      </c>
      <c r="E835" s="2">
        <v>0</v>
      </c>
      <c r="F835">
        <v>0</v>
      </c>
      <c r="G835">
        <v>900</v>
      </c>
      <c r="H835" s="3" t="s">
        <v>54</v>
      </c>
      <c r="I835" s="3" t="s">
        <v>59</v>
      </c>
      <c r="K835" s="3" t="s">
        <v>73</v>
      </c>
      <c r="L835" t="s">
        <v>73</v>
      </c>
      <c r="M835" s="3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  <c r="X835" s="4"/>
      <c r="AK835" s="5"/>
    </row>
    <row r="836" spans="1:47" hidden="1" x14ac:dyDescent="0.25">
      <c r="A836" t="s">
        <v>95</v>
      </c>
      <c r="B836" s="1">
        <v>37705</v>
      </c>
      <c r="C836" t="s">
        <v>48</v>
      </c>
      <c r="D836" t="s">
        <v>49</v>
      </c>
      <c r="E836" s="2">
        <v>45868</v>
      </c>
      <c r="F836" t="s">
        <v>283</v>
      </c>
      <c r="G836" t="s">
        <v>213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 s="3">
        <v>711.75</v>
      </c>
      <c r="N836" t="s">
        <v>105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144</v>
      </c>
      <c r="W836" t="s">
        <v>284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214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hidden="1" x14ac:dyDescent="0.25">
      <c r="A837" t="s">
        <v>95</v>
      </c>
      <c r="B837" s="1">
        <v>37706</v>
      </c>
      <c r="C837" t="s">
        <v>48</v>
      </c>
      <c r="D837" t="s">
        <v>49</v>
      </c>
      <c r="E837" s="2">
        <v>45868</v>
      </c>
      <c r="F837" t="s">
        <v>299</v>
      </c>
      <c r="G837" t="s">
        <v>163</v>
      </c>
      <c r="H837" s="3">
        <v>8.1</v>
      </c>
      <c r="I837" s="3">
        <v>8.1</v>
      </c>
      <c r="J837">
        <v>0</v>
      </c>
      <c r="K837" s="3">
        <v>8.1</v>
      </c>
      <c r="L837">
        <v>1.35</v>
      </c>
      <c r="M837" s="3">
        <v>0.8</v>
      </c>
      <c r="N837" t="s">
        <v>105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144</v>
      </c>
      <c r="W837" t="s">
        <v>219</v>
      </c>
      <c r="X837" s="4">
        <v>0</v>
      </c>
      <c r="Y837" t="s">
        <v>62</v>
      </c>
      <c r="AK837" s="5"/>
    </row>
    <row r="838" spans="1:47" hidden="1" x14ac:dyDescent="0.25">
      <c r="A838" t="s">
        <v>63</v>
      </c>
      <c r="B838" s="1">
        <v>0</v>
      </c>
      <c r="C838">
        <v>0</v>
      </c>
      <c r="D838">
        <v>1.35</v>
      </c>
      <c r="E838" s="2">
        <v>0</v>
      </c>
      <c r="F838">
        <v>0</v>
      </c>
      <c r="G838">
        <v>1</v>
      </c>
      <c r="H838" s="3" t="s">
        <v>54</v>
      </c>
      <c r="I838" s="3" t="s">
        <v>59</v>
      </c>
      <c r="K838" s="3" t="s">
        <v>73</v>
      </c>
      <c r="L838" t="s">
        <v>73</v>
      </c>
      <c r="M838" s="3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  <c r="X838" s="4"/>
      <c r="AK838" s="5"/>
    </row>
    <row r="839" spans="1:47" hidden="1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 s="3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hidden="1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 s="3">
        <v>732.4</v>
      </c>
      <c r="M840" s="3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 s="3">
        <v>732.4</v>
      </c>
      <c r="AE840" s="3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hidden="1" x14ac:dyDescent="0.25">
      <c r="A841" t="s">
        <v>95</v>
      </c>
      <c r="B841" s="1">
        <v>37709</v>
      </c>
      <c r="C841" t="s">
        <v>48</v>
      </c>
      <c r="D841" t="s">
        <v>49</v>
      </c>
      <c r="E841" s="2">
        <v>45868</v>
      </c>
      <c r="F841" t="s">
        <v>138</v>
      </c>
      <c r="G841" t="s">
        <v>139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198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 s="3">
        <v>719.55</v>
      </c>
      <c r="AE841" s="3">
        <v>5450</v>
      </c>
      <c r="AF841" t="s">
        <v>54</v>
      </c>
      <c r="AG841" t="s">
        <v>59</v>
      </c>
      <c r="AH841" t="s">
        <v>102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hidden="1" x14ac:dyDescent="0.25">
      <c r="A842" t="s">
        <v>95</v>
      </c>
      <c r="B842" s="1">
        <v>37710</v>
      </c>
      <c r="C842" t="s">
        <v>48</v>
      </c>
      <c r="D842" t="s">
        <v>49</v>
      </c>
      <c r="E842" s="2">
        <v>45868</v>
      </c>
      <c r="F842" t="s">
        <v>346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132</v>
      </c>
      <c r="X842" s="4">
        <v>0</v>
      </c>
      <c r="Y842" t="s">
        <v>62</v>
      </c>
      <c r="Z842" s="3"/>
      <c r="AD842" s="3"/>
      <c r="AE842" s="3"/>
      <c r="AK842" s="5"/>
    </row>
    <row r="843" spans="1:47" hidden="1" x14ac:dyDescent="0.25">
      <c r="A843" t="s">
        <v>63</v>
      </c>
      <c r="B843" s="1">
        <v>0</v>
      </c>
      <c r="C843">
        <v>0</v>
      </c>
      <c r="D843" s="3">
        <v>7011</v>
      </c>
      <c r="E843" s="2">
        <v>0</v>
      </c>
      <c r="F843">
        <v>0</v>
      </c>
      <c r="G843" s="3">
        <v>3001</v>
      </c>
      <c r="H843" s="3" t="s">
        <v>54</v>
      </c>
      <c r="I843" s="3" t="s">
        <v>59</v>
      </c>
      <c r="K843" s="3" t="s">
        <v>80</v>
      </c>
      <c r="L843" s="3" t="s">
        <v>91</v>
      </c>
      <c r="M843" s="3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  <c r="X843" s="4"/>
      <c r="AD843" s="3"/>
      <c r="AE843" s="3"/>
      <c r="AK843" s="5"/>
    </row>
    <row r="844" spans="1:47" hidden="1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225</v>
      </c>
      <c r="G844" s="3" t="s">
        <v>185</v>
      </c>
      <c r="H844" s="3">
        <v>6819.6</v>
      </c>
      <c r="I844" s="3">
        <v>6819.6</v>
      </c>
      <c r="J844">
        <v>0</v>
      </c>
      <c r="K844" s="3">
        <v>7842.54</v>
      </c>
      <c r="L844" s="3">
        <v>919.89</v>
      </c>
      <c r="M844" s="3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115</v>
      </c>
      <c r="X844" s="4">
        <v>0</v>
      </c>
      <c r="Y844" t="s">
        <v>62</v>
      </c>
      <c r="AD844" s="3"/>
      <c r="AE844" s="3"/>
      <c r="AK844" s="5"/>
    </row>
    <row r="845" spans="1:47" hidden="1" x14ac:dyDescent="0.25">
      <c r="A845" t="s">
        <v>63</v>
      </c>
      <c r="B845" s="1">
        <v>0</v>
      </c>
      <c r="C845">
        <v>0</v>
      </c>
      <c r="D845">
        <v>919.89</v>
      </c>
      <c r="E845" s="2">
        <v>0</v>
      </c>
      <c r="F845">
        <v>0</v>
      </c>
      <c r="G845" s="3">
        <v>3690</v>
      </c>
      <c r="H845" s="3" t="s">
        <v>54</v>
      </c>
      <c r="I845" s="3" t="s">
        <v>59</v>
      </c>
      <c r="J845" t="s">
        <v>79</v>
      </c>
      <c r="K845" s="3" t="s">
        <v>80</v>
      </c>
      <c r="L845" s="3" t="s">
        <v>91</v>
      </c>
      <c r="M845" s="3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  <c r="X845" s="4"/>
      <c r="AK845" s="5"/>
    </row>
    <row r="846" spans="1:47" hidden="1" x14ac:dyDescent="0.25">
      <c r="A846" t="s">
        <v>95</v>
      </c>
      <c r="B846" s="1">
        <v>37715</v>
      </c>
      <c r="C846" t="s">
        <v>48</v>
      </c>
      <c r="D846" t="s">
        <v>49</v>
      </c>
      <c r="E846" s="2">
        <v>45869</v>
      </c>
      <c r="F846" t="s">
        <v>347</v>
      </c>
      <c r="G846" s="3" t="s">
        <v>122</v>
      </c>
      <c r="H846" s="3">
        <v>3312</v>
      </c>
      <c r="I846" s="3">
        <v>3312</v>
      </c>
      <c r="J846">
        <v>0</v>
      </c>
      <c r="K846" s="3">
        <v>3312</v>
      </c>
      <c r="L846" s="3">
        <v>484.8</v>
      </c>
      <c r="M846" s="3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115</v>
      </c>
      <c r="X846" s="4">
        <v>0</v>
      </c>
      <c r="Y846" t="s">
        <v>62</v>
      </c>
      <c r="AD846" s="3"/>
      <c r="AE846" s="3"/>
      <c r="AK846" s="5"/>
    </row>
    <row r="847" spans="1:47" hidden="1" x14ac:dyDescent="0.25">
      <c r="A847" t="s">
        <v>63</v>
      </c>
      <c r="B847" s="1">
        <v>0</v>
      </c>
      <c r="C847">
        <v>0</v>
      </c>
      <c r="D847">
        <v>484.8</v>
      </c>
      <c r="E847" s="2">
        <v>0</v>
      </c>
      <c r="F847">
        <v>0</v>
      </c>
      <c r="G847" s="3">
        <v>2400</v>
      </c>
      <c r="H847" s="3" t="s">
        <v>54</v>
      </c>
      <c r="I847" s="3" t="s">
        <v>59</v>
      </c>
      <c r="K847" s="3" t="s">
        <v>73</v>
      </c>
      <c r="L847" s="3" t="s">
        <v>73</v>
      </c>
      <c r="M847" s="3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  <c r="X847" s="4"/>
      <c r="AD847" s="3"/>
      <c r="AE847" s="3"/>
      <c r="AK847" s="5"/>
    </row>
    <row r="848" spans="1:47" hidden="1" x14ac:dyDescent="0.25">
      <c r="A848" t="s">
        <v>95</v>
      </c>
      <c r="B848" s="1">
        <v>37717</v>
      </c>
      <c r="C848" t="s">
        <v>48</v>
      </c>
      <c r="D848" t="s">
        <v>49</v>
      </c>
      <c r="E848" s="2">
        <v>45869</v>
      </c>
      <c r="F848" t="s">
        <v>348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 s="3">
        <v>329.6</v>
      </c>
      <c r="M848" s="3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115</v>
      </c>
      <c r="X848" s="4">
        <v>0</v>
      </c>
      <c r="Y848" t="s">
        <v>62</v>
      </c>
      <c r="AD848" s="3"/>
      <c r="AE848" s="3"/>
      <c r="AK848" s="5"/>
    </row>
    <row r="849" spans="1:47" hidden="1" x14ac:dyDescent="0.25">
      <c r="A849" t="s">
        <v>63</v>
      </c>
      <c r="B849" s="1">
        <v>0</v>
      </c>
      <c r="C849">
        <v>0</v>
      </c>
      <c r="D849">
        <v>329.6</v>
      </c>
      <c r="E849" s="2">
        <v>0</v>
      </c>
      <c r="F849">
        <v>0</v>
      </c>
      <c r="G849">
        <v>800</v>
      </c>
      <c r="H849" s="3" t="s">
        <v>54</v>
      </c>
      <c r="I849" s="3" t="s">
        <v>59</v>
      </c>
      <c r="K849" s="3" t="s">
        <v>73</v>
      </c>
      <c r="L849" s="3" t="s">
        <v>73</v>
      </c>
      <c r="M849" s="3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  <c r="X849" s="4"/>
      <c r="AD849" s="3"/>
      <c r="AE849" s="3"/>
      <c r="AK849" s="5"/>
    </row>
    <row r="850" spans="1:47" hidden="1" x14ac:dyDescent="0.25">
      <c r="A850" t="s">
        <v>95</v>
      </c>
      <c r="B850" s="1">
        <v>37718</v>
      </c>
      <c r="C850" t="s">
        <v>48</v>
      </c>
      <c r="D850" t="s">
        <v>49</v>
      </c>
      <c r="E850" s="2">
        <v>45869</v>
      </c>
      <c r="F850" t="s">
        <v>274</v>
      </c>
      <c r="G850" t="s">
        <v>155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 s="3">
        <v>400.86</v>
      </c>
      <c r="N850" t="s">
        <v>105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129</v>
      </c>
      <c r="X850" s="4">
        <v>0</v>
      </c>
      <c r="Y850" t="s">
        <v>62</v>
      </c>
      <c r="AD850" s="3"/>
      <c r="AE850" s="3"/>
      <c r="AK850" s="5"/>
    </row>
    <row r="851" spans="1:47" hidden="1" x14ac:dyDescent="0.25">
      <c r="A851" t="s">
        <v>63</v>
      </c>
      <c r="B851" s="3">
        <v>1179</v>
      </c>
      <c r="C851">
        <v>0</v>
      </c>
      <c r="D851">
        <v>0</v>
      </c>
      <c r="E851" s="2">
        <v>0</v>
      </c>
      <c r="F851">
        <v>0</v>
      </c>
      <c r="G851" s="3">
        <v>2000</v>
      </c>
      <c r="H851" s="3" t="s">
        <v>54</v>
      </c>
      <c r="I851" s="3" t="s">
        <v>59</v>
      </c>
      <c r="J851" t="s">
        <v>235</v>
      </c>
      <c r="K851" s="3" t="s">
        <v>73</v>
      </c>
      <c r="L851" s="3" t="s">
        <v>73</v>
      </c>
      <c r="M851" s="3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  <c r="X851" s="4"/>
      <c r="AD851" s="3"/>
      <c r="AE851" s="3"/>
      <c r="AK851" s="5"/>
    </row>
    <row r="852" spans="1:47" hidden="1" x14ac:dyDescent="0.25">
      <c r="A852" t="s">
        <v>95</v>
      </c>
      <c r="B852" s="1">
        <v>37720</v>
      </c>
      <c r="C852" t="s">
        <v>48</v>
      </c>
      <c r="D852" t="s">
        <v>49</v>
      </c>
      <c r="E852" s="2">
        <v>45870</v>
      </c>
      <c r="F852" t="s">
        <v>104</v>
      </c>
      <c r="G852" t="s">
        <v>93</v>
      </c>
      <c r="H852" s="3">
        <v>5520</v>
      </c>
      <c r="I852" s="3">
        <v>5520</v>
      </c>
      <c r="J852">
        <v>0</v>
      </c>
      <c r="K852" s="3">
        <v>5520</v>
      </c>
      <c r="L852" s="3">
        <v>777.6</v>
      </c>
      <c r="M852" s="3">
        <v>581.64</v>
      </c>
      <c r="N852" t="s">
        <v>105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106</v>
      </c>
      <c r="X852" s="4">
        <v>0</v>
      </c>
      <c r="Y852" t="s">
        <v>62</v>
      </c>
      <c r="AD852" s="3"/>
      <c r="AE852" s="3"/>
      <c r="AK852" s="5"/>
    </row>
    <row r="853" spans="1:47" hidden="1" x14ac:dyDescent="0.25">
      <c r="A853" t="s">
        <v>63</v>
      </c>
      <c r="B853" s="1">
        <v>0</v>
      </c>
      <c r="C853">
        <v>0</v>
      </c>
      <c r="D853">
        <v>777.6</v>
      </c>
      <c r="E853" s="2">
        <v>0</v>
      </c>
      <c r="F853" s="3">
        <v>0</v>
      </c>
      <c r="G853">
        <v>200</v>
      </c>
      <c r="H853" s="3" t="s">
        <v>54</v>
      </c>
      <c r="I853" s="3" t="s">
        <v>59</v>
      </c>
      <c r="K853" s="3" t="s">
        <v>214</v>
      </c>
      <c r="L853" s="3" t="s">
        <v>73</v>
      </c>
      <c r="M853" s="3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  <c r="X853" s="4"/>
      <c r="AD853" s="3"/>
      <c r="AE853" s="3"/>
      <c r="AK853" s="5"/>
    </row>
    <row r="854" spans="1:47" hidden="1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 s="3">
        <v>385</v>
      </c>
      <c r="I854" s="3">
        <v>385</v>
      </c>
      <c r="J854">
        <v>0</v>
      </c>
      <c r="K854" s="3">
        <v>397.51</v>
      </c>
      <c r="L854" s="3">
        <v>58.8</v>
      </c>
      <c r="M854" s="3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  <c r="AD854" s="3"/>
      <c r="AE854" s="3"/>
      <c r="AK854" s="5"/>
    </row>
    <row r="855" spans="1:47" hidden="1" x14ac:dyDescent="0.25">
      <c r="A855" t="s">
        <v>63</v>
      </c>
      <c r="B855" s="1">
        <v>0</v>
      </c>
      <c r="C855">
        <v>0</v>
      </c>
      <c r="D855">
        <v>0</v>
      </c>
      <c r="E855" s="2">
        <v>0</v>
      </c>
      <c r="F855">
        <v>58.8</v>
      </c>
      <c r="G855">
        <v>700</v>
      </c>
      <c r="H855" s="3" t="s">
        <v>54</v>
      </c>
      <c r="I855" s="3" t="s">
        <v>59</v>
      </c>
      <c r="K855" s="3" t="s">
        <v>73</v>
      </c>
      <c r="L855" s="3" t="s">
        <v>73</v>
      </c>
      <c r="M855" s="3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  <c r="X855" s="4"/>
      <c r="Z855" s="3"/>
      <c r="AD855" s="3"/>
      <c r="AE855" s="3"/>
      <c r="AK855" s="5"/>
    </row>
    <row r="856" spans="1:47" hidden="1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202</v>
      </c>
      <c r="G856" t="s">
        <v>122</v>
      </c>
      <c r="H856" s="3">
        <v>7260.39</v>
      </c>
      <c r="I856" s="3">
        <v>7260.39</v>
      </c>
      <c r="J856">
        <v>0</v>
      </c>
      <c r="K856" s="3">
        <v>8349.4500000000007</v>
      </c>
      <c r="L856" s="3">
        <v>858.96</v>
      </c>
      <c r="M856" s="3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 s="3">
        <v>0</v>
      </c>
      <c r="AA856">
        <v>0</v>
      </c>
      <c r="AB856">
        <v>858.96</v>
      </c>
      <c r="AC856">
        <v>0</v>
      </c>
      <c r="AD856" s="3">
        <v>0</v>
      </c>
      <c r="AE856" s="3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hidden="1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202</v>
      </c>
      <c r="G857" t="s">
        <v>122</v>
      </c>
      <c r="H857" s="3">
        <v>7260.39</v>
      </c>
      <c r="I857" s="3">
        <v>7260.39</v>
      </c>
      <c r="J857">
        <v>0</v>
      </c>
      <c r="K857" s="3">
        <v>8349.4500000000007</v>
      </c>
      <c r="L857" s="3">
        <v>858.96</v>
      </c>
      <c r="M857" s="3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 s="3">
        <v>0</v>
      </c>
      <c r="AE857" s="3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hidden="1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s="3" t="s">
        <v>202</v>
      </c>
      <c r="G858" s="3" t="s">
        <v>122</v>
      </c>
      <c r="H858" s="3">
        <v>7260.39</v>
      </c>
      <c r="I858" s="3">
        <v>7260.39</v>
      </c>
      <c r="J858">
        <v>0</v>
      </c>
      <c r="K858" s="3">
        <v>8349.4500000000007</v>
      </c>
      <c r="L858" s="3">
        <v>858.96</v>
      </c>
      <c r="M858" s="3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 s="3">
        <v>0</v>
      </c>
      <c r="AE858" s="3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hidden="1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202</v>
      </c>
      <c r="G859" t="s">
        <v>122</v>
      </c>
      <c r="H859" s="3">
        <v>7260.39</v>
      </c>
      <c r="I859" s="3">
        <v>7260.39</v>
      </c>
      <c r="J859">
        <v>0</v>
      </c>
      <c r="K859" s="3">
        <v>8349.4500000000007</v>
      </c>
      <c r="L859" s="3">
        <v>858.96</v>
      </c>
      <c r="M859" s="3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 s="3">
        <v>0</v>
      </c>
      <c r="AE859" s="3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hidden="1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202</v>
      </c>
      <c r="G860" t="s">
        <v>122</v>
      </c>
      <c r="H860" s="3">
        <v>1476.39</v>
      </c>
      <c r="I860" s="3">
        <v>1476.39</v>
      </c>
      <c r="J860">
        <v>0</v>
      </c>
      <c r="K860" s="3">
        <v>1697.85</v>
      </c>
      <c r="L860" s="3">
        <v>146.16</v>
      </c>
      <c r="M860" s="3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 s="3">
        <v>0</v>
      </c>
      <c r="AE860" s="3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hidden="1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202</v>
      </c>
      <c r="G861" t="s">
        <v>122</v>
      </c>
      <c r="H861" s="3">
        <v>1476.39</v>
      </c>
      <c r="I861" s="3">
        <v>1476.39</v>
      </c>
      <c r="J861">
        <v>0</v>
      </c>
      <c r="K861" s="3">
        <v>1697.85</v>
      </c>
      <c r="L861" s="3">
        <v>146.16</v>
      </c>
      <c r="M861" s="3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 s="3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hidden="1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202</v>
      </c>
      <c r="G862" s="3" t="s">
        <v>122</v>
      </c>
      <c r="H862" s="3">
        <v>1476.39</v>
      </c>
      <c r="I862" s="3">
        <v>1476.39</v>
      </c>
      <c r="J862">
        <v>0</v>
      </c>
      <c r="K862" s="3">
        <v>1697.85</v>
      </c>
      <c r="L862" s="3">
        <v>146.16</v>
      </c>
      <c r="M862" s="3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 s="3">
        <v>0</v>
      </c>
      <c r="AE862" s="3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hidden="1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202</v>
      </c>
      <c r="G863" t="s">
        <v>122</v>
      </c>
      <c r="H863" s="3">
        <v>1476.39</v>
      </c>
      <c r="I863" s="3">
        <v>1476.39</v>
      </c>
      <c r="J863">
        <v>0</v>
      </c>
      <c r="K863" s="3">
        <v>1697.85</v>
      </c>
      <c r="L863" s="3">
        <v>146.16</v>
      </c>
      <c r="M863" s="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hidden="1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202</v>
      </c>
      <c r="G864" t="s">
        <v>122</v>
      </c>
      <c r="H864" s="3">
        <v>1476.39</v>
      </c>
      <c r="I864" s="3">
        <v>1476.39</v>
      </c>
      <c r="J864">
        <v>0</v>
      </c>
      <c r="K864" s="3">
        <v>1697.85</v>
      </c>
      <c r="L864" s="3">
        <v>146.16</v>
      </c>
      <c r="M864" s="3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 s="3">
        <v>0</v>
      </c>
      <c r="AA864">
        <v>0</v>
      </c>
      <c r="AB864">
        <v>146.16</v>
      </c>
      <c r="AC864">
        <v>0</v>
      </c>
      <c r="AD864" s="3">
        <v>0</v>
      </c>
      <c r="AE864" s="3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hidden="1" x14ac:dyDescent="0.25">
      <c r="A865" t="s">
        <v>95</v>
      </c>
      <c r="B865" s="1">
        <v>37731</v>
      </c>
      <c r="C865" t="s">
        <v>48</v>
      </c>
      <c r="D865" t="s">
        <v>49</v>
      </c>
      <c r="E865" s="2">
        <v>45873</v>
      </c>
      <c r="F865" t="s">
        <v>349</v>
      </c>
      <c r="G865" t="s">
        <v>88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 s="3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89</v>
      </c>
      <c r="X865" s="4">
        <v>0</v>
      </c>
      <c r="Y865" t="s">
        <v>62</v>
      </c>
      <c r="Z865" s="3"/>
      <c r="AD865" s="3"/>
      <c r="AE865" s="3"/>
      <c r="AK865" s="5"/>
    </row>
    <row r="866" spans="1:47" hidden="1" x14ac:dyDescent="0.25">
      <c r="A866" t="s">
        <v>63</v>
      </c>
      <c r="B866" s="1">
        <v>0</v>
      </c>
      <c r="C866">
        <v>0</v>
      </c>
      <c r="D866">
        <v>0</v>
      </c>
      <c r="E866" s="2">
        <v>0</v>
      </c>
      <c r="F866" s="3">
        <v>1377</v>
      </c>
      <c r="G866" s="3">
        <v>3000</v>
      </c>
      <c r="H866" s="3" t="s">
        <v>54</v>
      </c>
      <c r="I866" s="3" t="s">
        <v>59</v>
      </c>
      <c r="K866" s="3" t="s">
        <v>60</v>
      </c>
      <c r="L866" s="3" t="s">
        <v>60</v>
      </c>
      <c r="M866" s="3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  <c r="X866" s="4"/>
      <c r="Z866" s="3"/>
      <c r="AE866" s="3"/>
      <c r="AK866" s="5"/>
    </row>
    <row r="867" spans="1:47" hidden="1" x14ac:dyDescent="0.25">
      <c r="A867" t="s">
        <v>95</v>
      </c>
      <c r="B867" s="1">
        <v>37732</v>
      </c>
      <c r="C867" t="s">
        <v>48</v>
      </c>
      <c r="D867" t="s">
        <v>49</v>
      </c>
      <c r="E867" s="2">
        <v>45873</v>
      </c>
      <c r="F867" t="s">
        <v>350</v>
      </c>
      <c r="G867" t="s">
        <v>168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 s="3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351</v>
      </c>
      <c r="X867" s="4">
        <v>0</v>
      </c>
      <c r="Y867" t="s">
        <v>62</v>
      </c>
      <c r="AB867" s="3"/>
      <c r="AE867" s="3"/>
      <c r="AK867" s="5"/>
    </row>
    <row r="868" spans="1:47" hidden="1" x14ac:dyDescent="0.25">
      <c r="A868" t="s">
        <v>63</v>
      </c>
      <c r="B868" s="3">
        <v>2805</v>
      </c>
      <c r="C868">
        <v>0</v>
      </c>
      <c r="D868">
        <v>0</v>
      </c>
      <c r="E868" s="2">
        <v>0</v>
      </c>
      <c r="F868">
        <v>0</v>
      </c>
      <c r="G868" s="3">
        <v>5000</v>
      </c>
      <c r="H868" s="3" t="s">
        <v>54</v>
      </c>
      <c r="I868" s="3" t="s">
        <v>59</v>
      </c>
      <c r="K868" s="3" t="s">
        <v>60</v>
      </c>
      <c r="L868" s="3" t="s">
        <v>60</v>
      </c>
      <c r="M868" s="3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  <c r="X868" s="4"/>
      <c r="Z868" s="3"/>
      <c r="AK868" s="5"/>
    </row>
    <row r="869" spans="1:47" hidden="1" x14ac:dyDescent="0.25">
      <c r="A869" t="s">
        <v>95</v>
      </c>
      <c r="B869" s="1">
        <v>37733</v>
      </c>
      <c r="C869" t="s">
        <v>48</v>
      </c>
      <c r="D869" t="s">
        <v>49</v>
      </c>
      <c r="E869" s="2">
        <v>45873</v>
      </c>
      <c r="F869" t="s">
        <v>159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 s="3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151</v>
      </c>
      <c r="X869" s="4">
        <v>0</v>
      </c>
      <c r="Z869" s="3">
        <v>2633.6</v>
      </c>
      <c r="AA869">
        <v>0</v>
      </c>
      <c r="AB869" s="3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hidden="1" x14ac:dyDescent="0.25">
      <c r="A870" t="s">
        <v>95</v>
      </c>
      <c r="B870" s="1">
        <v>37734</v>
      </c>
      <c r="C870" t="s">
        <v>48</v>
      </c>
      <c r="D870" t="s">
        <v>49</v>
      </c>
      <c r="E870" s="2">
        <v>45873</v>
      </c>
      <c r="F870" t="s">
        <v>413</v>
      </c>
      <c r="G870" s="3" t="s">
        <v>122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 s="3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129</v>
      </c>
      <c r="X870" s="4">
        <v>0</v>
      </c>
      <c r="Y870" t="s">
        <v>62</v>
      </c>
      <c r="AK870" s="5"/>
    </row>
    <row r="871" spans="1:47" hidden="1" x14ac:dyDescent="0.25">
      <c r="A871" t="s">
        <v>63</v>
      </c>
      <c r="B871" s="1">
        <v>0</v>
      </c>
      <c r="C871">
        <v>0</v>
      </c>
      <c r="D871" s="3">
        <v>1618.6</v>
      </c>
      <c r="E871" s="2">
        <v>0</v>
      </c>
      <c r="F871">
        <v>0</v>
      </c>
      <c r="G871" s="3">
        <v>2000</v>
      </c>
      <c r="H871" s="3" t="s">
        <v>54</v>
      </c>
      <c r="I871" s="3" t="s">
        <v>59</v>
      </c>
      <c r="K871" s="3" t="s">
        <v>60</v>
      </c>
      <c r="L871" s="3" t="s">
        <v>91</v>
      </c>
      <c r="M871" s="3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  <c r="X871" s="4"/>
      <c r="AB871" s="3"/>
      <c r="AK871" s="5"/>
    </row>
    <row r="872" spans="1:47" hidden="1" x14ac:dyDescent="0.25">
      <c r="A872" t="s">
        <v>95</v>
      </c>
      <c r="B872" s="1">
        <v>37736</v>
      </c>
      <c r="C872" t="s">
        <v>48</v>
      </c>
      <c r="D872" t="s">
        <v>49</v>
      </c>
      <c r="E872" s="2">
        <v>45873</v>
      </c>
      <c r="F872" t="s">
        <v>303</v>
      </c>
      <c r="G872" s="3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141</v>
      </c>
      <c r="X872" s="4">
        <v>0</v>
      </c>
      <c r="Y872" t="s">
        <v>197</v>
      </c>
      <c r="Z872" s="3">
        <v>6703</v>
      </c>
      <c r="AA872">
        <v>0</v>
      </c>
      <c r="AB872" s="3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91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hidden="1" x14ac:dyDescent="0.25">
      <c r="A873" t="s">
        <v>95</v>
      </c>
      <c r="B873" s="1">
        <v>37737</v>
      </c>
      <c r="C873" t="s">
        <v>48</v>
      </c>
      <c r="D873" t="s">
        <v>49</v>
      </c>
      <c r="E873" s="2">
        <v>45873</v>
      </c>
      <c r="F873" t="s">
        <v>349</v>
      </c>
      <c r="G873" t="s">
        <v>88</v>
      </c>
      <c r="H873" s="3">
        <v>1500</v>
      </c>
      <c r="I873" s="3">
        <v>1500</v>
      </c>
      <c r="J873">
        <v>0</v>
      </c>
      <c r="K873" s="3">
        <v>1500</v>
      </c>
      <c r="L873" s="3">
        <v>229.5</v>
      </c>
      <c r="M873" s="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89</v>
      </c>
      <c r="X873" s="4">
        <v>0</v>
      </c>
      <c r="Y873" t="s">
        <v>62</v>
      </c>
      <c r="Z873" s="3"/>
      <c r="AB873" s="3"/>
      <c r="AE873" s="3"/>
      <c r="AK873" s="5"/>
    </row>
    <row r="874" spans="1:47" hidden="1" x14ac:dyDescent="0.25">
      <c r="A874" t="s">
        <v>63</v>
      </c>
      <c r="B874" s="1">
        <v>0</v>
      </c>
      <c r="C874">
        <v>0</v>
      </c>
      <c r="D874">
        <v>229.5</v>
      </c>
      <c r="E874" s="2">
        <v>0</v>
      </c>
      <c r="F874">
        <v>0</v>
      </c>
      <c r="G874">
        <v>500</v>
      </c>
      <c r="H874" s="3" t="s">
        <v>54</v>
      </c>
      <c r="I874" s="3" t="s">
        <v>59</v>
      </c>
      <c r="K874" s="3" t="s">
        <v>60</v>
      </c>
      <c r="L874" t="s">
        <v>60</v>
      </c>
      <c r="M874" s="3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  <c r="X874" s="4"/>
      <c r="AK874" s="5"/>
    </row>
    <row r="875" spans="1:47" hidden="1" x14ac:dyDescent="0.25">
      <c r="A875" t="s">
        <v>134</v>
      </c>
      <c r="B875" s="1">
        <v>37738</v>
      </c>
      <c r="C875" t="s">
        <v>48</v>
      </c>
      <c r="D875" t="s">
        <v>49</v>
      </c>
      <c r="E875" s="2">
        <v>45873</v>
      </c>
      <c r="F875" t="s">
        <v>238</v>
      </c>
      <c r="G875" t="s">
        <v>237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 s="3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160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 s="3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hidden="1" x14ac:dyDescent="0.25">
      <c r="A876" t="s">
        <v>95</v>
      </c>
      <c r="B876" s="1">
        <v>37739</v>
      </c>
      <c r="C876" t="s">
        <v>48</v>
      </c>
      <c r="D876" t="s">
        <v>49</v>
      </c>
      <c r="E876" s="2">
        <v>45874</v>
      </c>
      <c r="F876" t="s">
        <v>152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 s="3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352</v>
      </c>
      <c r="AA876" s="3"/>
      <c r="AK876" s="5"/>
    </row>
    <row r="877" spans="1:47" hidden="1" x14ac:dyDescent="0.25">
      <c r="A877" t="s">
        <v>196</v>
      </c>
      <c r="B877" s="3"/>
      <c r="E877" s="2"/>
      <c r="G877" s="3"/>
      <c r="H877" s="3"/>
      <c r="I877" s="3"/>
      <c r="K877" s="3"/>
      <c r="X877" s="4"/>
      <c r="AK877" s="5"/>
    </row>
    <row r="878" spans="1:47" hidden="1" x14ac:dyDescent="0.25">
      <c r="A878" t="s">
        <v>197</v>
      </c>
      <c r="B878" s="1">
        <v>0</v>
      </c>
      <c r="C878">
        <v>0</v>
      </c>
      <c r="D878">
        <v>0</v>
      </c>
      <c r="E878" s="2">
        <v>0</v>
      </c>
      <c r="F878" s="3">
        <v>1222</v>
      </c>
      <c r="G878" s="3">
        <v>2000</v>
      </c>
      <c r="H878" s="3" t="s">
        <v>54</v>
      </c>
      <c r="I878" s="3" t="s">
        <v>59</v>
      </c>
      <c r="K878" s="3" t="s">
        <v>73</v>
      </c>
      <c r="L878" s="3" t="s">
        <v>60</v>
      </c>
      <c r="M878" s="3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  <c r="X878" s="4"/>
      <c r="Z878" s="3"/>
      <c r="AE878" s="3"/>
      <c r="AK878" s="5"/>
    </row>
    <row r="879" spans="1:47" hidden="1" x14ac:dyDescent="0.25">
      <c r="A879" t="s">
        <v>95</v>
      </c>
      <c r="B879" s="1">
        <v>37740</v>
      </c>
      <c r="C879" t="s">
        <v>48</v>
      </c>
      <c r="D879" t="s">
        <v>49</v>
      </c>
      <c r="E879" s="2">
        <v>45874</v>
      </c>
      <c r="F879" t="s">
        <v>140</v>
      </c>
      <c r="G879" t="s">
        <v>93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 s="3">
        <v>297.95</v>
      </c>
      <c r="N879" t="s">
        <v>105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144</v>
      </c>
      <c r="W879" t="s">
        <v>220</v>
      </c>
      <c r="X879" s="4">
        <v>0</v>
      </c>
      <c r="Y879" t="s">
        <v>62</v>
      </c>
    </row>
    <row r="880" spans="1:47" hidden="1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142</v>
      </c>
      <c r="K880" t="s">
        <v>214</v>
      </c>
      <c r="L880" t="s">
        <v>73</v>
      </c>
      <c r="M880" s="3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hidden="1" x14ac:dyDescent="0.25">
      <c r="A881" t="s">
        <v>95</v>
      </c>
      <c r="B881" s="1">
        <v>37741</v>
      </c>
      <c r="C881" t="s">
        <v>48</v>
      </c>
      <c r="D881" t="s">
        <v>49</v>
      </c>
      <c r="E881" s="2">
        <v>45874</v>
      </c>
      <c r="F881" t="s">
        <v>140</v>
      </c>
      <c r="G881" t="s">
        <v>93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 s="3">
        <v>292.83999999999997</v>
      </c>
      <c r="N881" t="s">
        <v>105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144</v>
      </c>
      <c r="W881" t="s">
        <v>220</v>
      </c>
      <c r="X881" s="4">
        <v>0</v>
      </c>
      <c r="Y881" t="s">
        <v>62</v>
      </c>
      <c r="AK881" s="5"/>
    </row>
    <row r="882" spans="1:47" hidden="1" x14ac:dyDescent="0.25">
      <c r="A882" t="s">
        <v>63</v>
      </c>
      <c r="B882" s="3">
        <v>1009.8</v>
      </c>
      <c r="C882">
        <v>0</v>
      </c>
      <c r="D882" s="3">
        <v>0</v>
      </c>
      <c r="E882" s="2">
        <v>0</v>
      </c>
      <c r="F882">
        <v>0</v>
      </c>
      <c r="G882" s="3">
        <v>1700</v>
      </c>
      <c r="H882" s="3" t="s">
        <v>54</v>
      </c>
      <c r="I882" s="3" t="s">
        <v>59</v>
      </c>
      <c r="J882" t="s">
        <v>142</v>
      </c>
      <c r="K882" s="3" t="s">
        <v>214</v>
      </c>
      <c r="L882" s="3" t="s">
        <v>73</v>
      </c>
      <c r="M882" s="3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  <c r="X882" s="4"/>
      <c r="AB882" s="3"/>
      <c r="AK882" s="5"/>
    </row>
    <row r="883" spans="1:47" hidden="1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148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 s="3">
        <v>99.18</v>
      </c>
      <c r="N883" t="s">
        <v>83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 s="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hidden="1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100</v>
      </c>
      <c r="G884" t="s">
        <v>93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 s="3">
        <v>598.08000000000004</v>
      </c>
      <c r="N884" t="s">
        <v>83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101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102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hidden="1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100</v>
      </c>
      <c r="G885" t="s">
        <v>93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83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101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102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hidden="1" x14ac:dyDescent="0.25">
      <c r="A886" t="s">
        <v>95</v>
      </c>
      <c r="B886" s="1">
        <v>37745</v>
      </c>
      <c r="C886" t="s">
        <v>48</v>
      </c>
      <c r="D886" t="s">
        <v>49</v>
      </c>
      <c r="E886" s="2">
        <v>45874</v>
      </c>
      <c r="F886" t="s">
        <v>204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 s="3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151</v>
      </c>
      <c r="X886" s="4">
        <v>0</v>
      </c>
      <c r="Y886" t="s">
        <v>62</v>
      </c>
      <c r="AK886" s="5"/>
    </row>
    <row r="887" spans="1:47" hidden="1" x14ac:dyDescent="0.25">
      <c r="A887" t="s">
        <v>63</v>
      </c>
      <c r="B887" s="1">
        <v>499.2</v>
      </c>
      <c r="C887">
        <v>0</v>
      </c>
      <c r="D887">
        <v>0</v>
      </c>
      <c r="E887" s="2">
        <v>0</v>
      </c>
      <c r="F887">
        <v>0</v>
      </c>
      <c r="G887" s="3">
        <v>2600</v>
      </c>
      <c r="H887" s="3" t="s">
        <v>54</v>
      </c>
      <c r="I887" s="3" t="s">
        <v>59</v>
      </c>
      <c r="K887" s="3" t="s">
        <v>73</v>
      </c>
      <c r="L887" t="s">
        <v>73</v>
      </c>
      <c r="M887" s="3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  <c r="X887" s="4"/>
      <c r="AK887" s="5"/>
    </row>
    <row r="888" spans="1:47" hidden="1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247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 s="3">
        <v>568.79999999999995</v>
      </c>
      <c r="M888" s="3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119</v>
      </c>
      <c r="W888" t="s">
        <v>151</v>
      </c>
      <c r="X888" s="4">
        <v>0</v>
      </c>
      <c r="Y888" t="s">
        <v>58</v>
      </c>
      <c r="Z888" s="3">
        <v>0</v>
      </c>
      <c r="AA888">
        <v>0</v>
      </c>
      <c r="AB888">
        <v>568.79999999999995</v>
      </c>
      <c r="AC888">
        <v>0</v>
      </c>
      <c r="AD888">
        <v>0</v>
      </c>
      <c r="AE888" s="3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hidden="1" x14ac:dyDescent="0.25">
      <c r="A889" t="s">
        <v>95</v>
      </c>
      <c r="B889" s="1">
        <v>37748</v>
      </c>
      <c r="C889" t="s">
        <v>48</v>
      </c>
      <c r="D889" t="s">
        <v>49</v>
      </c>
      <c r="E889" s="2">
        <v>45875</v>
      </c>
      <c r="F889" t="s">
        <v>414</v>
      </c>
      <c r="G889" t="s">
        <v>163</v>
      </c>
      <c r="H889" s="3">
        <v>4940</v>
      </c>
      <c r="I889" s="3">
        <v>4940</v>
      </c>
      <c r="J889">
        <v>0</v>
      </c>
      <c r="K889" s="3">
        <v>4940</v>
      </c>
      <c r="L889" s="3">
        <v>686.5</v>
      </c>
      <c r="M889" s="3">
        <v>425.63</v>
      </c>
      <c r="N889" t="s">
        <v>105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144</v>
      </c>
      <c r="W889" t="s">
        <v>78</v>
      </c>
      <c r="X889" s="4">
        <v>0</v>
      </c>
      <c r="Y889" t="s">
        <v>62</v>
      </c>
      <c r="AE889" s="3"/>
      <c r="AK889" s="5"/>
    </row>
    <row r="890" spans="1:47" hidden="1" x14ac:dyDescent="0.25">
      <c r="A890" t="s">
        <v>63</v>
      </c>
      <c r="B890" s="1">
        <v>0</v>
      </c>
      <c r="C890">
        <v>0</v>
      </c>
      <c r="D890">
        <v>686.5</v>
      </c>
      <c r="E890" s="2">
        <v>0</v>
      </c>
      <c r="F890">
        <v>0</v>
      </c>
      <c r="G890">
        <v>500</v>
      </c>
      <c r="H890" s="3" t="s">
        <v>54</v>
      </c>
      <c r="I890" s="3" t="s">
        <v>59</v>
      </c>
      <c r="K890" s="3" t="s">
        <v>73</v>
      </c>
      <c r="L890" t="s">
        <v>73</v>
      </c>
      <c r="M890" s="3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  <c r="X890" s="4"/>
      <c r="AK890" s="5"/>
    </row>
    <row r="891" spans="1:47" hidden="1" x14ac:dyDescent="0.25">
      <c r="A891" t="s">
        <v>95</v>
      </c>
      <c r="B891" s="1">
        <v>37750</v>
      </c>
      <c r="C891" t="s">
        <v>48</v>
      </c>
      <c r="D891" t="s">
        <v>49</v>
      </c>
      <c r="E891" s="2">
        <v>45875</v>
      </c>
      <c r="F891" t="s">
        <v>138</v>
      </c>
      <c r="G891" t="s">
        <v>139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 s="3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198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102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hidden="1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148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 s="3">
        <v>148.05000000000001</v>
      </c>
      <c r="N892" t="s">
        <v>83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hidden="1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148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 s="3">
        <v>370.86</v>
      </c>
      <c r="M893" s="3">
        <v>277.39</v>
      </c>
      <c r="N893" t="s">
        <v>83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 s="3">
        <v>0</v>
      </c>
      <c r="AE893" s="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hidden="1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148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 s="3">
        <v>262.98</v>
      </c>
      <c r="M894" s="3">
        <v>196.7</v>
      </c>
      <c r="N894" t="s">
        <v>83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 s="3">
        <v>262.98</v>
      </c>
      <c r="AC894">
        <v>0</v>
      </c>
      <c r="AD894">
        <v>0</v>
      </c>
      <c r="AE894" s="3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hidden="1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s="3" t="s">
        <v>148</v>
      </c>
      <c r="G895" s="3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 s="3">
        <v>592.70000000000005</v>
      </c>
      <c r="N895" t="s">
        <v>83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 s="3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hidden="1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148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 s="3">
        <v>700.5</v>
      </c>
      <c r="N896" t="s">
        <v>83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 s="3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hidden="1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s="3" t="s">
        <v>148</v>
      </c>
      <c r="G897" s="3" t="s">
        <v>66</v>
      </c>
      <c r="H897" s="3">
        <v>3671.2</v>
      </c>
      <c r="I897" s="3">
        <v>3671.2</v>
      </c>
      <c r="J897">
        <v>0</v>
      </c>
      <c r="K897" s="3">
        <v>4221.88</v>
      </c>
      <c r="L897" s="3">
        <v>301.64</v>
      </c>
      <c r="M897" s="3">
        <v>225.63</v>
      </c>
      <c r="N897" t="s">
        <v>83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 s="3">
        <v>301.64</v>
      </c>
      <c r="AC897">
        <v>0</v>
      </c>
      <c r="AD897">
        <v>0</v>
      </c>
      <c r="AE897" s="3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hidden="1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148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 s="3">
        <v>370.86</v>
      </c>
      <c r="M898" s="3">
        <v>277.39</v>
      </c>
      <c r="N898" t="s">
        <v>83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 s="3">
        <v>370.86</v>
      </c>
      <c r="AC898">
        <v>0</v>
      </c>
      <c r="AD898">
        <v>0</v>
      </c>
      <c r="AE898" s="3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hidden="1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s="3" t="s">
        <v>202</v>
      </c>
      <c r="G899" s="3" t="s">
        <v>122</v>
      </c>
      <c r="H899" s="3">
        <v>3542.4</v>
      </c>
      <c r="I899" s="3">
        <v>3542.4</v>
      </c>
      <c r="J899">
        <v>0</v>
      </c>
      <c r="K899" s="3">
        <v>4073.76</v>
      </c>
      <c r="L899" s="3">
        <v>302.39999999999998</v>
      </c>
      <c r="M899" s="3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 s="3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91</v>
      </c>
      <c r="AJ899" t="s">
        <v>91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hidden="1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157</v>
      </c>
      <c r="G900" t="s">
        <v>108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158</v>
      </c>
      <c r="X900" s="4">
        <v>0</v>
      </c>
      <c r="Y900" t="s">
        <v>58</v>
      </c>
      <c r="Z900">
        <v>0</v>
      </c>
      <c r="AA900">
        <v>0</v>
      </c>
      <c r="AB900" s="3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hidden="1" x14ac:dyDescent="0.25">
      <c r="A901" t="s">
        <v>95</v>
      </c>
      <c r="B901" s="1">
        <v>37763</v>
      </c>
      <c r="C901" t="s">
        <v>48</v>
      </c>
      <c r="D901" t="s">
        <v>49</v>
      </c>
      <c r="E901" s="2">
        <v>45876</v>
      </c>
      <c r="F901" t="s">
        <v>176</v>
      </c>
      <c r="G901" s="3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257</v>
      </c>
      <c r="X901" s="4">
        <v>0</v>
      </c>
      <c r="Y901" t="s">
        <v>62</v>
      </c>
      <c r="AK901" s="5"/>
    </row>
    <row r="902" spans="1:47" hidden="1" x14ac:dyDescent="0.25">
      <c r="A902" t="s">
        <v>63</v>
      </c>
      <c r="B902" s="1">
        <v>0</v>
      </c>
      <c r="C902">
        <v>0</v>
      </c>
      <c r="D902">
        <v>0</v>
      </c>
      <c r="E902" s="2">
        <v>0</v>
      </c>
      <c r="F902" s="3">
        <v>3673.87</v>
      </c>
      <c r="G902" s="3">
        <v>8799</v>
      </c>
      <c r="H902" s="3" t="s">
        <v>54</v>
      </c>
      <c r="I902" s="3" t="s">
        <v>59</v>
      </c>
      <c r="K902" s="3" t="s">
        <v>60</v>
      </c>
      <c r="L902" s="3" t="s">
        <v>60</v>
      </c>
      <c r="M902" s="3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  <c r="X902" s="4"/>
      <c r="AB902" s="3"/>
      <c r="AE902" s="3"/>
      <c r="AK902" s="5"/>
    </row>
    <row r="903" spans="1:47" hidden="1" x14ac:dyDescent="0.25">
      <c r="A903" t="s">
        <v>95</v>
      </c>
      <c r="B903" s="1">
        <v>37765</v>
      </c>
      <c r="C903" t="s">
        <v>48</v>
      </c>
      <c r="D903" t="s">
        <v>49</v>
      </c>
      <c r="E903" s="2">
        <v>45876</v>
      </c>
      <c r="F903" t="s">
        <v>176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257</v>
      </c>
      <c r="X903" s="4">
        <v>0</v>
      </c>
      <c r="Y903" t="s">
        <v>62</v>
      </c>
      <c r="AB903" s="3"/>
      <c r="AE903" s="3"/>
      <c r="AK903" s="5"/>
    </row>
    <row r="904" spans="1:47" hidden="1" x14ac:dyDescent="0.25">
      <c r="A904" t="s">
        <v>63</v>
      </c>
      <c r="B904" s="1">
        <v>0</v>
      </c>
      <c r="C904">
        <v>0</v>
      </c>
      <c r="D904">
        <v>0</v>
      </c>
      <c r="E904" s="2">
        <v>0</v>
      </c>
      <c r="F904" s="3">
        <v>3673.87</v>
      </c>
      <c r="G904" s="3">
        <v>8799</v>
      </c>
      <c r="H904" s="3" t="s">
        <v>54</v>
      </c>
      <c r="I904" s="3" t="s">
        <v>59</v>
      </c>
      <c r="K904" s="3" t="s">
        <v>60</v>
      </c>
      <c r="L904" s="3" t="s">
        <v>60</v>
      </c>
      <c r="M904" s="3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  <c r="X904" s="4"/>
      <c r="AB904" s="3"/>
      <c r="AE904" s="3"/>
      <c r="AK904" s="5"/>
    </row>
    <row r="905" spans="1:47" hidden="1" x14ac:dyDescent="0.25">
      <c r="A905" t="s">
        <v>95</v>
      </c>
      <c r="B905" s="1">
        <v>37766</v>
      </c>
      <c r="C905" t="s">
        <v>48</v>
      </c>
      <c r="D905" t="s">
        <v>49</v>
      </c>
      <c r="E905" s="2">
        <v>45876</v>
      </c>
      <c r="F905" t="s">
        <v>176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257</v>
      </c>
      <c r="X905" s="4">
        <v>0</v>
      </c>
      <c r="Y905" t="s">
        <v>62</v>
      </c>
      <c r="Z905" s="3"/>
      <c r="AB905" s="3"/>
      <c r="AE905" s="3"/>
      <c r="AK905" s="5"/>
    </row>
    <row r="906" spans="1:47" hidden="1" x14ac:dyDescent="0.25">
      <c r="A906" t="s">
        <v>63</v>
      </c>
      <c r="B906" s="1">
        <v>0</v>
      </c>
      <c r="C906">
        <v>0</v>
      </c>
      <c r="D906">
        <v>0</v>
      </c>
      <c r="E906" s="2">
        <v>0</v>
      </c>
      <c r="F906" s="3">
        <v>3673.87</v>
      </c>
      <c r="G906" s="3">
        <v>8799</v>
      </c>
      <c r="H906" s="3" t="s">
        <v>54</v>
      </c>
      <c r="I906" s="3" t="s">
        <v>59</v>
      </c>
      <c r="K906" s="3" t="s">
        <v>60</v>
      </c>
      <c r="L906" s="3" t="s">
        <v>60</v>
      </c>
      <c r="M906" s="3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  <c r="X906" s="4"/>
      <c r="AB906" s="3"/>
      <c r="AE906" s="3"/>
      <c r="AK906" s="5"/>
    </row>
    <row r="907" spans="1:47" hidden="1" x14ac:dyDescent="0.25">
      <c r="A907" t="s">
        <v>95</v>
      </c>
      <c r="B907" s="1">
        <v>37767</v>
      </c>
      <c r="C907" t="s">
        <v>48</v>
      </c>
      <c r="D907" t="s">
        <v>49</v>
      </c>
      <c r="E907" s="2">
        <v>45876</v>
      </c>
      <c r="F907" t="s">
        <v>301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 s="3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353</v>
      </c>
      <c r="X907" s="4">
        <v>0</v>
      </c>
      <c r="Y907" t="s">
        <v>62</v>
      </c>
      <c r="AE907" s="3"/>
      <c r="AK907" s="5"/>
    </row>
    <row r="908" spans="1:47" hidden="1" x14ac:dyDescent="0.25">
      <c r="A908" t="s">
        <v>63</v>
      </c>
      <c r="B908" s="3">
        <v>2235.4499999999998</v>
      </c>
      <c r="C908">
        <v>0</v>
      </c>
      <c r="D908">
        <v>0</v>
      </c>
      <c r="E908" s="2">
        <v>0</v>
      </c>
      <c r="F908" s="3">
        <v>0</v>
      </c>
      <c r="G908" s="3">
        <v>6150</v>
      </c>
      <c r="H908" s="3" t="s">
        <v>54</v>
      </c>
      <c r="I908" s="3" t="s">
        <v>59</v>
      </c>
      <c r="K908" s="3" t="s">
        <v>60</v>
      </c>
      <c r="L908" s="3" t="s">
        <v>60</v>
      </c>
      <c r="M908" s="3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  <c r="X908" s="4"/>
      <c r="AB908" s="3"/>
      <c r="AE908" s="3"/>
      <c r="AK908" s="5"/>
    </row>
    <row r="909" spans="1:47" hidden="1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 s="3">
        <v>218.4</v>
      </c>
      <c r="M909" s="3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197</v>
      </c>
      <c r="Z909">
        <v>218.4</v>
      </c>
      <c r="AA909">
        <v>0</v>
      </c>
      <c r="AB909" s="3">
        <v>0</v>
      </c>
      <c r="AC909">
        <v>0</v>
      </c>
      <c r="AD909">
        <v>0</v>
      </c>
      <c r="AE909" s="3">
        <v>200</v>
      </c>
      <c r="AF909" t="s">
        <v>54</v>
      </c>
      <c r="AG909" t="s">
        <v>59</v>
      </c>
      <c r="AI909" t="s">
        <v>91</v>
      </c>
      <c r="AJ909" t="s">
        <v>91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hidden="1" x14ac:dyDescent="0.25">
      <c r="A910" t="s">
        <v>95</v>
      </c>
      <c r="B910" s="1">
        <v>37770</v>
      </c>
      <c r="C910" t="s">
        <v>48</v>
      </c>
      <c r="D910" t="s">
        <v>49</v>
      </c>
      <c r="E910" s="2">
        <v>45877</v>
      </c>
      <c r="F910" t="s">
        <v>149</v>
      </c>
      <c r="G910" s="3" t="s">
        <v>150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 s="3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151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 s="3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hidden="1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110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 s="3">
        <v>268.8</v>
      </c>
      <c r="M911" s="3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94</v>
      </c>
      <c r="X911" s="4">
        <v>0</v>
      </c>
      <c r="Y911" t="s">
        <v>58</v>
      </c>
      <c r="Z911">
        <v>268.8</v>
      </c>
      <c r="AA911">
        <v>0</v>
      </c>
      <c r="AB911" s="3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hidden="1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354</v>
      </c>
      <c r="G912" s="3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 s="3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94</v>
      </c>
      <c r="X912" s="4">
        <v>0</v>
      </c>
      <c r="Y912" t="s">
        <v>58</v>
      </c>
      <c r="Z912" s="3">
        <v>1164</v>
      </c>
      <c r="AA912">
        <v>0</v>
      </c>
      <c r="AB912" s="3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178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hidden="1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107</v>
      </c>
      <c r="G913" t="s">
        <v>108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83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109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91</v>
      </c>
      <c r="AJ913" t="s">
        <v>91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hidden="1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 s="3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 s="3">
        <v>0</v>
      </c>
      <c r="AC914">
        <v>0</v>
      </c>
      <c r="AD914">
        <v>0</v>
      </c>
      <c r="AE914" s="3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hidden="1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 s="3">
        <v>874.3</v>
      </c>
      <c r="M915" s="3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  <c r="Z915" s="3"/>
      <c r="AB915" s="3"/>
      <c r="AE915" s="3"/>
      <c r="AK915" s="5"/>
    </row>
    <row r="916" spans="1:47" hidden="1" x14ac:dyDescent="0.25">
      <c r="A916" t="s">
        <v>63</v>
      </c>
      <c r="B916" s="1">
        <v>222.5</v>
      </c>
      <c r="C916">
        <v>0</v>
      </c>
      <c r="D916">
        <v>651.79999999999995</v>
      </c>
      <c r="E916" s="2">
        <v>0</v>
      </c>
      <c r="F916">
        <v>0</v>
      </c>
      <c r="G916" s="3">
        <v>1400</v>
      </c>
      <c r="H916" s="3" t="s">
        <v>54</v>
      </c>
      <c r="I916" s="3" t="s">
        <v>59</v>
      </c>
      <c r="J916" t="s">
        <v>64</v>
      </c>
      <c r="K916" s="3" t="s">
        <v>60</v>
      </c>
      <c r="L916" s="3" t="s">
        <v>60</v>
      </c>
      <c r="M916" s="3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  <c r="X916" s="4"/>
    </row>
    <row r="917" spans="1:47" hidden="1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127</v>
      </c>
      <c r="G917" s="3" t="s">
        <v>128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 s="3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129</v>
      </c>
      <c r="X917" s="4">
        <v>0</v>
      </c>
      <c r="Y917" t="s">
        <v>62</v>
      </c>
    </row>
    <row r="918" spans="1:47" hidden="1" x14ac:dyDescent="0.25">
      <c r="A918" t="s">
        <v>63</v>
      </c>
      <c r="B918" s="3">
        <v>1044.8</v>
      </c>
      <c r="C918">
        <v>0</v>
      </c>
      <c r="D918" s="3">
        <v>0</v>
      </c>
      <c r="E918" s="2">
        <v>0</v>
      </c>
      <c r="F918">
        <v>0</v>
      </c>
      <c r="G918" s="3">
        <v>2700</v>
      </c>
      <c r="H918" s="3" t="s">
        <v>54</v>
      </c>
      <c r="I918" s="3" t="s">
        <v>59</v>
      </c>
      <c r="K918" s="3" t="s">
        <v>60</v>
      </c>
      <c r="L918" s="3" t="s">
        <v>60</v>
      </c>
      <c r="M918" s="3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  <c r="X918" s="4"/>
    </row>
    <row r="919" spans="1:47" hidden="1" x14ac:dyDescent="0.25">
      <c r="A919" t="s">
        <v>95</v>
      </c>
      <c r="B919" s="1">
        <v>37777</v>
      </c>
      <c r="C919" t="s">
        <v>48</v>
      </c>
      <c r="D919" t="s">
        <v>49</v>
      </c>
      <c r="E919" s="2">
        <v>45880</v>
      </c>
      <c r="F919" s="3" t="s">
        <v>201</v>
      </c>
      <c r="G919" s="3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 s="3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160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161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hidden="1" x14ac:dyDescent="0.25">
      <c r="A920" t="s">
        <v>47</v>
      </c>
      <c r="B920" s="1">
        <v>37778</v>
      </c>
      <c r="C920" t="s">
        <v>48</v>
      </c>
      <c r="D920" s="3" t="s">
        <v>49</v>
      </c>
      <c r="E920" s="2">
        <v>45880</v>
      </c>
      <c r="F920" t="s">
        <v>285</v>
      </c>
      <c r="G920" s="3" t="s">
        <v>69</v>
      </c>
      <c r="H920" s="3">
        <v>4488</v>
      </c>
      <c r="I920" s="3">
        <v>4488</v>
      </c>
      <c r="J920">
        <v>0</v>
      </c>
      <c r="K920" s="3">
        <v>5161.2</v>
      </c>
      <c r="L920" s="3">
        <v>349.6</v>
      </c>
      <c r="M920" s="3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94</v>
      </c>
      <c r="X920" s="4">
        <v>0</v>
      </c>
      <c r="Y920" t="s">
        <v>62</v>
      </c>
    </row>
    <row r="921" spans="1:47" hidden="1" x14ac:dyDescent="0.25">
      <c r="A921" t="s">
        <v>63</v>
      </c>
      <c r="B921" s="1">
        <v>0</v>
      </c>
      <c r="C921">
        <v>0</v>
      </c>
      <c r="D921">
        <v>349.6</v>
      </c>
      <c r="E921" s="2">
        <v>0</v>
      </c>
      <c r="F921">
        <v>0</v>
      </c>
      <c r="G921" s="3">
        <v>800</v>
      </c>
      <c r="H921" s="3" t="s">
        <v>54</v>
      </c>
      <c r="I921" s="3" t="s">
        <v>59</v>
      </c>
      <c r="K921" s="3" t="s">
        <v>80</v>
      </c>
      <c r="L921" s="3" t="s">
        <v>73</v>
      </c>
      <c r="M921" s="3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  <c r="X921" s="4"/>
      <c r="Z921" s="3"/>
      <c r="AD921" s="3"/>
      <c r="AE921" s="3"/>
      <c r="AK921" s="5"/>
    </row>
    <row r="922" spans="1:47" hidden="1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212</v>
      </c>
      <c r="G922" t="s">
        <v>88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 s="3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94</v>
      </c>
      <c r="X922" s="4">
        <v>0</v>
      </c>
      <c r="Y922" t="s">
        <v>58</v>
      </c>
      <c r="Z922" s="3">
        <v>0</v>
      </c>
      <c r="AA922" s="3">
        <v>1006.95</v>
      </c>
      <c r="AB922" s="3">
        <v>0</v>
      </c>
      <c r="AC922">
        <v>0</v>
      </c>
      <c r="AD922">
        <v>0</v>
      </c>
      <c r="AE922" s="3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hidden="1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212</v>
      </c>
      <c r="G923" t="s">
        <v>88</v>
      </c>
      <c r="H923" s="3">
        <v>5544</v>
      </c>
      <c r="I923" s="3">
        <v>5544</v>
      </c>
      <c r="J923">
        <v>0</v>
      </c>
      <c r="K923" s="3">
        <v>6375.6</v>
      </c>
      <c r="L923" s="3">
        <v>897.2</v>
      </c>
      <c r="M923" s="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94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 s="3">
        <v>0</v>
      </c>
      <c r="AE923" s="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hidden="1" x14ac:dyDescent="0.25">
      <c r="A924" t="s">
        <v>95</v>
      </c>
      <c r="B924" s="1">
        <v>37781</v>
      </c>
      <c r="C924" t="s">
        <v>48</v>
      </c>
      <c r="D924" s="3" t="s">
        <v>49</v>
      </c>
      <c r="E924" s="2">
        <v>45880</v>
      </c>
      <c r="F924" t="s">
        <v>320</v>
      </c>
      <c r="G924" s="3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 s="3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188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hidden="1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229</v>
      </c>
      <c r="G925" t="s">
        <v>168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 s="3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200</v>
      </c>
      <c r="W925" t="s">
        <v>198</v>
      </c>
      <c r="X925" s="4">
        <v>0</v>
      </c>
      <c r="Y925" t="s">
        <v>62</v>
      </c>
      <c r="Z925" s="3"/>
      <c r="AD925" s="3"/>
      <c r="AE925" s="3"/>
      <c r="AK925" s="5"/>
    </row>
    <row r="926" spans="1:47" hidden="1" x14ac:dyDescent="0.25">
      <c r="A926" t="s">
        <v>63</v>
      </c>
      <c r="B926" s="3">
        <v>1106</v>
      </c>
      <c r="C926">
        <v>0</v>
      </c>
      <c r="D926">
        <v>0</v>
      </c>
      <c r="E926" s="2">
        <v>0</v>
      </c>
      <c r="F926">
        <v>0</v>
      </c>
      <c r="G926" s="3">
        <v>2000</v>
      </c>
      <c r="H926" s="3" t="s">
        <v>54</v>
      </c>
      <c r="I926" s="3" t="s">
        <v>59</v>
      </c>
      <c r="K926" s="3" t="s">
        <v>80</v>
      </c>
      <c r="L926" s="3" t="s">
        <v>91</v>
      </c>
      <c r="M926" s="3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  <c r="X926" s="4"/>
      <c r="AD926" s="3"/>
      <c r="AE926" s="3"/>
      <c r="AK926" s="5"/>
    </row>
    <row r="927" spans="1:47" hidden="1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355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 s="3">
        <v>160.5</v>
      </c>
      <c r="M927" s="3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94</v>
      </c>
      <c r="X927" s="4">
        <v>0</v>
      </c>
      <c r="Y927" t="s">
        <v>62</v>
      </c>
      <c r="AD927" s="3"/>
      <c r="AE927" s="3"/>
      <c r="AK927" s="5"/>
    </row>
    <row r="928" spans="1:47" hidden="1" x14ac:dyDescent="0.25">
      <c r="A928" t="s">
        <v>63</v>
      </c>
      <c r="B928" s="1">
        <v>0</v>
      </c>
      <c r="C928">
        <v>0</v>
      </c>
      <c r="D928">
        <v>0</v>
      </c>
      <c r="E928" s="2">
        <v>0</v>
      </c>
      <c r="F928">
        <v>160.5</v>
      </c>
      <c r="G928">
        <v>100</v>
      </c>
      <c r="H928" s="3" t="s">
        <v>54</v>
      </c>
      <c r="I928" s="3" t="s">
        <v>59</v>
      </c>
      <c r="K928" s="3" t="s">
        <v>80</v>
      </c>
      <c r="L928" s="3" t="s">
        <v>73</v>
      </c>
      <c r="M928" s="3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  <c r="X928" s="4"/>
      <c r="AA928" s="3"/>
      <c r="AD928" s="3"/>
      <c r="AE928" s="3"/>
      <c r="AK928" s="5"/>
    </row>
    <row r="929" spans="1:47" hidden="1" x14ac:dyDescent="0.25">
      <c r="A929" t="s">
        <v>95</v>
      </c>
      <c r="B929" s="1">
        <v>37784</v>
      </c>
      <c r="C929" t="s">
        <v>48</v>
      </c>
      <c r="D929" t="s">
        <v>49</v>
      </c>
      <c r="E929" s="2">
        <v>45881</v>
      </c>
      <c r="F929" t="s">
        <v>410</v>
      </c>
      <c r="G929" t="s">
        <v>117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 s="3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197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91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hidden="1" x14ac:dyDescent="0.25">
      <c r="A930" t="s">
        <v>95</v>
      </c>
      <c r="B930" s="1">
        <v>37786</v>
      </c>
      <c r="C930" t="s">
        <v>48</v>
      </c>
      <c r="D930" t="s">
        <v>49</v>
      </c>
      <c r="E930" s="2">
        <v>45881</v>
      </c>
      <c r="F930" t="s">
        <v>410</v>
      </c>
      <c r="G930" t="s">
        <v>117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 s="3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197</v>
      </c>
      <c r="Z930">
        <v>365.8</v>
      </c>
      <c r="AA930">
        <v>0</v>
      </c>
      <c r="AB930" s="3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91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hidden="1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148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 s="3">
        <v>136.85</v>
      </c>
      <c r="M931" s="3">
        <v>102.36</v>
      </c>
      <c r="N931" t="s">
        <v>83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 s="3">
        <v>0</v>
      </c>
      <c r="AA931">
        <v>0</v>
      </c>
      <c r="AB931">
        <v>136.85</v>
      </c>
      <c r="AC931">
        <v>0</v>
      </c>
      <c r="AD931">
        <v>0</v>
      </c>
      <c r="AE931" s="3">
        <v>35</v>
      </c>
      <c r="AF931" t="s">
        <v>54</v>
      </c>
      <c r="AG931" t="s">
        <v>59</v>
      </c>
      <c r="AI931" t="s">
        <v>91</v>
      </c>
      <c r="AJ931" t="s">
        <v>91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hidden="1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91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hidden="1" x14ac:dyDescent="0.25">
      <c r="A933" t="s">
        <v>47</v>
      </c>
      <c r="B933" s="1">
        <v>37789</v>
      </c>
      <c r="C933" t="s">
        <v>48</v>
      </c>
      <c r="D933" s="3" t="s">
        <v>49</v>
      </c>
      <c r="E933" s="2">
        <v>45881</v>
      </c>
      <c r="F933" t="s">
        <v>205</v>
      </c>
      <c r="G933" s="3" t="s">
        <v>117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 s="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129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206</v>
      </c>
      <c r="AI933" t="s">
        <v>60</v>
      </c>
      <c r="AJ933" t="s">
        <v>91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hidden="1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205</v>
      </c>
      <c r="G934" t="s">
        <v>117</v>
      </c>
      <c r="H934" s="3">
        <v>1560</v>
      </c>
      <c r="I934" s="3">
        <v>1560</v>
      </c>
      <c r="J934">
        <v>0</v>
      </c>
      <c r="K934" s="3">
        <v>1794</v>
      </c>
      <c r="L934" s="3">
        <v>209.6</v>
      </c>
      <c r="M934" s="3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206</v>
      </c>
      <c r="AI934" t="s">
        <v>60</v>
      </c>
      <c r="AJ934" t="s">
        <v>91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hidden="1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s="3" t="s">
        <v>100</v>
      </c>
      <c r="G935" s="3" t="s">
        <v>93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 s="3">
        <v>171.28</v>
      </c>
      <c r="N935" t="s">
        <v>83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101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102</v>
      </c>
      <c r="AI935" t="s">
        <v>91</v>
      </c>
      <c r="AJ935" t="s">
        <v>91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hidden="1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110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 s="3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94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178</v>
      </c>
      <c r="AI936" t="s">
        <v>73</v>
      </c>
      <c r="AJ936" t="s">
        <v>91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hidden="1" x14ac:dyDescent="0.25">
      <c r="A937" t="s">
        <v>47</v>
      </c>
      <c r="B937" s="1">
        <v>37793</v>
      </c>
      <c r="C937" t="s">
        <v>48</v>
      </c>
      <c r="D937" s="3" t="s">
        <v>49</v>
      </c>
      <c r="E937" s="2">
        <v>45882</v>
      </c>
      <c r="F937" t="s">
        <v>110</v>
      </c>
      <c r="G937" s="3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 s="3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94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178</v>
      </c>
      <c r="AI937" t="s">
        <v>73</v>
      </c>
      <c r="AJ937" t="s">
        <v>91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hidden="1" x14ac:dyDescent="0.25">
      <c r="A938" t="s">
        <v>95</v>
      </c>
      <c r="B938" s="1">
        <v>37797</v>
      </c>
      <c r="C938" t="s">
        <v>48</v>
      </c>
      <c r="D938" t="s">
        <v>49</v>
      </c>
      <c r="E938" s="2">
        <v>45882</v>
      </c>
      <c r="F938" t="s">
        <v>356</v>
      </c>
      <c r="G938" t="s">
        <v>82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83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141</v>
      </c>
      <c r="X938" s="4">
        <v>0</v>
      </c>
      <c r="Y938" t="s">
        <v>62</v>
      </c>
      <c r="AK938" s="5"/>
    </row>
    <row r="939" spans="1:47" hidden="1" x14ac:dyDescent="0.25">
      <c r="A939" t="s">
        <v>63</v>
      </c>
      <c r="B939" s="3">
        <v>0</v>
      </c>
      <c r="C939">
        <v>0</v>
      </c>
      <c r="D939">
        <v>0</v>
      </c>
      <c r="E939" s="2">
        <v>0</v>
      </c>
      <c r="F939" s="3">
        <v>3532.5</v>
      </c>
      <c r="G939" s="3">
        <v>1500</v>
      </c>
      <c r="H939" s="3" t="s">
        <v>54</v>
      </c>
      <c r="I939" s="3" t="s">
        <v>59</v>
      </c>
      <c r="K939" s="3" t="s">
        <v>91</v>
      </c>
      <c r="L939" t="s">
        <v>91</v>
      </c>
      <c r="M939" s="3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  <c r="X939" s="4"/>
      <c r="AK939" s="5"/>
    </row>
    <row r="940" spans="1:47" hidden="1" x14ac:dyDescent="0.25">
      <c r="A940" t="s">
        <v>95</v>
      </c>
      <c r="B940" s="1">
        <v>37798</v>
      </c>
      <c r="C940" t="s">
        <v>48</v>
      </c>
      <c r="D940" t="s">
        <v>49</v>
      </c>
      <c r="E940" s="2">
        <v>45883</v>
      </c>
      <c r="F940" t="s">
        <v>298</v>
      </c>
      <c r="G940" t="s">
        <v>93</v>
      </c>
      <c r="H940" s="3">
        <v>7.96</v>
      </c>
      <c r="I940" s="3">
        <v>7.96</v>
      </c>
      <c r="J940">
        <v>0</v>
      </c>
      <c r="K940" s="3">
        <v>7.96</v>
      </c>
      <c r="L940">
        <v>1.35</v>
      </c>
      <c r="M940" s="3">
        <v>0.84</v>
      </c>
      <c r="N940" t="s">
        <v>105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219</v>
      </c>
      <c r="X940" s="4">
        <v>0</v>
      </c>
      <c r="Y940" t="s">
        <v>62</v>
      </c>
      <c r="AK940" s="5"/>
    </row>
    <row r="941" spans="1:47" hidden="1" x14ac:dyDescent="0.25">
      <c r="A941" t="s">
        <v>63</v>
      </c>
      <c r="B941" s="1">
        <v>0</v>
      </c>
      <c r="C941">
        <v>0</v>
      </c>
      <c r="D941">
        <v>1.35</v>
      </c>
      <c r="E941" s="2">
        <v>0</v>
      </c>
      <c r="F941">
        <v>0</v>
      </c>
      <c r="G941">
        <v>1</v>
      </c>
      <c r="H941" s="3" t="s">
        <v>54</v>
      </c>
      <c r="I941" s="3" t="s">
        <v>59</v>
      </c>
      <c r="K941" s="3" t="s">
        <v>73</v>
      </c>
      <c r="L941" t="s">
        <v>73</v>
      </c>
      <c r="M941" s="3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  <c r="X941" s="4"/>
      <c r="AK941" s="5"/>
    </row>
    <row r="942" spans="1:47" hidden="1" x14ac:dyDescent="0.25">
      <c r="A942" t="s">
        <v>95</v>
      </c>
      <c r="B942" s="1">
        <v>37799</v>
      </c>
      <c r="C942" t="s">
        <v>48</v>
      </c>
      <c r="D942" t="s">
        <v>49</v>
      </c>
      <c r="E942" s="2">
        <v>45883</v>
      </c>
      <c r="F942" t="s">
        <v>299</v>
      </c>
      <c r="G942" t="s">
        <v>163</v>
      </c>
      <c r="H942" s="3">
        <v>8.1</v>
      </c>
      <c r="I942" s="3">
        <v>8.1</v>
      </c>
      <c r="J942">
        <v>0</v>
      </c>
      <c r="K942" s="3">
        <v>8.1</v>
      </c>
      <c r="L942" s="3">
        <v>1.35</v>
      </c>
      <c r="M942" s="3">
        <v>0.84</v>
      </c>
      <c r="N942" t="s">
        <v>105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144</v>
      </c>
      <c r="W942" t="s">
        <v>219</v>
      </c>
      <c r="X942" s="4">
        <v>0</v>
      </c>
      <c r="Y942" t="s">
        <v>62</v>
      </c>
    </row>
    <row r="943" spans="1:47" hidden="1" x14ac:dyDescent="0.25">
      <c r="A943" t="s">
        <v>63</v>
      </c>
      <c r="B943" s="3">
        <v>0</v>
      </c>
      <c r="C943" s="3">
        <v>0</v>
      </c>
      <c r="D943">
        <v>1.35</v>
      </c>
      <c r="E943">
        <v>0</v>
      </c>
      <c r="F943">
        <v>0</v>
      </c>
      <c r="G943" s="3">
        <v>1</v>
      </c>
      <c r="H943" t="s">
        <v>54</v>
      </c>
      <c r="I943" t="s">
        <v>59</v>
      </c>
      <c r="K943" t="s">
        <v>73</v>
      </c>
      <c r="L943" t="s">
        <v>73</v>
      </c>
      <c r="M943" s="3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hidden="1" x14ac:dyDescent="0.25">
      <c r="A944" t="s">
        <v>47</v>
      </c>
      <c r="B944" s="1">
        <v>37800</v>
      </c>
      <c r="C944" t="s">
        <v>48</v>
      </c>
      <c r="D944" s="3" t="s">
        <v>49</v>
      </c>
      <c r="E944" s="2">
        <v>45883</v>
      </c>
      <c r="F944" t="s">
        <v>68</v>
      </c>
      <c r="G944" s="3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 s="3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  <c r="Z944" s="3"/>
      <c r="AB944" s="3"/>
      <c r="AE944" s="3"/>
      <c r="AK944" s="5"/>
    </row>
    <row r="945" spans="1:47" hidden="1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3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hidden="1" x14ac:dyDescent="0.25">
      <c r="A946" t="s">
        <v>95</v>
      </c>
      <c r="B946" s="1">
        <v>37801</v>
      </c>
      <c r="C946" t="s">
        <v>48</v>
      </c>
      <c r="D946" t="s">
        <v>49</v>
      </c>
      <c r="E946" s="2">
        <v>45884</v>
      </c>
      <c r="F946" t="s">
        <v>216</v>
      </c>
      <c r="G946" t="s">
        <v>163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105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144</v>
      </c>
      <c r="W946" t="s">
        <v>151</v>
      </c>
      <c r="X946" s="4">
        <v>0</v>
      </c>
      <c r="Y946" t="s">
        <v>58</v>
      </c>
      <c r="Z946" s="3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214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hidden="1" x14ac:dyDescent="0.25">
      <c r="A947" t="s">
        <v>95</v>
      </c>
      <c r="B947" s="1">
        <v>37802</v>
      </c>
      <c r="C947" t="s">
        <v>48</v>
      </c>
      <c r="D947" t="s">
        <v>49</v>
      </c>
      <c r="E947" s="2">
        <v>45884</v>
      </c>
      <c r="F947" t="s">
        <v>216</v>
      </c>
      <c r="G947" s="3" t="s">
        <v>163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 s="3">
        <v>446.12</v>
      </c>
      <c r="N947" t="s">
        <v>105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144</v>
      </c>
      <c r="W947" t="s">
        <v>151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214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hidden="1" x14ac:dyDescent="0.25">
      <c r="A948" t="s">
        <v>95</v>
      </c>
      <c r="B948" s="1">
        <v>37803</v>
      </c>
      <c r="C948" t="s">
        <v>48</v>
      </c>
      <c r="D948" t="s">
        <v>49</v>
      </c>
      <c r="E948" s="2">
        <v>45884</v>
      </c>
      <c r="F948" t="s">
        <v>138</v>
      </c>
      <c r="G948" t="s">
        <v>139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 s="3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198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102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hidden="1" x14ac:dyDescent="0.25">
      <c r="A949" t="s">
        <v>134</v>
      </c>
      <c r="B949" s="1">
        <v>37804</v>
      </c>
      <c r="C949" t="s">
        <v>48</v>
      </c>
      <c r="D949" t="s">
        <v>49</v>
      </c>
      <c r="E949" s="2">
        <v>45884</v>
      </c>
      <c r="F949" t="s">
        <v>281</v>
      </c>
      <c r="G949" t="s">
        <v>282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113</v>
      </c>
      <c r="X949" s="4">
        <v>0</v>
      </c>
      <c r="Y949" t="s">
        <v>62</v>
      </c>
      <c r="Z949" s="3"/>
      <c r="AE949" s="3"/>
      <c r="AK949" s="5"/>
    </row>
    <row r="950" spans="1:47" hidden="1" x14ac:dyDescent="0.25">
      <c r="A950" t="s">
        <v>63</v>
      </c>
      <c r="B950" s="3">
        <v>6175</v>
      </c>
      <c r="C950">
        <v>0</v>
      </c>
      <c r="D950">
        <v>0</v>
      </c>
      <c r="E950" s="2">
        <v>0</v>
      </c>
      <c r="F950">
        <v>0</v>
      </c>
      <c r="G950" s="3">
        <v>15000</v>
      </c>
      <c r="H950" s="3" t="s">
        <v>54</v>
      </c>
      <c r="I950" s="3" t="s">
        <v>59</v>
      </c>
      <c r="K950" s="3" t="s">
        <v>80</v>
      </c>
      <c r="L950" s="3" t="s">
        <v>73</v>
      </c>
      <c r="M950" s="3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  <c r="X950" s="4"/>
      <c r="Z950" s="3"/>
      <c r="AE950" s="3"/>
      <c r="AK950" s="5"/>
    </row>
    <row r="951" spans="1:47" hidden="1" x14ac:dyDescent="0.25">
      <c r="A951" t="s">
        <v>95</v>
      </c>
      <c r="B951" s="1">
        <v>37805</v>
      </c>
      <c r="C951" t="s">
        <v>48</v>
      </c>
      <c r="D951" t="s">
        <v>49</v>
      </c>
      <c r="E951" s="2">
        <v>45884</v>
      </c>
      <c r="F951" t="s">
        <v>273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 s="3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94</v>
      </c>
      <c r="X951" s="4">
        <v>0</v>
      </c>
      <c r="Y951" t="s">
        <v>62</v>
      </c>
      <c r="Z951" s="3"/>
      <c r="AB951" s="3"/>
      <c r="AE951" s="3"/>
      <c r="AK951" s="5"/>
    </row>
    <row r="952" spans="1:47" hidden="1" x14ac:dyDescent="0.25">
      <c r="A952" t="s">
        <v>63</v>
      </c>
      <c r="B952" s="3">
        <v>1195</v>
      </c>
      <c r="C952">
        <v>0</v>
      </c>
      <c r="D952">
        <v>0</v>
      </c>
      <c r="E952" s="2">
        <v>0</v>
      </c>
      <c r="F952">
        <v>0</v>
      </c>
      <c r="G952" s="3">
        <v>1000</v>
      </c>
      <c r="H952" s="3" t="s">
        <v>54</v>
      </c>
      <c r="I952" s="3" t="s">
        <v>59</v>
      </c>
      <c r="K952" s="3" t="s">
        <v>60</v>
      </c>
      <c r="L952" s="3" t="s">
        <v>60</v>
      </c>
      <c r="M952" s="3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  <c r="X952" s="4"/>
      <c r="Z952" s="3"/>
      <c r="AE952" s="3"/>
      <c r="AK952" s="5"/>
    </row>
    <row r="953" spans="1:47" hidden="1" x14ac:dyDescent="0.25">
      <c r="A953" t="s">
        <v>134</v>
      </c>
      <c r="B953" s="1">
        <v>37806</v>
      </c>
      <c r="C953" t="s">
        <v>48</v>
      </c>
      <c r="D953" t="s">
        <v>49</v>
      </c>
      <c r="E953" s="2">
        <v>45884</v>
      </c>
      <c r="F953" t="s">
        <v>238</v>
      </c>
      <c r="G953" t="s">
        <v>237</v>
      </c>
      <c r="H953" s="3">
        <v>3464</v>
      </c>
      <c r="I953" s="3">
        <v>3464</v>
      </c>
      <c r="J953">
        <v>0</v>
      </c>
      <c r="K953" s="3">
        <v>3464</v>
      </c>
      <c r="L953" s="3">
        <v>540.79999999999995</v>
      </c>
      <c r="M953" s="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160</v>
      </c>
      <c r="X953" s="4">
        <v>0</v>
      </c>
      <c r="Y953" t="s">
        <v>58</v>
      </c>
      <c r="Z953" s="3">
        <v>0</v>
      </c>
      <c r="AA953">
        <v>540.79999999999995</v>
      </c>
      <c r="AB953">
        <v>0</v>
      </c>
      <c r="AC953">
        <v>0</v>
      </c>
      <c r="AD953">
        <v>0</v>
      </c>
      <c r="AE953" s="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hidden="1" x14ac:dyDescent="0.25">
      <c r="A954" t="s">
        <v>95</v>
      </c>
      <c r="B954" s="1">
        <v>37807</v>
      </c>
      <c r="C954" t="s">
        <v>48</v>
      </c>
      <c r="D954" t="s">
        <v>49</v>
      </c>
      <c r="E954" s="2">
        <v>45887</v>
      </c>
      <c r="F954" t="s">
        <v>127</v>
      </c>
      <c r="G954" t="s">
        <v>128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129</v>
      </c>
      <c r="X954" s="4">
        <v>0</v>
      </c>
      <c r="Y954" t="s">
        <v>62</v>
      </c>
      <c r="Z954" s="3"/>
      <c r="AE954" s="3"/>
      <c r="AK954" s="5"/>
    </row>
    <row r="955" spans="1:47" hidden="1" x14ac:dyDescent="0.25">
      <c r="A955" t="s">
        <v>63</v>
      </c>
      <c r="B955" s="3">
        <v>2602.4</v>
      </c>
      <c r="C955">
        <v>0</v>
      </c>
      <c r="D955">
        <v>0</v>
      </c>
      <c r="E955" s="2">
        <v>0</v>
      </c>
      <c r="F955">
        <v>0</v>
      </c>
      <c r="G955" s="3">
        <v>2950</v>
      </c>
      <c r="H955" s="3" t="s">
        <v>54</v>
      </c>
      <c r="I955" s="3" t="s">
        <v>59</v>
      </c>
      <c r="K955" s="3" t="s">
        <v>73</v>
      </c>
      <c r="L955" s="3" t="s">
        <v>91</v>
      </c>
      <c r="M955" s="3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  <c r="X955" s="4"/>
      <c r="Z955" s="3"/>
      <c r="AE955" s="3"/>
      <c r="AK955" s="5"/>
    </row>
    <row r="956" spans="1:47" hidden="1" x14ac:dyDescent="0.25">
      <c r="A956" t="s">
        <v>95</v>
      </c>
      <c r="B956" s="1">
        <v>37809</v>
      </c>
      <c r="C956" t="s">
        <v>48</v>
      </c>
      <c r="D956" t="s">
        <v>49</v>
      </c>
      <c r="E956" s="2">
        <v>45887</v>
      </c>
      <c r="F956" t="s">
        <v>357</v>
      </c>
      <c r="G956" t="s">
        <v>69</v>
      </c>
      <c r="H956" s="3">
        <v>954</v>
      </c>
      <c r="I956" s="3">
        <v>954</v>
      </c>
      <c r="J956">
        <v>0</v>
      </c>
      <c r="K956" s="3">
        <v>954</v>
      </c>
      <c r="L956" s="3">
        <v>103.2</v>
      </c>
      <c r="M956" s="3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94</v>
      </c>
      <c r="X956" s="4">
        <v>0</v>
      </c>
      <c r="Y956" t="s">
        <v>62</v>
      </c>
      <c r="Z956" s="3"/>
      <c r="AE956" s="3"/>
      <c r="AK956" s="5"/>
    </row>
    <row r="957" spans="1:47" hidden="1" x14ac:dyDescent="0.25">
      <c r="A957" t="s">
        <v>63</v>
      </c>
      <c r="B957" s="1">
        <v>103.2</v>
      </c>
      <c r="C957">
        <v>0</v>
      </c>
      <c r="D957">
        <v>0</v>
      </c>
      <c r="E957" s="2">
        <v>0</v>
      </c>
      <c r="F957">
        <v>0</v>
      </c>
      <c r="G957">
        <v>300</v>
      </c>
      <c r="H957" s="3" t="s">
        <v>54</v>
      </c>
      <c r="I957" s="3" t="s">
        <v>59</v>
      </c>
      <c r="K957" s="3" t="s">
        <v>73</v>
      </c>
      <c r="L957" s="3" t="s">
        <v>73</v>
      </c>
      <c r="M957" s="3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  <c r="X957" s="4"/>
      <c r="Z957" s="3"/>
      <c r="AD957" s="3"/>
      <c r="AE957" s="3"/>
      <c r="AK957" s="5"/>
    </row>
    <row r="958" spans="1:47" hidden="1" x14ac:dyDescent="0.25">
      <c r="A958" t="s">
        <v>95</v>
      </c>
      <c r="B958" s="1">
        <v>37810</v>
      </c>
      <c r="C958" t="s">
        <v>48</v>
      </c>
      <c r="D958" t="s">
        <v>49</v>
      </c>
      <c r="E958" s="2">
        <v>45887</v>
      </c>
      <c r="F958" t="s">
        <v>297</v>
      </c>
      <c r="G958" t="s">
        <v>66</v>
      </c>
      <c r="H958" s="3">
        <v>190.05</v>
      </c>
      <c r="I958" s="3">
        <v>190.05</v>
      </c>
      <c r="J958">
        <v>0</v>
      </c>
      <c r="K958" s="3">
        <v>190.05</v>
      </c>
      <c r="L958" s="3">
        <v>25.89</v>
      </c>
      <c r="M958" s="3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287</v>
      </c>
      <c r="X958" s="4">
        <v>0</v>
      </c>
      <c r="Y958" t="s">
        <v>62</v>
      </c>
      <c r="Z958" s="3"/>
      <c r="AE958" s="3"/>
      <c r="AK958" s="5"/>
    </row>
    <row r="959" spans="1:47" hidden="1" x14ac:dyDescent="0.25">
      <c r="A959" t="s">
        <v>63</v>
      </c>
      <c r="B959" s="1">
        <v>25.89</v>
      </c>
      <c r="C959">
        <v>0</v>
      </c>
      <c r="D959">
        <v>0</v>
      </c>
      <c r="E959" s="2">
        <v>0</v>
      </c>
      <c r="F959">
        <v>0</v>
      </c>
      <c r="G959">
        <v>15</v>
      </c>
      <c r="H959" s="3" t="s">
        <v>54</v>
      </c>
      <c r="I959" s="3" t="s">
        <v>59</v>
      </c>
      <c r="K959" s="3" t="s">
        <v>73</v>
      </c>
      <c r="L959" s="3" t="s">
        <v>91</v>
      </c>
      <c r="M959" s="3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  <c r="X959" s="4"/>
      <c r="Z959" s="3"/>
      <c r="AE959" s="3"/>
      <c r="AK959" s="5"/>
    </row>
    <row r="960" spans="1:47" hidden="1" x14ac:dyDescent="0.25">
      <c r="A960" t="s">
        <v>95</v>
      </c>
      <c r="B960" s="1">
        <v>37813</v>
      </c>
      <c r="C960" t="s">
        <v>48</v>
      </c>
      <c r="D960" t="s">
        <v>49</v>
      </c>
      <c r="E960" s="2">
        <v>45887</v>
      </c>
      <c r="F960" t="s">
        <v>104</v>
      </c>
      <c r="G960" t="s">
        <v>93</v>
      </c>
      <c r="H960" s="3">
        <v>2760</v>
      </c>
      <c r="I960" s="3">
        <v>2760</v>
      </c>
      <c r="J960">
        <v>0</v>
      </c>
      <c r="K960" s="3">
        <v>2760</v>
      </c>
      <c r="L960" s="3">
        <v>388.8</v>
      </c>
      <c r="M960" s="3">
        <v>290.82</v>
      </c>
      <c r="N960" t="s">
        <v>105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106</v>
      </c>
      <c r="X960" s="4">
        <v>0</v>
      </c>
      <c r="Y960" t="s">
        <v>62</v>
      </c>
      <c r="AK960" s="5"/>
    </row>
    <row r="961" spans="1:47" hidden="1" x14ac:dyDescent="0.25">
      <c r="A961" t="s">
        <v>63</v>
      </c>
      <c r="B961" s="1">
        <v>0</v>
      </c>
      <c r="C961">
        <v>0</v>
      </c>
      <c r="D961" s="3">
        <v>388.8</v>
      </c>
      <c r="E961" s="2">
        <v>0</v>
      </c>
      <c r="F961">
        <v>0</v>
      </c>
      <c r="G961" s="3">
        <v>100</v>
      </c>
      <c r="H961" s="3" t="s">
        <v>54</v>
      </c>
      <c r="I961" s="3" t="s">
        <v>59</v>
      </c>
      <c r="J961" t="s">
        <v>178</v>
      </c>
      <c r="K961" s="3" t="s">
        <v>214</v>
      </c>
      <c r="L961" t="s">
        <v>73</v>
      </c>
      <c r="M961" s="3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  <c r="X961" s="4"/>
    </row>
    <row r="962" spans="1:47" hidden="1" x14ac:dyDescent="0.25">
      <c r="A962" t="s">
        <v>95</v>
      </c>
      <c r="B962" s="1">
        <v>37814</v>
      </c>
      <c r="C962" t="s">
        <v>48</v>
      </c>
      <c r="D962" t="s">
        <v>49</v>
      </c>
      <c r="E962" s="2">
        <v>45888</v>
      </c>
      <c r="F962" t="s">
        <v>143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105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144</v>
      </c>
      <c r="W962" t="s">
        <v>145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214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hidden="1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157</v>
      </c>
      <c r="G963" s="3" t="s">
        <v>108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158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91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hidden="1" x14ac:dyDescent="0.25">
      <c r="A964" t="s">
        <v>95</v>
      </c>
      <c r="B964" s="1">
        <v>37816</v>
      </c>
      <c r="C964" t="s">
        <v>48</v>
      </c>
      <c r="D964" t="s">
        <v>49</v>
      </c>
      <c r="E964" s="2">
        <v>45888</v>
      </c>
      <c r="F964" t="s">
        <v>176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177</v>
      </c>
      <c r="X964" s="4">
        <v>0</v>
      </c>
      <c r="Y964" t="s">
        <v>62</v>
      </c>
      <c r="AK964" s="5"/>
    </row>
    <row r="965" spans="1:47" hidden="1" x14ac:dyDescent="0.25">
      <c r="A965" t="s">
        <v>63</v>
      </c>
      <c r="B965" s="1">
        <v>0</v>
      </c>
      <c r="C965">
        <v>0</v>
      </c>
      <c r="D965">
        <v>0</v>
      </c>
      <c r="E965" s="2">
        <v>0</v>
      </c>
      <c r="F965" s="3">
        <v>3569</v>
      </c>
      <c r="G965" s="3">
        <v>7000</v>
      </c>
      <c r="H965" s="3" t="s">
        <v>54</v>
      </c>
      <c r="I965" s="3" t="s">
        <v>59</v>
      </c>
      <c r="K965" s="3" t="s">
        <v>73</v>
      </c>
      <c r="L965" t="s">
        <v>91</v>
      </c>
      <c r="M965" s="3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  <c r="X965" s="4"/>
      <c r="AK965" s="5"/>
    </row>
    <row r="966" spans="1:47" hidden="1" x14ac:dyDescent="0.25">
      <c r="A966" t="s">
        <v>95</v>
      </c>
      <c r="B966" s="1">
        <v>37817</v>
      </c>
      <c r="C966" t="s">
        <v>48</v>
      </c>
      <c r="D966" t="s">
        <v>49</v>
      </c>
      <c r="E966" s="2">
        <v>45888</v>
      </c>
      <c r="F966" t="s">
        <v>176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177</v>
      </c>
      <c r="X966" s="4">
        <v>0</v>
      </c>
      <c r="Y966" t="s">
        <v>62</v>
      </c>
      <c r="AK966" s="5"/>
    </row>
    <row r="967" spans="1:47" hidden="1" x14ac:dyDescent="0.25">
      <c r="A967" t="s">
        <v>63</v>
      </c>
      <c r="B967" s="1">
        <v>0</v>
      </c>
      <c r="C967">
        <v>0</v>
      </c>
      <c r="D967">
        <v>0</v>
      </c>
      <c r="E967" s="2">
        <v>0</v>
      </c>
      <c r="F967" s="3">
        <v>3569</v>
      </c>
      <c r="G967" s="3">
        <v>7000</v>
      </c>
      <c r="H967" s="3" t="s">
        <v>54</v>
      </c>
      <c r="I967" s="3" t="s">
        <v>59</v>
      </c>
      <c r="K967" s="3" t="s">
        <v>73</v>
      </c>
      <c r="L967" s="3" t="s">
        <v>91</v>
      </c>
      <c r="M967" s="3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  <c r="X967" s="4"/>
    </row>
    <row r="968" spans="1:47" hidden="1" x14ac:dyDescent="0.25">
      <c r="A968" t="s">
        <v>47</v>
      </c>
      <c r="B968" s="1">
        <v>37820</v>
      </c>
      <c r="C968" t="s">
        <v>48</v>
      </c>
      <c r="D968" s="3" t="s">
        <v>49</v>
      </c>
      <c r="E968" s="2">
        <v>45888</v>
      </c>
      <c r="F968" t="s">
        <v>167</v>
      </c>
      <c r="G968" t="s">
        <v>168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94</v>
      </c>
      <c r="X968" s="4">
        <v>0</v>
      </c>
      <c r="Y968" t="s">
        <v>62</v>
      </c>
      <c r="AB968" s="3"/>
      <c r="AE968" s="3"/>
      <c r="AK968" s="5"/>
    </row>
    <row r="969" spans="1:47" hidden="1" x14ac:dyDescent="0.25">
      <c r="A969" t="s">
        <v>63</v>
      </c>
      <c r="B969" s="1">
        <v>4865</v>
      </c>
      <c r="C969">
        <v>0</v>
      </c>
      <c r="D969">
        <v>0</v>
      </c>
      <c r="E969" s="2">
        <v>0</v>
      </c>
      <c r="F969">
        <v>855</v>
      </c>
      <c r="G969" s="3">
        <v>15000</v>
      </c>
      <c r="H969" s="3" t="s">
        <v>54</v>
      </c>
      <c r="I969" s="3" t="s">
        <v>59</v>
      </c>
      <c r="K969" s="3" t="s">
        <v>91</v>
      </c>
      <c r="L969" s="3" t="s">
        <v>91</v>
      </c>
      <c r="M969" s="3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  <c r="X969" s="4"/>
    </row>
    <row r="970" spans="1:47" hidden="1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s="3" t="s">
        <v>100</v>
      </c>
      <c r="G970" s="3" t="s">
        <v>93</v>
      </c>
      <c r="H970" s="3">
        <v>970</v>
      </c>
      <c r="I970" s="3">
        <v>970</v>
      </c>
      <c r="J970">
        <v>0</v>
      </c>
      <c r="K970" s="3">
        <v>1115.5</v>
      </c>
      <c r="L970" s="3">
        <v>207</v>
      </c>
      <c r="M970" s="3">
        <v>72.45</v>
      </c>
      <c r="N970" t="s">
        <v>83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101</v>
      </c>
      <c r="X970" s="4">
        <v>0</v>
      </c>
      <c r="Y970" t="s">
        <v>58</v>
      </c>
      <c r="Z970">
        <v>207</v>
      </c>
      <c r="AA970">
        <v>0</v>
      </c>
      <c r="AB970" s="3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102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hidden="1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100</v>
      </c>
      <c r="G971" t="s">
        <v>93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83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101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102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hidden="1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302</v>
      </c>
      <c r="G972" t="s">
        <v>86</v>
      </c>
      <c r="H972" s="3">
        <v>2784</v>
      </c>
      <c r="I972" s="3">
        <v>2784</v>
      </c>
      <c r="J972">
        <v>0</v>
      </c>
      <c r="K972" s="3">
        <v>3201.6</v>
      </c>
      <c r="L972" s="3">
        <v>381</v>
      </c>
      <c r="M972" s="3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174</v>
      </c>
      <c r="X972" s="4">
        <v>0</v>
      </c>
      <c r="Y972" t="s">
        <v>62</v>
      </c>
      <c r="AD972" s="3"/>
      <c r="AE972" s="3"/>
      <c r="AK972" s="5"/>
    </row>
    <row r="973" spans="1:47" hidden="1" x14ac:dyDescent="0.25">
      <c r="A973" t="s">
        <v>63</v>
      </c>
      <c r="B973" s="1">
        <v>0</v>
      </c>
      <c r="C973">
        <v>0</v>
      </c>
      <c r="D973">
        <v>381</v>
      </c>
      <c r="E973" s="2">
        <v>0</v>
      </c>
      <c r="F973">
        <v>0</v>
      </c>
      <c r="G973">
        <v>300</v>
      </c>
      <c r="H973" s="3" t="s">
        <v>54</v>
      </c>
      <c r="I973" s="3" t="s">
        <v>59</v>
      </c>
      <c r="K973" s="3" t="s">
        <v>73</v>
      </c>
      <c r="L973" s="3" t="s">
        <v>73</v>
      </c>
      <c r="M973" s="3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  <c r="X973" s="4"/>
      <c r="AE973" s="3"/>
      <c r="AK973" s="5"/>
    </row>
    <row r="974" spans="1:47" hidden="1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262</v>
      </c>
      <c r="G974" s="3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 s="3">
        <v>458.05</v>
      </c>
      <c r="N974" t="s">
        <v>83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94</v>
      </c>
      <c r="X974" s="4">
        <v>0</v>
      </c>
      <c r="Y974" t="s">
        <v>62</v>
      </c>
      <c r="AE974" s="3"/>
      <c r="AK974" s="5"/>
    </row>
    <row r="975" spans="1:47" hidden="1" x14ac:dyDescent="0.25">
      <c r="A975" t="s">
        <v>63</v>
      </c>
      <c r="B975" s="1">
        <v>0</v>
      </c>
      <c r="C975">
        <v>993.6</v>
      </c>
      <c r="D975">
        <v>0</v>
      </c>
      <c r="E975" s="2">
        <v>0</v>
      </c>
      <c r="F975">
        <v>0</v>
      </c>
      <c r="G975" s="3">
        <v>1200</v>
      </c>
      <c r="H975" s="3" t="s">
        <v>54</v>
      </c>
      <c r="I975" s="3" t="s">
        <v>59</v>
      </c>
      <c r="K975" s="3" t="s">
        <v>73</v>
      </c>
      <c r="L975" s="3" t="s">
        <v>73</v>
      </c>
      <c r="M975" s="3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  <c r="X975" s="4"/>
      <c r="Z975" s="3"/>
      <c r="AB975" s="3"/>
      <c r="AE975" s="3"/>
      <c r="AK975" s="5"/>
    </row>
    <row r="976" spans="1:47" hidden="1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s="3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 s="3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hidden="1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 s="3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hidden="1" x14ac:dyDescent="0.25">
      <c r="A978" t="s">
        <v>47</v>
      </c>
      <c r="B978" s="1">
        <v>37828</v>
      </c>
      <c r="C978" t="s">
        <v>48</v>
      </c>
      <c r="D978" s="3" t="s">
        <v>49</v>
      </c>
      <c r="E978" s="2">
        <v>45889</v>
      </c>
      <c r="F978" t="s">
        <v>261</v>
      </c>
      <c r="G978" s="3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hidden="1" x14ac:dyDescent="0.25">
      <c r="A979" t="s">
        <v>63</v>
      </c>
      <c r="B979" s="1">
        <v>0</v>
      </c>
      <c r="C979">
        <v>0</v>
      </c>
      <c r="D979" s="3">
        <v>1465.6</v>
      </c>
      <c r="E979" s="2">
        <v>0</v>
      </c>
      <c r="F979">
        <v>583.5</v>
      </c>
      <c r="G979">
        <v>650</v>
      </c>
      <c r="H979" s="3" t="s">
        <v>54</v>
      </c>
      <c r="I979" s="3" t="s">
        <v>59</v>
      </c>
      <c r="J979" t="s">
        <v>161</v>
      </c>
      <c r="K979" s="3" t="s">
        <v>60</v>
      </c>
      <c r="L979" t="s">
        <v>91</v>
      </c>
      <c r="M979" s="3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  <c r="X979" s="4"/>
      <c r="AK979" s="5"/>
    </row>
    <row r="980" spans="1:47" hidden="1" x14ac:dyDescent="0.25">
      <c r="A980" t="s">
        <v>95</v>
      </c>
      <c r="B980" s="1">
        <v>37830</v>
      </c>
      <c r="C980" t="s">
        <v>48</v>
      </c>
      <c r="D980" t="s">
        <v>49</v>
      </c>
      <c r="E980" s="2">
        <v>45890</v>
      </c>
      <c r="F980" t="s">
        <v>405</v>
      </c>
      <c r="G980" s="3" t="s">
        <v>88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 s="3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406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147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hidden="1" x14ac:dyDescent="0.25">
      <c r="A981" t="s">
        <v>47</v>
      </c>
      <c r="B981" s="1">
        <v>37831</v>
      </c>
      <c r="C981" t="s">
        <v>48</v>
      </c>
      <c r="D981" s="3" t="s">
        <v>49</v>
      </c>
      <c r="E981" s="2">
        <v>45890</v>
      </c>
      <c r="F981" t="s">
        <v>358</v>
      </c>
      <c r="G981" s="3" t="s">
        <v>117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 s="3">
        <v>636.04</v>
      </c>
      <c r="N981" t="s">
        <v>359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360</v>
      </c>
      <c r="X981" s="4">
        <v>0</v>
      </c>
      <c r="Y981" t="s">
        <v>62</v>
      </c>
    </row>
    <row r="982" spans="1:47" hidden="1" x14ac:dyDescent="0.25">
      <c r="A982" t="s">
        <v>63</v>
      </c>
      <c r="B982" s="3">
        <v>2193.23</v>
      </c>
      <c r="C982">
        <v>0</v>
      </c>
      <c r="D982">
        <v>0</v>
      </c>
      <c r="E982" s="2">
        <v>0</v>
      </c>
      <c r="F982">
        <v>0</v>
      </c>
      <c r="G982" s="3">
        <v>3970</v>
      </c>
      <c r="H982" s="3" t="s">
        <v>54</v>
      </c>
      <c r="I982" s="3" t="s">
        <v>59</v>
      </c>
      <c r="K982" s="3" t="s">
        <v>73</v>
      </c>
      <c r="L982" s="3" t="s">
        <v>73</v>
      </c>
      <c r="M982" s="3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  <c r="X982" s="4"/>
      <c r="Z982" s="3"/>
      <c r="AE982" s="3"/>
      <c r="AK982" s="5"/>
    </row>
    <row r="983" spans="1:47" hidden="1" x14ac:dyDescent="0.25">
      <c r="A983" t="s">
        <v>95</v>
      </c>
      <c r="B983" s="1">
        <v>37832</v>
      </c>
      <c r="C983" t="s">
        <v>48</v>
      </c>
      <c r="D983" t="s">
        <v>49</v>
      </c>
      <c r="E983" s="2">
        <v>45890</v>
      </c>
      <c r="F983" t="s">
        <v>130</v>
      </c>
      <c r="G983" t="s">
        <v>86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 s="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113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hidden="1" x14ac:dyDescent="0.25">
      <c r="A984" t="s">
        <v>95</v>
      </c>
      <c r="B984" s="1">
        <v>37833</v>
      </c>
      <c r="C984" t="s">
        <v>48</v>
      </c>
      <c r="D984" t="s">
        <v>49</v>
      </c>
      <c r="E984" s="2">
        <v>45890</v>
      </c>
      <c r="F984" s="3" t="s">
        <v>130</v>
      </c>
      <c r="G984" s="3" t="s">
        <v>86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 s="3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113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hidden="1" x14ac:dyDescent="0.25">
      <c r="A985" t="s">
        <v>95</v>
      </c>
      <c r="B985" s="1">
        <v>37834</v>
      </c>
      <c r="C985" t="s">
        <v>48</v>
      </c>
      <c r="D985" t="s">
        <v>49</v>
      </c>
      <c r="E985" s="2">
        <v>45890</v>
      </c>
      <c r="F985" t="s">
        <v>130</v>
      </c>
      <c r="G985" t="s">
        <v>86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 s="3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113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hidden="1" x14ac:dyDescent="0.25">
      <c r="A986" t="s">
        <v>95</v>
      </c>
      <c r="B986" s="1">
        <v>37835</v>
      </c>
      <c r="C986" t="s">
        <v>48</v>
      </c>
      <c r="D986" t="s">
        <v>49</v>
      </c>
      <c r="E986" s="2">
        <v>45891</v>
      </c>
      <c r="F986" t="s">
        <v>180</v>
      </c>
      <c r="G986" s="3" t="s">
        <v>181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 s="3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141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hidden="1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124</v>
      </c>
      <c r="G987" t="s">
        <v>88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 s="3">
        <v>230.95</v>
      </c>
      <c r="N987" t="s">
        <v>83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94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hidden="1" x14ac:dyDescent="0.25">
      <c r="A988" t="s">
        <v>95</v>
      </c>
      <c r="B988" s="1">
        <v>37839</v>
      </c>
      <c r="C988" t="s">
        <v>48</v>
      </c>
      <c r="D988" t="s">
        <v>49</v>
      </c>
      <c r="E988" s="2">
        <v>45891</v>
      </c>
      <c r="F988" t="s">
        <v>361</v>
      </c>
      <c r="G988" t="s">
        <v>362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 s="3">
        <v>142.1</v>
      </c>
      <c r="N988" t="s">
        <v>105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144</v>
      </c>
      <c r="W988" t="s">
        <v>188</v>
      </c>
      <c r="X988" s="4">
        <v>0</v>
      </c>
      <c r="Y988" t="s">
        <v>62</v>
      </c>
    </row>
    <row r="989" spans="1:47" hidden="1" x14ac:dyDescent="0.25">
      <c r="A989" t="s">
        <v>63</v>
      </c>
      <c r="B989" s="1">
        <v>490</v>
      </c>
      <c r="C989">
        <v>0</v>
      </c>
      <c r="D989">
        <v>0</v>
      </c>
      <c r="E989" s="2">
        <v>0</v>
      </c>
      <c r="F989">
        <v>0</v>
      </c>
      <c r="G989">
        <v>700</v>
      </c>
      <c r="H989" s="3" t="s">
        <v>54</v>
      </c>
      <c r="I989" s="3" t="s">
        <v>59</v>
      </c>
      <c r="K989" s="3" t="s">
        <v>73</v>
      </c>
      <c r="L989" t="s">
        <v>73</v>
      </c>
      <c r="M989" s="3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  <c r="X989" s="4"/>
    </row>
    <row r="990" spans="1:47" hidden="1" x14ac:dyDescent="0.25">
      <c r="A990" t="s">
        <v>95</v>
      </c>
      <c r="B990" s="1">
        <v>37841</v>
      </c>
      <c r="C990" t="s">
        <v>48</v>
      </c>
      <c r="D990" t="s">
        <v>49</v>
      </c>
      <c r="E990" s="2">
        <v>45891</v>
      </c>
      <c r="F990" t="s">
        <v>361</v>
      </c>
      <c r="G990" s="3" t="s">
        <v>362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105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144</v>
      </c>
      <c r="W990" t="s">
        <v>188</v>
      </c>
      <c r="X990" s="4">
        <v>0</v>
      </c>
      <c r="Y990" t="s">
        <v>62</v>
      </c>
    </row>
    <row r="991" spans="1:47" hidden="1" x14ac:dyDescent="0.25">
      <c r="A991" t="s">
        <v>63</v>
      </c>
      <c r="B991" s="3">
        <v>16310</v>
      </c>
      <c r="C991">
        <v>0</v>
      </c>
      <c r="D991">
        <v>0</v>
      </c>
      <c r="E991" s="2">
        <v>0</v>
      </c>
      <c r="F991">
        <v>0</v>
      </c>
      <c r="G991" s="3">
        <v>23300</v>
      </c>
      <c r="H991" s="3" t="s">
        <v>54</v>
      </c>
      <c r="I991" s="3" t="s">
        <v>59</v>
      </c>
      <c r="K991" s="3" t="s">
        <v>73</v>
      </c>
      <c r="L991" s="3" t="s">
        <v>73</v>
      </c>
      <c r="M991" s="3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  <c r="X991" s="4"/>
    </row>
    <row r="992" spans="1:47" hidden="1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146</v>
      </c>
      <c r="G992" s="3" t="s">
        <v>88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94</v>
      </c>
      <c r="X992" s="4">
        <v>0</v>
      </c>
      <c r="Y992" t="s">
        <v>62</v>
      </c>
    </row>
    <row r="993" spans="1:47" hidden="1" x14ac:dyDescent="0.25">
      <c r="A993" t="s">
        <v>63</v>
      </c>
      <c r="B993" s="1">
        <v>0</v>
      </c>
      <c r="C993">
        <v>0</v>
      </c>
      <c r="D993">
        <v>0</v>
      </c>
      <c r="E993" s="2">
        <v>0</v>
      </c>
      <c r="F993" s="3">
        <v>4210.5</v>
      </c>
      <c r="G993" s="3">
        <v>2100</v>
      </c>
      <c r="H993" s="3" t="s">
        <v>54</v>
      </c>
      <c r="I993" s="3" t="s">
        <v>59</v>
      </c>
      <c r="K993" s="3" t="s">
        <v>60</v>
      </c>
      <c r="L993" s="3" t="s">
        <v>60</v>
      </c>
      <c r="M993" s="3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  <c r="X993" s="4"/>
    </row>
    <row r="994" spans="1:47" hidden="1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146</v>
      </c>
      <c r="G994" s="3" t="s">
        <v>88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94</v>
      </c>
      <c r="X994" s="4">
        <v>0</v>
      </c>
      <c r="Y994" t="s">
        <v>62</v>
      </c>
    </row>
    <row r="995" spans="1:47" hidden="1" x14ac:dyDescent="0.25">
      <c r="A995" t="s">
        <v>63</v>
      </c>
      <c r="B995" s="1">
        <v>0</v>
      </c>
      <c r="C995">
        <v>0</v>
      </c>
      <c r="D995">
        <v>0</v>
      </c>
      <c r="E995" s="2">
        <v>0</v>
      </c>
      <c r="F995" s="3">
        <v>4210.5</v>
      </c>
      <c r="G995" s="3">
        <v>2100</v>
      </c>
      <c r="H995" s="3" t="s">
        <v>54</v>
      </c>
      <c r="I995" s="3" t="s">
        <v>59</v>
      </c>
      <c r="K995" s="3" t="s">
        <v>60</v>
      </c>
      <c r="L995" s="3" t="s">
        <v>60</v>
      </c>
      <c r="M995" s="3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  <c r="X995" s="4"/>
      <c r="Z995" s="3"/>
      <c r="AE995" s="3"/>
      <c r="AK995" s="5"/>
    </row>
    <row r="996" spans="1:47" hidden="1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92</v>
      </c>
      <c r="G996" s="3" t="s">
        <v>93</v>
      </c>
      <c r="H996" s="3">
        <v>979.6</v>
      </c>
      <c r="I996" s="3">
        <v>979.6</v>
      </c>
      <c r="J996">
        <v>0</v>
      </c>
      <c r="K996" s="3">
        <v>1126.54</v>
      </c>
      <c r="L996">
        <v>41.98</v>
      </c>
      <c r="M996" s="3">
        <v>26.03</v>
      </c>
      <c r="N996" t="s">
        <v>83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94</v>
      </c>
      <c r="X996" s="4">
        <v>0</v>
      </c>
      <c r="Y996" t="s">
        <v>62</v>
      </c>
    </row>
    <row r="997" spans="1:47" hidden="1" x14ac:dyDescent="0.25">
      <c r="A997" t="s">
        <v>63</v>
      </c>
      <c r="B997" s="1">
        <v>0</v>
      </c>
      <c r="C997">
        <v>0</v>
      </c>
      <c r="D997">
        <v>41.98</v>
      </c>
      <c r="E997" s="2">
        <v>0</v>
      </c>
      <c r="F997">
        <v>0</v>
      </c>
      <c r="G997">
        <v>80</v>
      </c>
      <c r="H997" s="3" t="s">
        <v>54</v>
      </c>
      <c r="I997" s="3" t="s">
        <v>59</v>
      </c>
      <c r="K997" s="3" t="s">
        <v>73</v>
      </c>
      <c r="L997" s="3" t="s">
        <v>73</v>
      </c>
      <c r="M997" s="3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  <c r="X997" s="4"/>
    </row>
    <row r="998" spans="1:47" hidden="1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s="3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 s="3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hidden="1" x14ac:dyDescent="0.25">
      <c r="A999" t="s">
        <v>63</v>
      </c>
      <c r="B999" s="1">
        <v>158.69999999999999</v>
      </c>
      <c r="C999">
        <v>0</v>
      </c>
      <c r="D999">
        <v>386.75</v>
      </c>
      <c r="E999" s="2">
        <v>0</v>
      </c>
      <c r="F999">
        <v>0</v>
      </c>
      <c r="G999" s="3">
        <v>650</v>
      </c>
      <c r="H999" s="3" t="s">
        <v>54</v>
      </c>
      <c r="I999" s="3" t="s">
        <v>59</v>
      </c>
      <c r="J999" t="s">
        <v>64</v>
      </c>
      <c r="K999" s="3" t="s">
        <v>60</v>
      </c>
      <c r="L999" t="s">
        <v>60</v>
      </c>
      <c r="M999" s="3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  <c r="X999" s="4"/>
    </row>
    <row r="1000" spans="1:47" hidden="1" x14ac:dyDescent="0.25">
      <c r="A1000" t="s">
        <v>95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138</v>
      </c>
      <c r="G1000" t="s">
        <v>139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198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102</v>
      </c>
      <c r="AI1000" t="s">
        <v>345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hidden="1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209</v>
      </c>
      <c r="G1001" t="s">
        <v>136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83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210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hidden="1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261</v>
      </c>
      <c r="G1002" s="3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hidden="1" x14ac:dyDescent="0.25">
      <c r="A1003" t="s">
        <v>63</v>
      </c>
      <c r="B1003" s="1">
        <v>0</v>
      </c>
      <c r="C1003">
        <v>0</v>
      </c>
      <c r="D1003">
        <v>185.6</v>
      </c>
      <c r="E1003" s="2">
        <v>0</v>
      </c>
      <c r="F1003" s="3">
        <v>1952</v>
      </c>
      <c r="G1003" s="3">
        <v>2000</v>
      </c>
      <c r="H1003" s="3" t="s">
        <v>54</v>
      </c>
      <c r="I1003" s="3" t="s">
        <v>59</v>
      </c>
      <c r="J1003" t="s">
        <v>161</v>
      </c>
      <c r="K1003" s="3" t="s">
        <v>60</v>
      </c>
      <c r="L1003" s="3" t="s">
        <v>60</v>
      </c>
      <c r="M1003" s="3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  <c r="X1003" s="4"/>
      <c r="AK1003" s="5"/>
    </row>
    <row r="1004" spans="1:47" hidden="1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111</v>
      </c>
      <c r="G1004" s="3" t="s">
        <v>112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114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hidden="1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148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 s="3">
        <v>467.59</v>
      </c>
      <c r="M1005" s="3">
        <v>349.76</v>
      </c>
      <c r="N1005" t="s">
        <v>83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hidden="1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148</v>
      </c>
      <c r="G1006" s="3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 s="3">
        <v>430.46</v>
      </c>
      <c r="N1006" t="s">
        <v>83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hidden="1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148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 s="3">
        <v>426.49</v>
      </c>
      <c r="M1007" s="3">
        <v>319.01</v>
      </c>
      <c r="N1007" t="s">
        <v>83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 s="3">
        <v>0</v>
      </c>
      <c r="AE1007" s="3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hidden="1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148</v>
      </c>
      <c r="G1008" s="3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 s="3">
        <v>586.99</v>
      </c>
      <c r="N1008" t="s">
        <v>83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hidden="1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107</v>
      </c>
      <c r="G1009" s="3" t="s">
        <v>108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83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109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91</v>
      </c>
      <c r="AJ1009" t="s">
        <v>91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hidden="1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100</v>
      </c>
      <c r="G1010" t="s">
        <v>93</v>
      </c>
      <c r="H1010" s="3">
        <v>970</v>
      </c>
      <c r="I1010" s="3">
        <v>970</v>
      </c>
      <c r="J1010">
        <v>0</v>
      </c>
      <c r="K1010" s="3">
        <v>1115.5</v>
      </c>
      <c r="L1010" s="3">
        <v>207</v>
      </c>
      <c r="M1010" s="3">
        <v>72.45</v>
      </c>
      <c r="N1010" t="s">
        <v>83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101</v>
      </c>
      <c r="X1010" s="4">
        <v>0</v>
      </c>
      <c r="Y1010" t="s">
        <v>58</v>
      </c>
      <c r="Z1010">
        <v>207</v>
      </c>
      <c r="AA1010">
        <v>0</v>
      </c>
      <c r="AB1010" s="3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102</v>
      </c>
      <c r="AI1010" t="s">
        <v>91</v>
      </c>
      <c r="AJ1010" t="s">
        <v>91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hidden="1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321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 s="3">
        <v>530.95000000000005</v>
      </c>
      <c r="M1011" s="3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151</v>
      </c>
      <c r="X1011" s="4">
        <v>0</v>
      </c>
      <c r="Y1011" t="s">
        <v>62</v>
      </c>
      <c r="Z1011" s="3"/>
      <c r="AE1011" s="3"/>
      <c r="AK1011" s="5"/>
    </row>
    <row r="1012" spans="1:47" hidden="1" x14ac:dyDescent="0.25">
      <c r="A1012" t="s">
        <v>63</v>
      </c>
      <c r="B1012" s="3">
        <v>0</v>
      </c>
      <c r="C1012">
        <v>0</v>
      </c>
      <c r="D1012">
        <v>0</v>
      </c>
      <c r="E1012" s="2">
        <v>0</v>
      </c>
      <c r="F1012">
        <v>530.95000000000005</v>
      </c>
      <c r="G1012" s="3">
        <v>410</v>
      </c>
      <c r="H1012" s="3" t="s">
        <v>54</v>
      </c>
      <c r="I1012" s="3" t="s">
        <v>59</v>
      </c>
      <c r="K1012" s="3" t="s">
        <v>80</v>
      </c>
      <c r="L1012" s="3" t="s">
        <v>73</v>
      </c>
      <c r="M1012" s="3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  <c r="X1012" s="4"/>
    </row>
    <row r="1013" spans="1:47" hidden="1" x14ac:dyDescent="0.25">
      <c r="A1013" t="s">
        <v>95</v>
      </c>
      <c r="B1013" s="1">
        <v>37858</v>
      </c>
      <c r="C1013" t="s">
        <v>48</v>
      </c>
      <c r="D1013" s="3" t="s">
        <v>49</v>
      </c>
      <c r="E1013" s="2">
        <v>45896</v>
      </c>
      <c r="F1013" t="s">
        <v>138</v>
      </c>
      <c r="G1013" s="3" t="s">
        <v>139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 s="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177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102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hidden="1" x14ac:dyDescent="0.25">
      <c r="A1014" t="s">
        <v>95</v>
      </c>
      <c r="B1014" s="1">
        <v>37859</v>
      </c>
      <c r="C1014" t="s">
        <v>48</v>
      </c>
      <c r="D1014" t="s">
        <v>49</v>
      </c>
      <c r="E1014" s="2">
        <v>45896</v>
      </c>
      <c r="F1014" t="s">
        <v>413</v>
      </c>
      <c r="G1014" t="s">
        <v>122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 s="3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129</v>
      </c>
      <c r="X1014" s="4">
        <v>0</v>
      </c>
      <c r="Y1014" t="s">
        <v>62</v>
      </c>
    </row>
    <row r="1015" spans="1:47" hidden="1" x14ac:dyDescent="0.25">
      <c r="A1015" t="s">
        <v>63</v>
      </c>
      <c r="B1015" s="1">
        <v>0</v>
      </c>
      <c r="C1015">
        <v>0</v>
      </c>
      <c r="D1015">
        <v>0</v>
      </c>
      <c r="E1015" s="2">
        <v>0</v>
      </c>
      <c r="F1015">
        <v>235.82</v>
      </c>
      <c r="G1015">
        <v>260</v>
      </c>
      <c r="H1015" s="3" t="s">
        <v>54</v>
      </c>
      <c r="I1015" s="3" t="s">
        <v>59</v>
      </c>
      <c r="K1015" s="3" t="s">
        <v>60</v>
      </c>
      <c r="L1015" s="3" t="s">
        <v>60</v>
      </c>
      <c r="M1015" s="3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  <c r="X1015" s="4"/>
    </row>
    <row r="1016" spans="1:47" hidden="1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s="3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 s="3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hidden="1" x14ac:dyDescent="0.25">
      <c r="A1017" t="s">
        <v>95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349</v>
      </c>
      <c r="G1017" t="s">
        <v>88</v>
      </c>
      <c r="H1017" s="3">
        <v>5700</v>
      </c>
      <c r="I1017" s="3">
        <v>5700</v>
      </c>
      <c r="J1017">
        <v>0</v>
      </c>
      <c r="K1017" s="3">
        <v>5700</v>
      </c>
      <c r="L1017" s="3">
        <v>918</v>
      </c>
      <c r="M1017" s="3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89</v>
      </c>
      <c r="X1017" s="4">
        <v>0</v>
      </c>
      <c r="Y1017" t="s">
        <v>62</v>
      </c>
    </row>
    <row r="1018" spans="1:47" hidden="1" x14ac:dyDescent="0.25">
      <c r="A1018" t="s">
        <v>63</v>
      </c>
      <c r="B1018" s="3">
        <v>0</v>
      </c>
      <c r="C1018">
        <v>0</v>
      </c>
      <c r="D1018">
        <v>0</v>
      </c>
      <c r="E1018" s="2">
        <v>0</v>
      </c>
      <c r="F1018">
        <v>918</v>
      </c>
      <c r="G1018" s="3">
        <v>2000</v>
      </c>
      <c r="H1018" s="3" t="s">
        <v>54</v>
      </c>
      <c r="I1018" s="3" t="s">
        <v>59</v>
      </c>
      <c r="K1018" s="3" t="s">
        <v>60</v>
      </c>
      <c r="L1018" t="s">
        <v>60</v>
      </c>
      <c r="M1018" s="3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  <c r="X1018" s="4"/>
    </row>
    <row r="1019" spans="1:47" hidden="1" x14ac:dyDescent="0.25">
      <c r="A1019" t="s">
        <v>95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154</v>
      </c>
      <c r="G1019" s="3" t="s">
        <v>155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 s="3">
        <v>749.54</v>
      </c>
      <c r="N1019" t="s">
        <v>105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144</v>
      </c>
      <c r="W1019" t="s">
        <v>132</v>
      </c>
      <c r="X1019" s="4">
        <v>0</v>
      </c>
      <c r="Y1019" t="s">
        <v>62</v>
      </c>
    </row>
    <row r="1020" spans="1:47" hidden="1" x14ac:dyDescent="0.25">
      <c r="A1020" t="s">
        <v>63</v>
      </c>
      <c r="B1020" s="3">
        <v>0</v>
      </c>
      <c r="C1020">
        <v>0</v>
      </c>
      <c r="D1020">
        <v>0</v>
      </c>
      <c r="E1020" s="2">
        <v>0</v>
      </c>
      <c r="F1020" s="3">
        <v>1388</v>
      </c>
      <c r="G1020" s="3">
        <v>500</v>
      </c>
      <c r="H1020" t="s">
        <v>54</v>
      </c>
      <c r="I1020" t="s">
        <v>59</v>
      </c>
      <c r="K1020" t="s">
        <v>214</v>
      </c>
      <c r="L1020" t="s">
        <v>73</v>
      </c>
      <c r="M1020" s="3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  <c r="X1020" s="4"/>
    </row>
    <row r="1021" spans="1:47" hidden="1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329</v>
      </c>
      <c r="G1021" t="s">
        <v>330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105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91</v>
      </c>
      <c r="W1021" t="s">
        <v>132</v>
      </c>
      <c r="X1021" s="4">
        <v>0</v>
      </c>
      <c r="Y1021" t="s">
        <v>197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214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hidden="1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215</v>
      </c>
      <c r="G1022" t="s">
        <v>163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 s="3">
        <v>923.51</v>
      </c>
      <c r="N1022" t="s">
        <v>105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144</v>
      </c>
      <c r="W1022" t="s">
        <v>141</v>
      </c>
      <c r="X1022" s="4">
        <v>0</v>
      </c>
      <c r="Y1022" t="s">
        <v>62</v>
      </c>
      <c r="AK1022" s="5"/>
    </row>
    <row r="1023" spans="1:47" hidden="1" x14ac:dyDescent="0.25">
      <c r="A1023" t="s">
        <v>63</v>
      </c>
      <c r="B1023" s="1">
        <v>1836</v>
      </c>
      <c r="C1023">
        <v>0</v>
      </c>
      <c r="D1023">
        <v>0</v>
      </c>
      <c r="E1023" s="2">
        <v>0</v>
      </c>
      <c r="F1023">
        <v>0</v>
      </c>
      <c r="G1023" s="3">
        <v>1000</v>
      </c>
      <c r="H1023" s="3" t="s">
        <v>54</v>
      </c>
      <c r="I1023" s="3" t="s">
        <v>59</v>
      </c>
      <c r="K1023" s="3" t="s">
        <v>214</v>
      </c>
      <c r="L1023" s="3" t="s">
        <v>91</v>
      </c>
      <c r="M1023" s="3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  <c r="X1023" s="4"/>
      <c r="AA1023" s="3"/>
      <c r="AB1023" s="3"/>
      <c r="AE1023" s="3"/>
      <c r="AK1023" s="5"/>
    </row>
    <row r="1024" spans="1:47" hidden="1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157</v>
      </c>
      <c r="G1024" s="3" t="s">
        <v>108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158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91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hidden="1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100</v>
      </c>
      <c r="G1025" s="3" t="s">
        <v>93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83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101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102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hidden="1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110</v>
      </c>
      <c r="G1026" s="3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 s="3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94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hidden="1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363</v>
      </c>
      <c r="G1027" t="s">
        <v>66</v>
      </c>
      <c r="H1027" s="3">
        <v>800</v>
      </c>
      <c r="I1027" s="3">
        <v>800</v>
      </c>
      <c r="J1027">
        <v>0</v>
      </c>
      <c r="K1027" s="3">
        <v>920</v>
      </c>
      <c r="L1027" s="3">
        <v>136.9</v>
      </c>
      <c r="M1027" s="3">
        <v>64.34</v>
      </c>
      <c r="N1027" t="s">
        <v>105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144</v>
      </c>
      <c r="W1027">
        <v>10</v>
      </c>
      <c r="X1027" s="4">
        <v>0</v>
      </c>
      <c r="Y1027" t="s">
        <v>62</v>
      </c>
      <c r="Z1027" s="3"/>
      <c r="AE1027" s="3"/>
      <c r="AK1027" s="5"/>
    </row>
    <row r="1028" spans="1:47" hidden="1" x14ac:dyDescent="0.25">
      <c r="A1028" t="s">
        <v>63</v>
      </c>
      <c r="B1028" s="1">
        <v>0</v>
      </c>
      <c r="C1028">
        <v>0</v>
      </c>
      <c r="D1028">
        <v>0</v>
      </c>
      <c r="E1028" s="2">
        <v>0</v>
      </c>
      <c r="F1028">
        <v>136.9</v>
      </c>
      <c r="G1028">
        <v>100</v>
      </c>
      <c r="H1028" s="3" t="s">
        <v>54</v>
      </c>
      <c r="I1028" s="3" t="s">
        <v>59</v>
      </c>
      <c r="K1028" s="3" t="s">
        <v>214</v>
      </c>
      <c r="L1028" s="3" t="s">
        <v>73</v>
      </c>
      <c r="M1028" s="3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  <c r="X1028" s="4"/>
      <c r="AB1028" s="3"/>
      <c r="AK1028" s="5"/>
    </row>
    <row r="1029" spans="1:47" hidden="1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254</v>
      </c>
      <c r="G1029" s="3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 s="3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151</v>
      </c>
      <c r="X1029" s="4">
        <v>0</v>
      </c>
      <c r="Y1029" t="s">
        <v>62</v>
      </c>
      <c r="AB1029" s="3"/>
      <c r="AE1029" s="3"/>
      <c r="AK1029" s="5"/>
    </row>
    <row r="1030" spans="1:47" hidden="1" x14ac:dyDescent="0.25">
      <c r="A1030" t="s">
        <v>63</v>
      </c>
      <c r="B1030" s="1">
        <v>0</v>
      </c>
      <c r="C1030">
        <v>0</v>
      </c>
      <c r="D1030">
        <v>0</v>
      </c>
      <c r="E1030" s="2">
        <v>0</v>
      </c>
      <c r="F1030" s="3">
        <v>2027.83</v>
      </c>
      <c r="G1030" s="3">
        <v>1370</v>
      </c>
      <c r="H1030" s="3" t="s">
        <v>54</v>
      </c>
      <c r="I1030" s="3" t="s">
        <v>59</v>
      </c>
      <c r="K1030" s="3" t="s">
        <v>80</v>
      </c>
      <c r="L1030" s="3" t="s">
        <v>73</v>
      </c>
      <c r="M1030" s="3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  <c r="X1030" s="4"/>
      <c r="Z1030" s="3"/>
      <c r="AB1030" s="3"/>
      <c r="AE1030" s="3"/>
      <c r="AK1030" s="5"/>
    </row>
    <row r="1031" spans="1:47" hidden="1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364</v>
      </c>
      <c r="G1031" t="s">
        <v>155</v>
      </c>
      <c r="H1031" s="3">
        <v>3180</v>
      </c>
      <c r="I1031" s="3">
        <v>3180</v>
      </c>
      <c r="J1031">
        <v>0</v>
      </c>
      <c r="K1031" s="3">
        <v>3180</v>
      </c>
      <c r="L1031" s="3">
        <v>790</v>
      </c>
      <c r="M1031" s="3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200</v>
      </c>
      <c r="W1031" t="s">
        <v>72</v>
      </c>
      <c r="X1031" s="4">
        <v>0</v>
      </c>
      <c r="Y1031" t="s">
        <v>62</v>
      </c>
      <c r="AB1031" s="3"/>
      <c r="AE1031" s="3"/>
      <c r="AK1031" s="5"/>
    </row>
    <row r="1032" spans="1:47" hidden="1" x14ac:dyDescent="0.25">
      <c r="A1032" t="s">
        <v>63</v>
      </c>
      <c r="B1032" s="1">
        <v>790</v>
      </c>
      <c r="C1032">
        <v>0</v>
      </c>
      <c r="D1032">
        <v>0</v>
      </c>
      <c r="E1032" s="2">
        <v>0</v>
      </c>
      <c r="F1032">
        <v>0</v>
      </c>
      <c r="G1032" s="3">
        <v>2000</v>
      </c>
      <c r="H1032" s="3" t="s">
        <v>54</v>
      </c>
      <c r="I1032" s="3" t="s">
        <v>59</v>
      </c>
      <c r="K1032" s="3" t="s">
        <v>73</v>
      </c>
      <c r="L1032" s="3" t="s">
        <v>73</v>
      </c>
      <c r="M1032" s="3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  <c r="X1032" s="4"/>
      <c r="AB1032" s="3"/>
      <c r="AE1032" s="3"/>
      <c r="AK1032" s="5"/>
    </row>
    <row r="1033" spans="1:47" hidden="1" x14ac:dyDescent="0.25">
      <c r="A1033" t="s">
        <v>95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365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 s="3">
        <v>966</v>
      </c>
      <c r="M1033" s="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 s="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hidden="1" x14ac:dyDescent="0.25">
      <c r="A1034" t="s">
        <v>47</v>
      </c>
      <c r="B1034" s="1">
        <v>37876</v>
      </c>
      <c r="C1034" t="s">
        <v>48</v>
      </c>
      <c r="D1034" s="3" t="s">
        <v>49</v>
      </c>
      <c r="E1034" s="2">
        <v>45900</v>
      </c>
      <c r="F1034" t="s">
        <v>278</v>
      </c>
      <c r="G1034" s="3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hidden="1" x14ac:dyDescent="0.25">
      <c r="A1035" t="s">
        <v>95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104</v>
      </c>
      <c r="G1035" t="s">
        <v>93</v>
      </c>
      <c r="H1035" s="3">
        <v>2915.5</v>
      </c>
      <c r="I1035" s="3">
        <v>2915.5</v>
      </c>
      <c r="J1035">
        <v>0</v>
      </c>
      <c r="K1035" s="3">
        <v>2915.5</v>
      </c>
      <c r="L1035" s="3">
        <v>225.35</v>
      </c>
      <c r="M1035" s="3">
        <v>168.56</v>
      </c>
      <c r="N1035" t="s">
        <v>105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144</v>
      </c>
      <c r="W1035" t="s">
        <v>106</v>
      </c>
      <c r="X1035" s="4">
        <v>0</v>
      </c>
      <c r="Y1035" t="s">
        <v>62</v>
      </c>
    </row>
    <row r="1036" spans="1:47" hidden="1" x14ac:dyDescent="0.25">
      <c r="A1036" t="s">
        <v>63</v>
      </c>
      <c r="B1036" s="1">
        <v>0</v>
      </c>
      <c r="C1036">
        <v>0</v>
      </c>
      <c r="D1036" s="3">
        <v>225.35</v>
      </c>
      <c r="E1036" s="2">
        <v>0</v>
      </c>
      <c r="F1036">
        <v>0</v>
      </c>
      <c r="G1036" s="3">
        <v>100</v>
      </c>
      <c r="H1036" s="3" t="s">
        <v>54</v>
      </c>
      <c r="I1036" s="3" t="s">
        <v>59</v>
      </c>
      <c r="J1036" t="s">
        <v>178</v>
      </c>
      <c r="K1036" s="3" t="s">
        <v>214</v>
      </c>
      <c r="L1036" t="s">
        <v>73</v>
      </c>
      <c r="M1036" s="3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  <c r="X1036" s="4"/>
    </row>
    <row r="1037" spans="1:47" hidden="1" x14ac:dyDescent="0.25">
      <c r="A1037" t="s">
        <v>95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162</v>
      </c>
      <c r="G1037" s="3" t="s">
        <v>69</v>
      </c>
      <c r="H1037" s="3">
        <v>4380</v>
      </c>
      <c r="I1037" s="3">
        <v>4380</v>
      </c>
      <c r="J1037">
        <v>0</v>
      </c>
      <c r="K1037" s="3">
        <v>4380</v>
      </c>
      <c r="L1037" s="3">
        <v>805.5</v>
      </c>
      <c r="M1037" s="3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151</v>
      </c>
      <c r="X1037" s="4"/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91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246</v>
      </c>
    </row>
    <row r="1038" spans="1:47" hidden="1" x14ac:dyDescent="0.25">
      <c r="A1038" t="s">
        <v>47</v>
      </c>
      <c r="B1038" s="1">
        <v>37881</v>
      </c>
      <c r="C1038" t="s">
        <v>48</v>
      </c>
      <c r="D1038" s="3" t="s">
        <v>49</v>
      </c>
      <c r="E1038" s="2">
        <v>45901</v>
      </c>
      <c r="F1038" t="s">
        <v>74</v>
      </c>
      <c r="G1038" s="3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 s="3">
        <v>476.4</v>
      </c>
      <c r="M1038" s="3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197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hidden="1" x14ac:dyDescent="0.25">
      <c r="A1039" t="s">
        <v>95</v>
      </c>
      <c r="B1039" s="1">
        <v>37882</v>
      </c>
      <c r="C1039" t="s">
        <v>48</v>
      </c>
      <c r="D1039" t="s">
        <v>49</v>
      </c>
      <c r="E1039" s="2">
        <v>45901</v>
      </c>
      <c r="F1039" s="3" t="s">
        <v>412</v>
      </c>
      <c r="G1039" s="3" t="s">
        <v>117</v>
      </c>
      <c r="H1039" s="3">
        <v>1569</v>
      </c>
      <c r="I1039" s="3">
        <v>1569</v>
      </c>
      <c r="J1039">
        <v>0</v>
      </c>
      <c r="K1039" s="3">
        <v>1569</v>
      </c>
      <c r="L1039" s="3">
        <v>297.89999999999998</v>
      </c>
      <c r="M1039" s="3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94</v>
      </c>
      <c r="X1039" s="4"/>
      <c r="Y1039" t="s">
        <v>62</v>
      </c>
    </row>
    <row r="1040" spans="1:47" hidden="1" x14ac:dyDescent="0.25">
      <c r="A1040" t="s">
        <v>63</v>
      </c>
      <c r="B1040" s="1">
        <v>297.89999999999998</v>
      </c>
      <c r="C1040">
        <v>0</v>
      </c>
      <c r="D1040">
        <v>0</v>
      </c>
      <c r="E1040" s="2">
        <v>0</v>
      </c>
      <c r="F1040" s="3">
        <v>0</v>
      </c>
      <c r="G1040">
        <v>700</v>
      </c>
      <c r="H1040" s="3"/>
      <c r="I1040" s="3"/>
      <c r="K1040" s="3"/>
      <c r="L1040" s="3" t="s">
        <v>91</v>
      </c>
      <c r="M1040" s="3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246</v>
      </c>
      <c r="X1040" s="4"/>
      <c r="AB1040" s="3"/>
      <c r="AE1040" s="3"/>
      <c r="AK1040" s="5"/>
    </row>
    <row r="1041" spans="1:47" hidden="1" x14ac:dyDescent="0.25">
      <c r="A1041" t="s">
        <v>95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152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141</v>
      </c>
      <c r="X1041" s="4"/>
      <c r="Y1041" t="s">
        <v>352</v>
      </c>
      <c r="AK1041" s="5"/>
    </row>
    <row r="1042" spans="1:47" hidden="1" x14ac:dyDescent="0.25">
      <c r="A1042" t="s">
        <v>196</v>
      </c>
      <c r="B1042" s="1"/>
      <c r="E1042" s="2"/>
      <c r="F1042" s="3"/>
      <c r="G1042" s="3"/>
      <c r="H1042" s="3"/>
      <c r="I1042" s="3"/>
      <c r="K1042" s="3"/>
      <c r="L1042" s="3"/>
      <c r="X1042" s="4"/>
      <c r="Z1042" s="3"/>
      <c r="AE1042" s="3"/>
      <c r="AK1042" s="5"/>
    </row>
    <row r="1043" spans="1:47" hidden="1" x14ac:dyDescent="0.25">
      <c r="A1043" t="s">
        <v>197</v>
      </c>
      <c r="B1043" s="1">
        <v>0</v>
      </c>
      <c r="C1043">
        <v>0</v>
      </c>
      <c r="D1043">
        <v>0</v>
      </c>
      <c r="E1043" s="2">
        <v>0</v>
      </c>
      <c r="F1043" s="3">
        <v>2374</v>
      </c>
      <c r="G1043" s="3">
        <v>4000</v>
      </c>
      <c r="H1043" s="3"/>
      <c r="I1043" s="3"/>
      <c r="K1043" s="3"/>
      <c r="L1043" s="3" t="s">
        <v>60</v>
      </c>
      <c r="M1043" s="3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246</v>
      </c>
      <c r="X1043" s="4"/>
      <c r="AA1043" s="3"/>
      <c r="AE1043" s="3"/>
      <c r="AK1043" s="5"/>
    </row>
    <row r="1044" spans="1:47" hidden="1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s="3" t="s">
        <v>131</v>
      </c>
      <c r="G1044" s="3" t="s">
        <v>88</v>
      </c>
      <c r="H1044" s="3">
        <v>3275</v>
      </c>
      <c r="I1044" s="3">
        <v>3275</v>
      </c>
      <c r="J1044">
        <v>0</v>
      </c>
      <c r="K1044" s="3">
        <v>3766.25</v>
      </c>
      <c r="L1044" s="3">
        <v>662.5</v>
      </c>
      <c r="M1044" s="3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132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 s="3">
        <v>0</v>
      </c>
      <c r="AE1044" s="3">
        <v>500</v>
      </c>
      <c r="AF1044" t="s">
        <v>54</v>
      </c>
      <c r="AG1044" t="s">
        <v>59</v>
      </c>
      <c r="AI1044" t="s">
        <v>91</v>
      </c>
      <c r="AJ1044" t="s">
        <v>91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hidden="1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205</v>
      </c>
      <c r="G1045" t="s">
        <v>117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 s="3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206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hidden="1" x14ac:dyDescent="0.25">
      <c r="A1046" t="s">
        <v>95</v>
      </c>
      <c r="B1046" s="1">
        <v>37887</v>
      </c>
      <c r="C1046" t="s">
        <v>48</v>
      </c>
      <c r="D1046" t="s">
        <v>49</v>
      </c>
      <c r="E1046" s="2">
        <v>45902</v>
      </c>
      <c r="F1046" s="3" t="s">
        <v>123</v>
      </c>
      <c r="G1046" s="3" t="s">
        <v>66</v>
      </c>
      <c r="H1046" s="3">
        <v>5257</v>
      </c>
      <c r="I1046" s="3">
        <v>5257</v>
      </c>
      <c r="J1046">
        <v>0</v>
      </c>
      <c r="K1046" s="3">
        <v>5257</v>
      </c>
      <c r="L1046" s="3">
        <v>800.6</v>
      </c>
      <c r="M1046" s="3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hidden="1" x14ac:dyDescent="0.25">
      <c r="A1047" t="s">
        <v>95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123</v>
      </c>
      <c r="G1047" s="3" t="s">
        <v>66</v>
      </c>
      <c r="H1047" s="3">
        <v>3788</v>
      </c>
      <c r="I1047" s="3">
        <v>3788</v>
      </c>
      <c r="J1047">
        <v>0</v>
      </c>
      <c r="K1047" s="3">
        <v>3788</v>
      </c>
      <c r="L1047" s="3">
        <v>574.6</v>
      </c>
      <c r="M1047" s="3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hidden="1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s="3" t="s">
        <v>250</v>
      </c>
      <c r="G1048" s="3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 s="3">
        <v>461.97</v>
      </c>
      <c r="N1048" t="s">
        <v>83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94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hidden="1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231</v>
      </c>
      <c r="G1049" s="3" t="s">
        <v>108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 s="3">
        <v>836.15</v>
      </c>
      <c r="N1049" t="s">
        <v>83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94</v>
      </c>
      <c r="X1049" s="4">
        <v>0</v>
      </c>
      <c r="Y1049" t="s">
        <v>62</v>
      </c>
    </row>
    <row r="1050" spans="1:47" hidden="1" x14ac:dyDescent="0.25">
      <c r="A1050" t="s">
        <v>63</v>
      </c>
      <c r="B1050" s="3">
        <v>2389</v>
      </c>
      <c r="C1050">
        <v>0</v>
      </c>
      <c r="D1050">
        <v>0</v>
      </c>
      <c r="E1050" s="2">
        <v>0</v>
      </c>
      <c r="F1050" s="3">
        <v>0</v>
      </c>
      <c r="G1050" s="3">
        <v>2000</v>
      </c>
      <c r="H1050" s="3" t="s">
        <v>54</v>
      </c>
      <c r="I1050" s="3" t="s">
        <v>59</v>
      </c>
      <c r="K1050" s="3" t="s">
        <v>73</v>
      </c>
      <c r="L1050" s="3" t="s">
        <v>73</v>
      </c>
      <c r="M1050" s="3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  <c r="X1050" s="4"/>
      <c r="AB1050" s="3"/>
      <c r="AE1050" s="3"/>
      <c r="AK1050" s="5"/>
    </row>
    <row r="1051" spans="1:47" hidden="1" x14ac:dyDescent="0.25">
      <c r="A1051" t="s">
        <v>95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248</v>
      </c>
      <c r="G1051" t="s">
        <v>249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 s="3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198</v>
      </c>
      <c r="X1051" s="4">
        <v>0</v>
      </c>
      <c r="Y1051" t="s">
        <v>62</v>
      </c>
      <c r="AB1051" s="3"/>
      <c r="AE1051" s="3"/>
      <c r="AK1051" s="5"/>
    </row>
    <row r="1052" spans="1:47" hidden="1" x14ac:dyDescent="0.25">
      <c r="A1052" t="s">
        <v>63</v>
      </c>
      <c r="B1052" s="3">
        <v>1380</v>
      </c>
      <c r="C1052">
        <v>0</v>
      </c>
      <c r="D1052">
        <v>0</v>
      </c>
      <c r="E1052" s="2">
        <v>0</v>
      </c>
      <c r="F1052" s="3">
        <v>0</v>
      </c>
      <c r="G1052" s="3">
        <v>3000</v>
      </c>
      <c r="H1052" s="3" t="s">
        <v>54</v>
      </c>
      <c r="I1052" s="3" t="s">
        <v>59</v>
      </c>
      <c r="K1052" s="3" t="s">
        <v>80</v>
      </c>
      <c r="L1052" s="3" t="s">
        <v>91</v>
      </c>
      <c r="M1052" s="3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  <c r="X1052" s="4"/>
      <c r="AB1052" s="3"/>
      <c r="AE1052" s="3"/>
      <c r="AK1052" s="5"/>
    </row>
    <row r="1053" spans="1:47" hidden="1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209</v>
      </c>
      <c r="G1053" t="s">
        <v>136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83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210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hidden="1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s="3" t="s">
        <v>100</v>
      </c>
      <c r="G1054" s="3" t="s">
        <v>93</v>
      </c>
      <c r="H1054" s="3">
        <v>2500</v>
      </c>
      <c r="I1054" s="3">
        <v>2500</v>
      </c>
      <c r="J1054">
        <v>0</v>
      </c>
      <c r="K1054" s="3">
        <v>2875</v>
      </c>
      <c r="L1054" s="3">
        <v>576</v>
      </c>
      <c r="M1054" s="3">
        <v>201.6</v>
      </c>
      <c r="N1054" t="s">
        <v>83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101</v>
      </c>
      <c r="X1054" s="4">
        <v>0</v>
      </c>
      <c r="Y1054" t="s">
        <v>58</v>
      </c>
      <c r="Z1054" s="3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102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hidden="1" x14ac:dyDescent="0.25">
      <c r="A1055" t="s">
        <v>95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127</v>
      </c>
      <c r="G1055" t="s">
        <v>128</v>
      </c>
      <c r="H1055" s="3">
        <v>1969</v>
      </c>
      <c r="I1055" s="3">
        <v>1969</v>
      </c>
      <c r="J1055">
        <v>0</v>
      </c>
      <c r="K1055" s="3">
        <v>1969</v>
      </c>
      <c r="L1055" s="3">
        <v>437.54</v>
      </c>
      <c r="M1055" s="3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129</v>
      </c>
      <c r="X1055" s="4">
        <v>0</v>
      </c>
      <c r="Y1055" t="s">
        <v>62</v>
      </c>
      <c r="Z1055" s="3"/>
      <c r="AE1055" s="3"/>
      <c r="AK1055" s="5"/>
    </row>
    <row r="1056" spans="1:47" hidden="1" x14ac:dyDescent="0.25">
      <c r="A1056" t="s">
        <v>63</v>
      </c>
      <c r="B1056" s="1">
        <v>437.54</v>
      </c>
      <c r="C1056">
        <v>0</v>
      </c>
      <c r="D1056">
        <v>0</v>
      </c>
      <c r="E1056" s="2">
        <v>0</v>
      </c>
      <c r="F1056" s="3">
        <v>0</v>
      </c>
      <c r="G1056" s="3">
        <v>950</v>
      </c>
      <c r="H1056" s="3" t="s">
        <v>54</v>
      </c>
      <c r="I1056" s="3" t="s">
        <v>59</v>
      </c>
      <c r="K1056" s="3" t="s">
        <v>73</v>
      </c>
      <c r="L1056" s="3" t="s">
        <v>60</v>
      </c>
      <c r="M1056" s="3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  <c r="X1056" s="4"/>
      <c r="Z1056" s="3"/>
      <c r="AE1056" s="3"/>
      <c r="AK1056" s="5"/>
    </row>
    <row r="1057" spans="1:47" hidden="1" x14ac:dyDescent="0.25">
      <c r="A1057" t="s">
        <v>95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318</v>
      </c>
      <c r="G1057" t="s">
        <v>249</v>
      </c>
      <c r="H1057" s="3">
        <v>5952</v>
      </c>
      <c r="I1057" s="3">
        <v>5952</v>
      </c>
      <c r="J1057">
        <v>0</v>
      </c>
      <c r="K1057" s="3">
        <v>5952</v>
      </c>
      <c r="L1057" s="3">
        <v>855.6</v>
      </c>
      <c r="M1057" s="3">
        <v>500.53</v>
      </c>
      <c r="N1057" t="s">
        <v>105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129</v>
      </c>
      <c r="X1057" s="4">
        <v>0</v>
      </c>
      <c r="Y1057" t="s">
        <v>62</v>
      </c>
    </row>
    <row r="1058" spans="1:47" hidden="1" x14ac:dyDescent="0.25">
      <c r="A1058" t="s">
        <v>63</v>
      </c>
      <c r="B1058">
        <v>0</v>
      </c>
      <c r="C1058">
        <v>0</v>
      </c>
      <c r="D1058" s="3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319</v>
      </c>
      <c r="K1058" t="s">
        <v>73</v>
      </c>
      <c r="L1058" t="s">
        <v>73</v>
      </c>
      <c r="M1058" s="3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hidden="1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366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 s="3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hidden="1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 s="3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3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hidden="1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116</v>
      </c>
      <c r="G1061" t="s">
        <v>117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 s="3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151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hidden="1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s="3" t="s">
        <v>116</v>
      </c>
      <c r="G1062" s="3" t="s">
        <v>117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 s="3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151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hidden="1" x14ac:dyDescent="0.25">
      <c r="A1063" t="s">
        <v>95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125</v>
      </c>
      <c r="G1063" t="s">
        <v>108</v>
      </c>
      <c r="H1063" s="3">
        <v>2557</v>
      </c>
      <c r="I1063" s="3">
        <v>2557</v>
      </c>
      <c r="J1063">
        <v>0</v>
      </c>
      <c r="K1063" s="3">
        <v>2557</v>
      </c>
      <c r="L1063" s="3">
        <v>415</v>
      </c>
      <c r="M1063" s="3">
        <v>184.26</v>
      </c>
      <c r="N1063" t="s">
        <v>83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173</v>
      </c>
      <c r="W1063" t="s">
        <v>113</v>
      </c>
      <c r="X1063" s="4">
        <v>0</v>
      </c>
      <c r="Y1063" t="s">
        <v>62</v>
      </c>
      <c r="AE1063" s="3"/>
      <c r="AK1063" s="5"/>
    </row>
    <row r="1064" spans="1:47" hidden="1" x14ac:dyDescent="0.25">
      <c r="A1064" t="s">
        <v>63</v>
      </c>
      <c r="B1064" s="1">
        <v>415</v>
      </c>
      <c r="C1064">
        <v>0</v>
      </c>
      <c r="D1064">
        <v>0</v>
      </c>
      <c r="E1064" s="2">
        <v>0</v>
      </c>
      <c r="F1064" s="3">
        <v>0</v>
      </c>
      <c r="G1064" s="3">
        <v>100</v>
      </c>
      <c r="H1064" s="3" t="s">
        <v>54</v>
      </c>
      <c r="I1064" s="3" t="s">
        <v>59</v>
      </c>
      <c r="J1064" t="s">
        <v>126</v>
      </c>
      <c r="K1064" s="3" t="s">
        <v>73</v>
      </c>
      <c r="L1064" s="3" t="s">
        <v>73</v>
      </c>
      <c r="M1064" s="3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  <c r="X1064" s="4"/>
      <c r="AD1064" s="3"/>
      <c r="AE1064" s="3"/>
      <c r="AK1064" s="5"/>
    </row>
    <row r="1065" spans="1:47" hidden="1" x14ac:dyDescent="0.25">
      <c r="A1065" t="s">
        <v>95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183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 s="3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132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 s="3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hidden="1" x14ac:dyDescent="0.25">
      <c r="A1066" t="s">
        <v>47</v>
      </c>
      <c r="B1066" s="1">
        <v>37903</v>
      </c>
      <c r="C1066" t="s">
        <v>48</v>
      </c>
      <c r="D1066" s="3" t="s">
        <v>49</v>
      </c>
      <c r="E1066" s="2">
        <v>45905</v>
      </c>
      <c r="F1066" t="s">
        <v>100</v>
      </c>
      <c r="G1066" s="3" t="s">
        <v>93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 s="3">
        <v>598.08000000000004</v>
      </c>
      <c r="N1066" t="s">
        <v>83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101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 s="3">
        <v>0</v>
      </c>
      <c r="AE1066" s="3">
        <v>2000</v>
      </c>
      <c r="AF1066" t="s">
        <v>54</v>
      </c>
      <c r="AG1066" t="s">
        <v>59</v>
      </c>
      <c r="AH1066" t="s">
        <v>102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hidden="1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107</v>
      </c>
      <c r="G1067" t="s">
        <v>108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 s="3">
        <v>870.87</v>
      </c>
      <c r="N1067" t="s">
        <v>83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109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 s="3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hidden="1" x14ac:dyDescent="0.25">
      <c r="A1068" t="s">
        <v>95</v>
      </c>
      <c r="B1068" s="1">
        <v>37906</v>
      </c>
      <c r="C1068" t="s">
        <v>48</v>
      </c>
      <c r="D1068" s="3" t="s">
        <v>49</v>
      </c>
      <c r="E1068" s="2">
        <v>45908</v>
      </c>
      <c r="F1068" t="s">
        <v>127</v>
      </c>
      <c r="G1068" s="3" t="s">
        <v>128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 s="3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129</v>
      </c>
      <c r="X1068" s="4">
        <v>0</v>
      </c>
      <c r="Y1068" t="s">
        <v>62</v>
      </c>
      <c r="AD1068" s="3"/>
      <c r="AE1068" s="3"/>
      <c r="AK1068" s="5"/>
    </row>
    <row r="1069" spans="1:47" hidden="1" x14ac:dyDescent="0.25">
      <c r="A1069" t="s">
        <v>63</v>
      </c>
      <c r="B1069" s="3">
        <v>1381.62</v>
      </c>
      <c r="C1069">
        <v>0</v>
      </c>
      <c r="D1069">
        <v>0</v>
      </c>
      <c r="E1069" s="2">
        <v>0</v>
      </c>
      <c r="F1069">
        <v>0</v>
      </c>
      <c r="G1069" s="3">
        <v>1270</v>
      </c>
      <c r="H1069" s="3" t="s">
        <v>54</v>
      </c>
      <c r="I1069" s="3" t="s">
        <v>59</v>
      </c>
      <c r="K1069" s="3" t="s">
        <v>60</v>
      </c>
      <c r="L1069" s="3" t="s">
        <v>60</v>
      </c>
      <c r="M1069" s="3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  <c r="X1069" s="4"/>
      <c r="AD1069" s="3"/>
      <c r="AK1069" s="5"/>
    </row>
    <row r="1070" spans="1:47" hidden="1" x14ac:dyDescent="0.25">
      <c r="A1070" t="s">
        <v>47</v>
      </c>
      <c r="B1070" s="1">
        <v>37908</v>
      </c>
      <c r="C1070" t="s">
        <v>48</v>
      </c>
      <c r="D1070" s="3" t="s">
        <v>49</v>
      </c>
      <c r="E1070" s="2">
        <v>45909</v>
      </c>
      <c r="F1070" t="s">
        <v>111</v>
      </c>
      <c r="G1070" s="3" t="s">
        <v>112</v>
      </c>
      <c r="H1070" s="3">
        <v>942.5</v>
      </c>
      <c r="I1070" s="3">
        <v>942.5</v>
      </c>
      <c r="J1070">
        <v>0</v>
      </c>
      <c r="K1070" s="3">
        <v>942.5</v>
      </c>
      <c r="L1070" s="3">
        <v>155.35</v>
      </c>
      <c r="M1070" s="3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 s="3">
        <v>155.35</v>
      </c>
      <c r="AA1070">
        <v>0</v>
      </c>
      <c r="AB1070">
        <v>0</v>
      </c>
      <c r="AC1070">
        <v>0</v>
      </c>
      <c r="AD1070">
        <v>0</v>
      </c>
      <c r="AE1070" s="3">
        <v>650</v>
      </c>
      <c r="AF1070" t="s">
        <v>54</v>
      </c>
      <c r="AG1070" t="s">
        <v>59</v>
      </c>
      <c r="AH1070" t="s">
        <v>114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hidden="1" x14ac:dyDescent="0.25">
      <c r="A1071" t="s">
        <v>95</v>
      </c>
      <c r="B1071" s="1">
        <v>37909</v>
      </c>
      <c r="C1071" t="s">
        <v>48</v>
      </c>
      <c r="D1071" t="s">
        <v>49</v>
      </c>
      <c r="E1071" s="2">
        <v>45909</v>
      </c>
      <c r="F1071" t="s">
        <v>279</v>
      </c>
      <c r="G1071" t="s">
        <v>93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 s="3">
        <v>790.23</v>
      </c>
      <c r="N1071" t="s">
        <v>280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144</v>
      </c>
      <c r="W1071" t="s">
        <v>72</v>
      </c>
      <c r="X1071" s="4">
        <v>0</v>
      </c>
      <c r="Y1071" t="s">
        <v>62</v>
      </c>
      <c r="AE1071" s="3"/>
      <c r="AK1071" s="5"/>
    </row>
    <row r="1072" spans="1:47" hidden="1" x14ac:dyDescent="0.25">
      <c r="A1072" t="s">
        <v>63</v>
      </c>
      <c r="B1072" s="1">
        <v>0</v>
      </c>
      <c r="C1072">
        <v>0</v>
      </c>
      <c r="D1072" s="3">
        <v>259</v>
      </c>
      <c r="E1072" s="2">
        <v>0</v>
      </c>
      <c r="F1072">
        <v>988.4</v>
      </c>
      <c r="G1072" s="3">
        <v>3400</v>
      </c>
      <c r="H1072" s="3" t="s">
        <v>54</v>
      </c>
      <c r="I1072" s="3" t="s">
        <v>59</v>
      </c>
      <c r="J1072" t="s">
        <v>142</v>
      </c>
      <c r="K1072" s="3" t="s">
        <v>73</v>
      </c>
      <c r="L1072" s="3" t="s">
        <v>73</v>
      </c>
      <c r="M1072" s="3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  <c r="X1072" s="4"/>
      <c r="Z1072" s="3"/>
      <c r="AE1072" s="3"/>
      <c r="AK1072" s="5"/>
    </row>
    <row r="1073" spans="1:47" hidden="1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336</v>
      </c>
      <c r="G1073" t="s">
        <v>112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 s="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94</v>
      </c>
      <c r="X1073" s="4">
        <v>0</v>
      </c>
      <c r="Y1073" t="s">
        <v>62</v>
      </c>
    </row>
    <row r="1074" spans="1:47" hidden="1" x14ac:dyDescent="0.25">
      <c r="A1074" t="s">
        <v>63</v>
      </c>
      <c r="B1074" s="3">
        <v>2015.66</v>
      </c>
      <c r="C1074">
        <v>0</v>
      </c>
      <c r="D1074" s="3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3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hidden="1" x14ac:dyDescent="0.25">
      <c r="A1075" t="s">
        <v>95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104</v>
      </c>
      <c r="G1075" t="s">
        <v>93</v>
      </c>
      <c r="H1075" s="3">
        <v>4070</v>
      </c>
      <c r="I1075" s="3">
        <v>4070</v>
      </c>
      <c r="J1075">
        <v>0</v>
      </c>
      <c r="K1075" s="3">
        <v>4070</v>
      </c>
      <c r="L1075" s="3">
        <v>346.9</v>
      </c>
      <c r="M1075" s="3">
        <v>215.08</v>
      </c>
      <c r="N1075" t="s">
        <v>105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144</v>
      </c>
      <c r="W1075" t="s">
        <v>106</v>
      </c>
      <c r="X1075" s="4">
        <v>0</v>
      </c>
      <c r="Y1075" t="s">
        <v>62</v>
      </c>
      <c r="Z1075" s="3"/>
      <c r="AE1075" s="3"/>
      <c r="AK1075" s="5"/>
    </row>
    <row r="1076" spans="1:47" hidden="1" x14ac:dyDescent="0.25">
      <c r="A1076" t="s">
        <v>63</v>
      </c>
      <c r="B1076" s="1">
        <v>0</v>
      </c>
      <c r="C1076">
        <v>0</v>
      </c>
      <c r="D1076" s="3">
        <v>275.39999999999998</v>
      </c>
      <c r="E1076" s="2">
        <v>0</v>
      </c>
      <c r="F1076">
        <v>71.5</v>
      </c>
      <c r="G1076" s="3">
        <v>300</v>
      </c>
      <c r="H1076" s="3" t="s">
        <v>54</v>
      </c>
      <c r="I1076" s="3" t="s">
        <v>59</v>
      </c>
      <c r="J1076" t="s">
        <v>178</v>
      </c>
      <c r="K1076" s="3" t="s">
        <v>214</v>
      </c>
      <c r="L1076" t="s">
        <v>73</v>
      </c>
      <c r="M1076" s="3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  <c r="X1076" s="4"/>
      <c r="AE1076" s="3"/>
      <c r="AK1076" s="5"/>
    </row>
    <row r="1077" spans="1:47" hidden="1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326</v>
      </c>
      <c r="G1077" t="s">
        <v>93</v>
      </c>
      <c r="H1077" s="3">
        <v>2120</v>
      </c>
      <c r="I1077" s="3">
        <v>2120</v>
      </c>
      <c r="J1077">
        <v>0</v>
      </c>
      <c r="K1077" s="3">
        <v>2438</v>
      </c>
      <c r="L1077" s="3">
        <v>348.8</v>
      </c>
      <c r="M1077" s="3">
        <v>209.28</v>
      </c>
      <c r="N1077" t="s">
        <v>327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115</v>
      </c>
      <c r="X1077" s="4">
        <v>0</v>
      </c>
      <c r="Y1077" t="s">
        <v>62</v>
      </c>
      <c r="AB1077" s="3"/>
      <c r="AE1077" s="3"/>
      <c r="AK1077" s="5"/>
    </row>
    <row r="1078" spans="1:47" hidden="1" x14ac:dyDescent="0.25">
      <c r="A1078" t="s">
        <v>63</v>
      </c>
      <c r="B1078" s="1">
        <v>0</v>
      </c>
      <c r="C1078">
        <v>0</v>
      </c>
      <c r="D1078" s="3">
        <v>348.8</v>
      </c>
      <c r="E1078" s="2">
        <v>0</v>
      </c>
      <c r="F1078">
        <v>0</v>
      </c>
      <c r="G1078" s="3">
        <v>400</v>
      </c>
      <c r="H1078" s="3" t="s">
        <v>54</v>
      </c>
      <c r="I1078" s="3" t="s">
        <v>59</v>
      </c>
      <c r="K1078" s="3" t="s">
        <v>73</v>
      </c>
      <c r="L1078" t="s">
        <v>73</v>
      </c>
      <c r="M1078" s="3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  <c r="X1078" s="4"/>
    </row>
    <row r="1079" spans="1:47" hidden="1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 s="3">
        <v>774</v>
      </c>
      <c r="M1079" s="3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  <c r="Z1079" s="3"/>
      <c r="AB1079" s="3"/>
      <c r="AE1079" s="3"/>
      <c r="AK1079" s="5"/>
    </row>
    <row r="1080" spans="1:47" hidden="1" x14ac:dyDescent="0.25">
      <c r="A1080" t="s">
        <v>63</v>
      </c>
      <c r="B1080" s="1">
        <v>0</v>
      </c>
      <c r="C1080">
        <v>0</v>
      </c>
      <c r="D1080" s="3">
        <v>0</v>
      </c>
      <c r="E1080" s="2">
        <v>0</v>
      </c>
      <c r="F1080">
        <v>774</v>
      </c>
      <c r="G1080" s="3">
        <v>600</v>
      </c>
      <c r="H1080" s="3" t="s">
        <v>54</v>
      </c>
      <c r="I1080" s="3" t="s">
        <v>59</v>
      </c>
      <c r="K1080" s="3" t="s">
        <v>73</v>
      </c>
      <c r="L1080" t="s">
        <v>73</v>
      </c>
      <c r="M1080" s="3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  <c r="X1080" s="4"/>
      <c r="AE1080" s="3"/>
      <c r="AK1080" s="5"/>
    </row>
    <row r="1081" spans="1:47" hidden="1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 s="3">
        <v>385</v>
      </c>
      <c r="I1081" s="3">
        <v>385</v>
      </c>
      <c r="J1081">
        <v>0</v>
      </c>
      <c r="K1081" s="3">
        <v>397.51</v>
      </c>
      <c r="L1081" s="3">
        <v>58.8</v>
      </c>
      <c r="M1081" s="3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  <c r="Z1081" s="3"/>
      <c r="AE1081" s="3"/>
      <c r="AK1081" s="5"/>
    </row>
    <row r="1082" spans="1:47" hidden="1" x14ac:dyDescent="0.25">
      <c r="A1082" t="s">
        <v>63</v>
      </c>
      <c r="B1082">
        <v>0</v>
      </c>
      <c r="C1082">
        <v>0</v>
      </c>
      <c r="D1082" s="3">
        <v>0</v>
      </c>
      <c r="E1082">
        <v>0</v>
      </c>
      <c r="F1082">
        <v>58.8</v>
      </c>
      <c r="G1082" s="3">
        <v>700</v>
      </c>
      <c r="H1082" t="s">
        <v>54</v>
      </c>
      <c r="I1082" t="s">
        <v>59</v>
      </c>
      <c r="K1082" t="s">
        <v>73</v>
      </c>
      <c r="L1082" t="s">
        <v>73</v>
      </c>
      <c r="M1082" s="3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hidden="1" x14ac:dyDescent="0.25">
      <c r="A1083" t="s">
        <v>95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143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105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144</v>
      </c>
      <c r="W1083" t="s">
        <v>145</v>
      </c>
      <c r="X1083" s="4">
        <v>0</v>
      </c>
      <c r="Y1083" t="s">
        <v>58</v>
      </c>
      <c r="Z1083" s="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214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hidden="1" x14ac:dyDescent="0.25">
      <c r="A1084" t="s">
        <v>47</v>
      </c>
      <c r="B1084" s="1">
        <v>37918</v>
      </c>
      <c r="C1084" t="s">
        <v>48</v>
      </c>
      <c r="D1084" s="3" t="s">
        <v>49</v>
      </c>
      <c r="E1084" s="2">
        <v>45911</v>
      </c>
      <c r="F1084" t="s">
        <v>110</v>
      </c>
      <c r="G1084" s="3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 s="3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94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hidden="1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110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 s="3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94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hidden="1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110</v>
      </c>
      <c r="G1086" s="3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 s="3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94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hidden="1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92</v>
      </c>
      <c r="G1087" t="s">
        <v>93</v>
      </c>
      <c r="H1087" s="3">
        <v>776.5</v>
      </c>
      <c r="I1087" s="3">
        <v>776.5</v>
      </c>
      <c r="J1087">
        <v>0</v>
      </c>
      <c r="K1087" s="3">
        <v>892.98</v>
      </c>
      <c r="L1087" s="3">
        <v>31.8</v>
      </c>
      <c r="M1087" s="3">
        <v>23.79</v>
      </c>
      <c r="N1087" t="s">
        <v>83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94</v>
      </c>
      <c r="X1087" s="4">
        <v>0</v>
      </c>
      <c r="Y1087" t="s">
        <v>62</v>
      </c>
      <c r="Z1087" s="3"/>
      <c r="AE1087" s="3"/>
      <c r="AK1087" s="5"/>
    </row>
    <row r="1088" spans="1:47" hidden="1" x14ac:dyDescent="0.25">
      <c r="A1088" t="s">
        <v>63</v>
      </c>
      <c r="B1088" s="1">
        <v>0</v>
      </c>
      <c r="C1088">
        <v>0</v>
      </c>
      <c r="D1088">
        <v>31.8</v>
      </c>
      <c r="E1088" s="2">
        <v>0</v>
      </c>
      <c r="F1088">
        <v>0</v>
      </c>
      <c r="G1088">
        <v>50</v>
      </c>
      <c r="H1088" s="3" t="s">
        <v>54</v>
      </c>
      <c r="I1088" s="3" t="s">
        <v>59</v>
      </c>
      <c r="K1088" s="3" t="s">
        <v>73</v>
      </c>
      <c r="L1088" s="3" t="s">
        <v>73</v>
      </c>
      <c r="M1088" s="3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  <c r="X1088" s="4"/>
      <c r="Z1088" s="3"/>
      <c r="AE1088" s="3"/>
      <c r="AK1088" s="5"/>
    </row>
    <row r="1089" spans="1:47" hidden="1" x14ac:dyDescent="0.25">
      <c r="A1089" t="s">
        <v>95</v>
      </c>
      <c r="B1089" s="1">
        <v>37922</v>
      </c>
      <c r="C1089" t="s">
        <v>48</v>
      </c>
      <c r="D1089" t="s">
        <v>49</v>
      </c>
      <c r="E1089" s="2">
        <v>45911</v>
      </c>
      <c r="F1089" s="3" t="s">
        <v>412</v>
      </c>
      <c r="G1089" s="3" t="s">
        <v>117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 s="3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94</v>
      </c>
      <c r="X1089" s="4">
        <v>0</v>
      </c>
      <c r="Y1089" t="s">
        <v>62</v>
      </c>
    </row>
    <row r="1090" spans="1:47" hidden="1" x14ac:dyDescent="0.25">
      <c r="A1090" t="s">
        <v>63</v>
      </c>
      <c r="B1090" s="1">
        <v>188.4</v>
      </c>
      <c r="C1090">
        <v>0</v>
      </c>
      <c r="D1090">
        <v>0</v>
      </c>
      <c r="E1090" s="2">
        <v>0</v>
      </c>
      <c r="F1090">
        <v>0</v>
      </c>
      <c r="G1090">
        <v>400</v>
      </c>
      <c r="H1090" s="3" t="s">
        <v>54</v>
      </c>
      <c r="I1090" s="3" t="s">
        <v>59</v>
      </c>
      <c r="K1090" s="3" t="s">
        <v>60</v>
      </c>
      <c r="L1090" s="3" t="s">
        <v>60</v>
      </c>
      <c r="M1090" s="3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  <c r="X1090" s="4"/>
    </row>
    <row r="1091" spans="1:47" hidden="1" x14ac:dyDescent="0.25">
      <c r="A1091" t="s">
        <v>95</v>
      </c>
      <c r="B1091" s="1">
        <v>37924</v>
      </c>
      <c r="C1091" t="s">
        <v>48</v>
      </c>
      <c r="D1091" t="s">
        <v>49</v>
      </c>
      <c r="E1091" s="2">
        <v>45911</v>
      </c>
      <c r="F1091" s="3" t="s">
        <v>405</v>
      </c>
      <c r="G1091" s="3" t="s">
        <v>88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 s="3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406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147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hidden="1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226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 s="3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hidden="1" x14ac:dyDescent="0.25">
      <c r="A1093" t="s">
        <v>63</v>
      </c>
      <c r="B1093" s="1">
        <v>0</v>
      </c>
      <c r="C1093">
        <v>0</v>
      </c>
      <c r="D1093">
        <v>0</v>
      </c>
      <c r="E1093" s="2">
        <v>0</v>
      </c>
      <c r="F1093" s="3">
        <v>1169.9100000000001</v>
      </c>
      <c r="G1093" s="3">
        <v>2070</v>
      </c>
      <c r="H1093" s="3" t="s">
        <v>54</v>
      </c>
      <c r="I1093" s="3" t="s">
        <v>59</v>
      </c>
      <c r="K1093" s="3" t="s">
        <v>80</v>
      </c>
      <c r="L1093" s="3" t="s">
        <v>73</v>
      </c>
      <c r="M1093" s="3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  <c r="X1093" s="4"/>
      <c r="AB1093" s="3"/>
      <c r="AE1093" s="3"/>
      <c r="AK1093" s="5"/>
    </row>
    <row r="1094" spans="1:47" hidden="1" x14ac:dyDescent="0.25">
      <c r="A1094" t="s">
        <v>134</v>
      </c>
      <c r="B1094" s="1">
        <v>37926</v>
      </c>
      <c r="C1094" t="s">
        <v>48</v>
      </c>
      <c r="D1094" t="s">
        <v>49</v>
      </c>
      <c r="E1094" s="2">
        <v>45911</v>
      </c>
      <c r="F1094" t="s">
        <v>367</v>
      </c>
      <c r="G1094" t="s">
        <v>66</v>
      </c>
      <c r="H1094" s="3">
        <v>75</v>
      </c>
      <c r="I1094" s="3">
        <v>75</v>
      </c>
      <c r="J1094">
        <v>0</v>
      </c>
      <c r="K1094" s="3">
        <v>75</v>
      </c>
      <c r="L1094" s="3">
        <v>13.65</v>
      </c>
      <c r="M1094" s="3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113</v>
      </c>
      <c r="X1094" s="4">
        <v>0</v>
      </c>
      <c r="Y1094" t="s">
        <v>62</v>
      </c>
      <c r="AB1094" s="3"/>
      <c r="AE1094" s="3"/>
      <c r="AK1094" s="5"/>
    </row>
    <row r="1095" spans="1:47" hidden="1" x14ac:dyDescent="0.25">
      <c r="A1095" t="s">
        <v>63</v>
      </c>
      <c r="B1095" s="1">
        <v>13.65</v>
      </c>
      <c r="C1095">
        <v>0</v>
      </c>
      <c r="D1095">
        <v>0</v>
      </c>
      <c r="E1095" s="2">
        <v>0</v>
      </c>
      <c r="F1095" s="3">
        <v>0</v>
      </c>
      <c r="G1095" s="3">
        <v>50</v>
      </c>
      <c r="H1095" s="3" t="s">
        <v>54</v>
      </c>
      <c r="I1095" s="3" t="s">
        <v>59</v>
      </c>
      <c r="K1095" s="3" t="s">
        <v>80</v>
      </c>
      <c r="L1095" s="3" t="s">
        <v>73</v>
      </c>
      <c r="M1095" s="3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  <c r="AB1095" s="3"/>
      <c r="AE1095" s="3"/>
      <c r="AK1095" s="5"/>
    </row>
    <row r="1096" spans="1:47" hidden="1" x14ac:dyDescent="0.25">
      <c r="A1096" t="s">
        <v>95</v>
      </c>
      <c r="B1096" s="1">
        <v>37927</v>
      </c>
      <c r="C1096" t="s">
        <v>48</v>
      </c>
      <c r="D1096" t="s">
        <v>49</v>
      </c>
      <c r="E1096" s="2">
        <v>45911</v>
      </c>
      <c r="F1096" t="s">
        <v>283</v>
      </c>
      <c r="G1096" t="s">
        <v>213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105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284</v>
      </c>
      <c r="X1096" s="4"/>
      <c r="Y1096" t="s">
        <v>58</v>
      </c>
      <c r="Z1096" s="3">
        <v>4380</v>
      </c>
      <c r="AA1096">
        <v>0</v>
      </c>
      <c r="AB1096" s="3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246</v>
      </c>
    </row>
    <row r="1097" spans="1:47" hidden="1" x14ac:dyDescent="0.25">
      <c r="A1097" t="s">
        <v>95</v>
      </c>
      <c r="B1097" s="1">
        <v>37928</v>
      </c>
      <c r="C1097" t="s">
        <v>48</v>
      </c>
      <c r="D1097" t="s">
        <v>49</v>
      </c>
      <c r="E1097" s="2">
        <v>45911</v>
      </c>
      <c r="F1097" s="3" t="s">
        <v>317</v>
      </c>
      <c r="G1097" s="3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 s="3">
        <v>526.05999999999995</v>
      </c>
      <c r="M1097" s="3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119</v>
      </c>
      <c r="W1097" t="s">
        <v>287</v>
      </c>
      <c r="X1097" s="4">
        <v>0</v>
      </c>
      <c r="Y1097" t="s">
        <v>62</v>
      </c>
      <c r="AB1097" s="3"/>
      <c r="AE1097" s="3"/>
      <c r="AK1097" s="5"/>
    </row>
    <row r="1098" spans="1:47" hidden="1" x14ac:dyDescent="0.25">
      <c r="A1098" t="s">
        <v>63</v>
      </c>
      <c r="B1098" s="1">
        <v>0</v>
      </c>
      <c r="C1098">
        <v>0</v>
      </c>
      <c r="D1098">
        <v>526.05999999999995</v>
      </c>
      <c r="E1098" s="2">
        <v>0</v>
      </c>
      <c r="F1098">
        <v>0</v>
      </c>
      <c r="G1098">
        <v>350</v>
      </c>
      <c r="H1098" s="3" t="s">
        <v>54</v>
      </c>
      <c r="I1098" s="3" t="s">
        <v>59</v>
      </c>
      <c r="K1098" s="3" t="s">
        <v>80</v>
      </c>
      <c r="L1098" s="3" t="s">
        <v>73</v>
      </c>
      <c r="M1098" s="3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  <c r="X1098" s="4"/>
      <c r="AB1098" s="3"/>
      <c r="AE1098" s="3"/>
      <c r="AK1098" s="5"/>
    </row>
    <row r="1099" spans="1:47" hidden="1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368</v>
      </c>
      <c r="G1099" t="s">
        <v>369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 s="3">
        <v>655.7</v>
      </c>
      <c r="N1099" t="s">
        <v>105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158</v>
      </c>
      <c r="X1099" s="4"/>
      <c r="Y1099" t="s">
        <v>62</v>
      </c>
      <c r="AB1099" s="3"/>
      <c r="AE1099" s="3"/>
      <c r="AK1099" s="5"/>
    </row>
    <row r="1100" spans="1:47" hidden="1" x14ac:dyDescent="0.25">
      <c r="A1100" t="s">
        <v>63</v>
      </c>
      <c r="B1100" s="1">
        <v>0</v>
      </c>
      <c r="C1100">
        <v>0</v>
      </c>
      <c r="D1100" s="3">
        <v>1102</v>
      </c>
      <c r="E1100" s="2">
        <v>0</v>
      </c>
      <c r="F1100">
        <v>0</v>
      </c>
      <c r="G1100" s="3">
        <v>1000</v>
      </c>
      <c r="H1100" s="3"/>
      <c r="I1100" s="3"/>
      <c r="K1100" s="3"/>
      <c r="L1100" t="s">
        <v>73</v>
      </c>
      <c r="M1100" s="3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246</v>
      </c>
      <c r="X1100" s="4"/>
      <c r="AE1100" s="3"/>
      <c r="AK1100" s="5"/>
    </row>
    <row r="1101" spans="1:47" hidden="1" x14ac:dyDescent="0.25">
      <c r="A1101" t="s">
        <v>95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143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105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145</v>
      </c>
      <c r="X1101" s="4"/>
      <c r="Y1101" t="s">
        <v>58</v>
      </c>
      <c r="Z1101">
        <v>0</v>
      </c>
      <c r="AA1101" s="3">
        <v>0</v>
      </c>
      <c r="AB1101" s="3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246</v>
      </c>
    </row>
    <row r="1102" spans="1:47" hidden="1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370</v>
      </c>
      <c r="G1102" t="s">
        <v>88</v>
      </c>
      <c r="H1102" s="3">
        <v>3314</v>
      </c>
      <c r="I1102" s="3">
        <v>3314</v>
      </c>
      <c r="J1102">
        <v>0</v>
      </c>
      <c r="K1102" s="3">
        <v>3811.1</v>
      </c>
      <c r="L1102" s="3">
        <v>270.39999999999998</v>
      </c>
      <c r="M1102" s="3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94</v>
      </c>
      <c r="X1102" s="4">
        <v>0</v>
      </c>
      <c r="Y1102" t="s">
        <v>62</v>
      </c>
      <c r="AA1102" s="3"/>
      <c r="AE1102" s="3"/>
      <c r="AK1102" s="5"/>
    </row>
    <row r="1103" spans="1:47" hidden="1" x14ac:dyDescent="0.25">
      <c r="A1103" t="s">
        <v>63</v>
      </c>
      <c r="B1103" s="1">
        <v>0</v>
      </c>
      <c r="C1103">
        <v>0</v>
      </c>
      <c r="D1103">
        <v>270.39999999999998</v>
      </c>
      <c r="E1103" s="2">
        <v>0</v>
      </c>
      <c r="F1103">
        <v>0</v>
      </c>
      <c r="G1103" s="3">
        <v>200</v>
      </c>
      <c r="H1103" s="3" t="s">
        <v>54</v>
      </c>
      <c r="I1103" s="3" t="s">
        <v>59</v>
      </c>
      <c r="K1103" s="3" t="s">
        <v>60</v>
      </c>
      <c r="L1103" s="3" t="s">
        <v>60</v>
      </c>
      <c r="M1103" s="3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  <c r="X1103" s="4"/>
      <c r="Z1103" s="3"/>
      <c r="AE1103" s="3"/>
      <c r="AK1103" s="5"/>
    </row>
    <row r="1104" spans="1:47" hidden="1" x14ac:dyDescent="0.25">
      <c r="A1104" t="s">
        <v>95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127</v>
      </c>
      <c r="G1104" t="s">
        <v>128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129</v>
      </c>
      <c r="X1104" s="4">
        <v>0</v>
      </c>
      <c r="Y1104" t="s">
        <v>62</v>
      </c>
      <c r="AE1104" s="3"/>
      <c r="AK1104" s="5"/>
    </row>
    <row r="1105" spans="1:47" hidden="1" x14ac:dyDescent="0.25">
      <c r="A1105" t="s">
        <v>63</v>
      </c>
      <c r="B1105" s="3">
        <v>3686.9</v>
      </c>
      <c r="C1105">
        <v>0</v>
      </c>
      <c r="D1105">
        <v>0</v>
      </c>
      <c r="E1105" s="2">
        <v>0</v>
      </c>
      <c r="F1105">
        <v>0</v>
      </c>
      <c r="G1105" s="3">
        <v>5600</v>
      </c>
      <c r="H1105" s="3" t="s">
        <v>54</v>
      </c>
      <c r="I1105" s="3" t="s">
        <v>59</v>
      </c>
      <c r="K1105" s="3" t="s">
        <v>60</v>
      </c>
      <c r="L1105" t="s">
        <v>73</v>
      </c>
      <c r="M1105" s="3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  <c r="X1105" s="4"/>
      <c r="AE1105" s="3"/>
      <c r="AK1105" s="5"/>
    </row>
    <row r="1106" spans="1:47" hidden="1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148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 s="3">
        <v>226.92</v>
      </c>
      <c r="N1106" t="s">
        <v>83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 s="3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hidden="1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148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 s="3">
        <v>653.17999999999995</v>
      </c>
      <c r="M1107" s="3">
        <v>342.35</v>
      </c>
      <c r="N1107" t="s">
        <v>83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 s="3">
        <v>349.8</v>
      </c>
      <c r="AA1107">
        <v>0</v>
      </c>
      <c r="AB1107">
        <v>303.38</v>
      </c>
      <c r="AC1107">
        <v>0</v>
      </c>
      <c r="AD1107">
        <v>0</v>
      </c>
      <c r="AE1107" s="3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hidden="1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148</v>
      </c>
      <c r="G1108" s="3" t="s">
        <v>66</v>
      </c>
      <c r="H1108" s="3">
        <v>1733</v>
      </c>
      <c r="I1108" s="3">
        <v>1733</v>
      </c>
      <c r="J1108">
        <v>0</v>
      </c>
      <c r="K1108" s="3">
        <v>1992.95</v>
      </c>
      <c r="L1108" s="3">
        <v>195.5</v>
      </c>
      <c r="M1108" s="3">
        <v>146.22999999999999</v>
      </c>
      <c r="N1108" t="s">
        <v>83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hidden="1" x14ac:dyDescent="0.25">
      <c r="A1109" t="s">
        <v>95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159</v>
      </c>
      <c r="G1109" s="3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 s="3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160</v>
      </c>
      <c r="X1109" s="4"/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246</v>
      </c>
    </row>
    <row r="1110" spans="1:47" hidden="1" x14ac:dyDescent="0.25">
      <c r="A1110" t="s">
        <v>95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329</v>
      </c>
      <c r="G1110" t="s">
        <v>330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105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91</v>
      </c>
      <c r="W1110" t="s">
        <v>132</v>
      </c>
      <c r="X1110" s="4">
        <v>0</v>
      </c>
      <c r="Y1110" t="s">
        <v>197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214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hidden="1" x14ac:dyDescent="0.25">
      <c r="A1111" t="s">
        <v>95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130</v>
      </c>
      <c r="G1111" t="s">
        <v>86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 s="3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113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hidden="1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 s="3">
        <v>955</v>
      </c>
      <c r="M1112" s="3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197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hidden="1" x14ac:dyDescent="0.25">
      <c r="A1113" t="s">
        <v>95</v>
      </c>
      <c r="B1113" s="1">
        <v>37941</v>
      </c>
      <c r="C1113" t="s">
        <v>48</v>
      </c>
      <c r="D1113" s="3" t="s">
        <v>49</v>
      </c>
      <c r="E1113" s="2">
        <v>45912</v>
      </c>
      <c r="F1113" t="s">
        <v>130</v>
      </c>
      <c r="G1113" s="3" t="s">
        <v>86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 s="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113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91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hidden="1" x14ac:dyDescent="0.25">
      <c r="A1114" t="s">
        <v>95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130</v>
      </c>
      <c r="G1114" t="s">
        <v>86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 s="3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113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 s="3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91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hidden="1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278</v>
      </c>
      <c r="G1115" s="3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hidden="1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176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230</v>
      </c>
      <c r="X1116" s="4">
        <v>0</v>
      </c>
      <c r="Y1116" t="s">
        <v>62</v>
      </c>
      <c r="AK1116" s="5"/>
    </row>
    <row r="1117" spans="1:47" hidden="1" x14ac:dyDescent="0.25">
      <c r="A1117" t="s">
        <v>63</v>
      </c>
      <c r="B1117" s="3">
        <v>0</v>
      </c>
      <c r="C1117">
        <v>0</v>
      </c>
      <c r="D1117">
        <v>0</v>
      </c>
      <c r="E1117" s="2">
        <v>0</v>
      </c>
      <c r="F1117" s="3">
        <v>4693</v>
      </c>
      <c r="G1117" s="3">
        <v>8500</v>
      </c>
      <c r="H1117" s="3" t="s">
        <v>54</v>
      </c>
      <c r="I1117" s="3" t="s">
        <v>59</v>
      </c>
      <c r="J1117" t="s">
        <v>79</v>
      </c>
      <c r="K1117" s="3" t="s">
        <v>60</v>
      </c>
      <c r="L1117" t="s">
        <v>60</v>
      </c>
      <c r="M1117" s="3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  <c r="X1117" s="4"/>
      <c r="AK1117" s="5"/>
    </row>
    <row r="1118" spans="1:47" hidden="1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176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198</v>
      </c>
      <c r="X1118" s="4">
        <v>0</v>
      </c>
      <c r="Y1118" t="s">
        <v>62</v>
      </c>
      <c r="AK1118" s="5"/>
    </row>
    <row r="1119" spans="1:47" hidden="1" x14ac:dyDescent="0.25">
      <c r="A1119" t="s">
        <v>63</v>
      </c>
      <c r="B1119" s="3">
        <v>0</v>
      </c>
      <c r="C1119">
        <v>0</v>
      </c>
      <c r="D1119">
        <v>0</v>
      </c>
      <c r="E1119" s="2">
        <v>0</v>
      </c>
      <c r="F1119" s="3">
        <v>2154</v>
      </c>
      <c r="G1119" s="3">
        <v>7500</v>
      </c>
      <c r="H1119" s="3" t="s">
        <v>54</v>
      </c>
      <c r="I1119" s="3" t="s">
        <v>59</v>
      </c>
      <c r="J1119" t="s">
        <v>79</v>
      </c>
      <c r="K1119" s="3" t="s">
        <v>60</v>
      </c>
      <c r="L1119" t="s">
        <v>60</v>
      </c>
      <c r="M1119" s="3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  <c r="X1119" s="4"/>
      <c r="AK1119" s="5"/>
    </row>
    <row r="1120" spans="1:47" hidden="1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176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198</v>
      </c>
      <c r="X1120" s="4">
        <v>0</v>
      </c>
      <c r="Y1120" t="s">
        <v>62</v>
      </c>
      <c r="AK1120" s="5"/>
    </row>
    <row r="1121" spans="1:47" hidden="1" x14ac:dyDescent="0.25">
      <c r="A1121" t="s">
        <v>63</v>
      </c>
      <c r="B1121" s="3">
        <v>0</v>
      </c>
      <c r="C1121">
        <v>0</v>
      </c>
      <c r="D1121">
        <v>0</v>
      </c>
      <c r="E1121" s="2">
        <v>0</v>
      </c>
      <c r="F1121" s="3">
        <v>2353</v>
      </c>
      <c r="G1121" s="3">
        <v>4500</v>
      </c>
      <c r="H1121" s="3" t="s">
        <v>54</v>
      </c>
      <c r="I1121" s="3" t="s">
        <v>59</v>
      </c>
      <c r="J1121" t="s">
        <v>79</v>
      </c>
      <c r="K1121" s="3" t="s">
        <v>60</v>
      </c>
      <c r="L1121" t="s">
        <v>60</v>
      </c>
      <c r="M1121" s="3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  <c r="X1121" s="4"/>
      <c r="AE1121" s="3"/>
      <c r="AK1121" s="5"/>
    </row>
    <row r="1122" spans="1:47" hidden="1" x14ac:dyDescent="0.25">
      <c r="A1122" t="s">
        <v>95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143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 s="3">
        <v>957.39</v>
      </c>
      <c r="N1122" t="s">
        <v>105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144</v>
      </c>
      <c r="W1122" t="s">
        <v>145</v>
      </c>
      <c r="X1122" s="4">
        <v>0</v>
      </c>
      <c r="Y1122" t="s">
        <v>58</v>
      </c>
      <c r="Z1122" s="3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214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hidden="1" x14ac:dyDescent="0.25">
      <c r="A1123" t="s">
        <v>95</v>
      </c>
      <c r="B1123" s="1">
        <v>37951</v>
      </c>
      <c r="C1123" t="s">
        <v>48</v>
      </c>
      <c r="D1123" t="s">
        <v>49</v>
      </c>
      <c r="E1123" s="2">
        <v>45915</v>
      </c>
      <c r="F1123" t="s">
        <v>411</v>
      </c>
      <c r="G1123" s="3" t="s">
        <v>66</v>
      </c>
      <c r="H1123" s="3">
        <v>855</v>
      </c>
      <c r="I1123" s="3">
        <v>855</v>
      </c>
      <c r="J1123">
        <v>0</v>
      </c>
      <c r="K1123" s="3">
        <v>855</v>
      </c>
      <c r="L1123" s="3">
        <v>138.5</v>
      </c>
      <c r="M1123" s="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X1123" s="4"/>
      <c r="Y1123" t="s">
        <v>62</v>
      </c>
      <c r="AD1123" s="3"/>
      <c r="AE1123" s="3"/>
      <c r="AK1123" s="5"/>
    </row>
    <row r="1124" spans="1:47" hidden="1" x14ac:dyDescent="0.25">
      <c r="A1124" t="s">
        <v>63</v>
      </c>
      <c r="B1124" s="1">
        <v>138.5</v>
      </c>
      <c r="C1124">
        <v>0</v>
      </c>
      <c r="D1124">
        <v>0</v>
      </c>
      <c r="E1124" s="2">
        <v>0</v>
      </c>
      <c r="F1124">
        <v>0</v>
      </c>
      <c r="G1124">
        <v>500</v>
      </c>
      <c r="H1124" s="3"/>
      <c r="I1124" s="3"/>
      <c r="K1124" s="3"/>
      <c r="L1124" s="3" t="s">
        <v>73</v>
      </c>
      <c r="M1124" s="3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246</v>
      </c>
      <c r="X1124" s="4"/>
      <c r="AK1124" s="5"/>
    </row>
    <row r="1125" spans="1:47" hidden="1" x14ac:dyDescent="0.25">
      <c r="A1125" t="s">
        <v>95</v>
      </c>
      <c r="B1125" s="1">
        <v>37952</v>
      </c>
      <c r="C1125" t="s">
        <v>48</v>
      </c>
      <c r="D1125" t="s">
        <v>49</v>
      </c>
      <c r="E1125" s="2">
        <v>45916</v>
      </c>
      <c r="F1125" s="3" t="s">
        <v>350</v>
      </c>
      <c r="G1125" s="3" t="s">
        <v>168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 s="3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351</v>
      </c>
      <c r="X1125" s="4"/>
      <c r="Y1125" t="s">
        <v>62</v>
      </c>
      <c r="AK1125" s="5"/>
    </row>
    <row r="1126" spans="1:47" hidden="1" x14ac:dyDescent="0.25">
      <c r="A1126" t="s">
        <v>63</v>
      </c>
      <c r="B1126" s="3">
        <v>2805</v>
      </c>
      <c r="C1126">
        <v>0</v>
      </c>
      <c r="D1126">
        <v>0</v>
      </c>
      <c r="E1126" s="2">
        <v>0</v>
      </c>
      <c r="F1126">
        <v>0</v>
      </c>
      <c r="G1126" s="3">
        <v>5000</v>
      </c>
      <c r="H1126" s="3"/>
      <c r="I1126" s="3"/>
      <c r="K1126" s="3"/>
      <c r="L1126" s="3" t="s">
        <v>73</v>
      </c>
      <c r="M1126" s="3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246</v>
      </c>
      <c r="X1126" s="4"/>
      <c r="AK1126" s="5"/>
    </row>
    <row r="1127" spans="1:47" hidden="1" x14ac:dyDescent="0.25">
      <c r="A1127" t="s">
        <v>95</v>
      </c>
      <c r="B1127" s="1">
        <v>37958</v>
      </c>
      <c r="C1127" t="s">
        <v>48</v>
      </c>
      <c r="D1127" t="s">
        <v>49</v>
      </c>
      <c r="E1127" s="2">
        <v>45916</v>
      </c>
      <c r="F1127" s="3" t="s">
        <v>293</v>
      </c>
      <c r="G1127" s="3" t="s">
        <v>93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 s="3">
        <v>266.58</v>
      </c>
      <c r="N1127" t="s">
        <v>105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144</v>
      </c>
      <c r="W1127" t="s">
        <v>89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214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hidden="1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293</v>
      </c>
      <c r="G1128" t="s">
        <v>93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 s="3">
        <v>133.29</v>
      </c>
      <c r="N1128" t="s">
        <v>105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144</v>
      </c>
      <c r="W1128" t="s">
        <v>89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214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hidden="1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293</v>
      </c>
      <c r="G1129" t="s">
        <v>93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 s="3">
        <v>133.29</v>
      </c>
      <c r="N1129" t="s">
        <v>105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144</v>
      </c>
      <c r="W1129" t="s">
        <v>89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214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hidden="1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293</v>
      </c>
      <c r="G1130" t="s">
        <v>93</v>
      </c>
      <c r="H1130" s="3">
        <v>2742</v>
      </c>
      <c r="I1130" s="3">
        <v>2742</v>
      </c>
      <c r="J1130">
        <v>0</v>
      </c>
      <c r="K1130" s="3">
        <v>2742</v>
      </c>
      <c r="L1130" s="3">
        <v>356.4</v>
      </c>
      <c r="M1130" s="3">
        <v>266.58</v>
      </c>
      <c r="N1130" t="s">
        <v>105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144</v>
      </c>
      <c r="W1130" t="s">
        <v>89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214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hidden="1" x14ac:dyDescent="0.25">
      <c r="A1131" t="s">
        <v>95</v>
      </c>
      <c r="B1131" s="1">
        <v>37962</v>
      </c>
      <c r="C1131" t="s">
        <v>48</v>
      </c>
      <c r="D1131" s="3" t="s">
        <v>49</v>
      </c>
      <c r="E1131" s="2">
        <v>45916</v>
      </c>
      <c r="F1131" s="3" t="s">
        <v>274</v>
      </c>
      <c r="G1131" s="3" t="s">
        <v>155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105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144</v>
      </c>
      <c r="W1131" t="s">
        <v>129</v>
      </c>
      <c r="X1131" s="4">
        <v>0</v>
      </c>
      <c r="Y1131" t="s">
        <v>62</v>
      </c>
    </row>
    <row r="1132" spans="1:47" hidden="1" x14ac:dyDescent="0.25">
      <c r="A1132" t="s">
        <v>63</v>
      </c>
      <c r="B1132" s="3">
        <v>4876</v>
      </c>
      <c r="C1132">
        <v>0</v>
      </c>
      <c r="D1132">
        <v>0</v>
      </c>
      <c r="E1132" s="2">
        <v>0</v>
      </c>
      <c r="F1132">
        <v>0</v>
      </c>
      <c r="G1132" s="3">
        <v>10000</v>
      </c>
      <c r="H1132" s="3" t="s">
        <v>54</v>
      </c>
      <c r="I1132" s="3" t="s">
        <v>59</v>
      </c>
      <c r="J1132" t="s">
        <v>235</v>
      </c>
      <c r="K1132" s="3" t="s">
        <v>214</v>
      </c>
      <c r="L1132" s="3" t="s">
        <v>73</v>
      </c>
      <c r="M1132" s="3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  <c r="X1132" s="4"/>
      <c r="AD1132" s="3"/>
      <c r="AE1132" s="3"/>
      <c r="AK1132" s="5"/>
    </row>
    <row r="1133" spans="1:47" hidden="1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s="3" t="s">
        <v>100</v>
      </c>
      <c r="G1133" s="3" t="s">
        <v>93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83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101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 s="3">
        <v>0</v>
      </c>
      <c r="AE1133" s="3">
        <v>2000</v>
      </c>
      <c r="AF1133" t="s">
        <v>54</v>
      </c>
      <c r="AG1133" t="s">
        <v>59</v>
      </c>
      <c r="AH1133" t="s">
        <v>102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hidden="1" x14ac:dyDescent="0.25">
      <c r="A1134" t="s">
        <v>95</v>
      </c>
      <c r="B1134" s="1">
        <v>37964</v>
      </c>
      <c r="C1134" t="s">
        <v>48</v>
      </c>
      <c r="D1134" t="s">
        <v>49</v>
      </c>
      <c r="E1134" s="2">
        <v>45917</v>
      </c>
      <c r="F1134" t="s">
        <v>410</v>
      </c>
      <c r="G1134" t="s">
        <v>117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 s="3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X1134" s="4"/>
      <c r="Y1134" t="s">
        <v>197</v>
      </c>
      <c r="Z1134">
        <v>365.8</v>
      </c>
      <c r="AA1134">
        <v>0</v>
      </c>
      <c r="AB1134">
        <v>0</v>
      </c>
      <c r="AC1134">
        <v>0</v>
      </c>
      <c r="AD1134" s="3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246</v>
      </c>
    </row>
    <row r="1135" spans="1:47" hidden="1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s="3" t="s">
        <v>410</v>
      </c>
      <c r="G1135" s="3" t="s">
        <v>117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 s="3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X1135" s="4"/>
      <c r="Y1135" t="s">
        <v>197</v>
      </c>
      <c r="Z1135">
        <v>365.8</v>
      </c>
      <c r="AA1135">
        <v>0</v>
      </c>
      <c r="AB1135">
        <v>0</v>
      </c>
      <c r="AC1135">
        <v>0</v>
      </c>
      <c r="AD1135" s="3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246</v>
      </c>
    </row>
    <row r="1136" spans="1:47" hidden="1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107</v>
      </c>
      <c r="G1136" t="s">
        <v>108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83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109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 s="3">
        <v>0</v>
      </c>
      <c r="AE1136" s="3">
        <v>3000</v>
      </c>
      <c r="AF1136" t="s">
        <v>54</v>
      </c>
      <c r="AG1136" t="s">
        <v>59</v>
      </c>
      <c r="AI1136" t="s">
        <v>91</v>
      </c>
      <c r="AJ1136" t="s">
        <v>91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hidden="1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116</v>
      </c>
      <c r="G1137" t="s">
        <v>117</v>
      </c>
      <c r="H1137" s="3">
        <v>3994.2</v>
      </c>
      <c r="I1137" s="3">
        <v>3994.2</v>
      </c>
      <c r="J1137">
        <v>0</v>
      </c>
      <c r="K1137" s="3">
        <v>4593.33</v>
      </c>
      <c r="L1137" s="3">
        <v>621.47</v>
      </c>
      <c r="M1137" s="3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84</v>
      </c>
      <c r="X1137" s="4">
        <v>0</v>
      </c>
      <c r="Y1137" t="s">
        <v>58</v>
      </c>
      <c r="Z1137" s="3">
        <v>0</v>
      </c>
      <c r="AA1137">
        <v>0</v>
      </c>
      <c r="AB1137">
        <v>621.47</v>
      </c>
      <c r="AC1137">
        <v>0</v>
      </c>
      <c r="AD1137" s="3">
        <v>0</v>
      </c>
      <c r="AE1137" s="3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hidden="1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116</v>
      </c>
      <c r="G1138" t="s">
        <v>117</v>
      </c>
      <c r="H1138" s="3">
        <v>3994.2</v>
      </c>
      <c r="I1138" s="3">
        <v>3994.2</v>
      </c>
      <c r="J1138">
        <v>0</v>
      </c>
      <c r="K1138" s="3">
        <v>4593.33</v>
      </c>
      <c r="L1138" s="3">
        <v>621.47</v>
      </c>
      <c r="M1138" s="3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84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 s="3">
        <v>0</v>
      </c>
      <c r="AE1138" s="3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hidden="1" x14ac:dyDescent="0.25">
      <c r="A1139" t="s">
        <v>95</v>
      </c>
      <c r="B1139" s="1">
        <v>37969</v>
      </c>
      <c r="C1139" t="s">
        <v>48</v>
      </c>
      <c r="D1139" t="s">
        <v>49</v>
      </c>
      <c r="E1139" s="2">
        <v>45918</v>
      </c>
      <c r="F1139" t="s">
        <v>299</v>
      </c>
      <c r="G1139" t="s">
        <v>163</v>
      </c>
      <c r="H1139" s="3">
        <v>7.96</v>
      </c>
      <c r="I1139" s="3">
        <v>7.96</v>
      </c>
      <c r="J1139">
        <v>0</v>
      </c>
      <c r="K1139" s="3">
        <v>7.96</v>
      </c>
      <c r="L1139" s="3">
        <v>1.35</v>
      </c>
      <c r="M1139" s="3">
        <v>0.84</v>
      </c>
      <c r="N1139" t="s">
        <v>105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144</v>
      </c>
      <c r="W1139" t="s">
        <v>101</v>
      </c>
      <c r="X1139" s="4">
        <v>0</v>
      </c>
      <c r="Y1139" t="s">
        <v>62</v>
      </c>
      <c r="Z1139" s="3"/>
      <c r="AE1139" s="3"/>
      <c r="AK1139" s="5"/>
    </row>
    <row r="1140" spans="1:47" hidden="1" x14ac:dyDescent="0.25">
      <c r="A1140" t="s">
        <v>63</v>
      </c>
      <c r="B1140" s="1">
        <v>0</v>
      </c>
      <c r="C1140">
        <v>0</v>
      </c>
      <c r="D1140">
        <v>1.35</v>
      </c>
      <c r="E1140" s="2">
        <v>0</v>
      </c>
      <c r="F1140">
        <v>0</v>
      </c>
      <c r="G1140">
        <v>1</v>
      </c>
      <c r="H1140" s="3" t="s">
        <v>54</v>
      </c>
      <c r="I1140" s="3" t="s">
        <v>59</v>
      </c>
      <c r="K1140" s="3" t="s">
        <v>91</v>
      </c>
      <c r="L1140" s="3" t="s">
        <v>91</v>
      </c>
      <c r="M1140" s="3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  <c r="X1140" s="4"/>
      <c r="AK1140" s="5"/>
    </row>
    <row r="1141" spans="1:47" hidden="1" x14ac:dyDescent="0.25">
      <c r="A1141" t="s">
        <v>95</v>
      </c>
      <c r="B1141" s="1">
        <v>37970</v>
      </c>
      <c r="C1141" t="s">
        <v>48</v>
      </c>
      <c r="D1141" s="3" t="s">
        <v>49</v>
      </c>
      <c r="E1141" s="2">
        <v>45918</v>
      </c>
      <c r="F1141" t="s">
        <v>298</v>
      </c>
      <c r="G1141" t="s">
        <v>93</v>
      </c>
      <c r="H1141" s="3">
        <v>7.96</v>
      </c>
      <c r="I1141" s="3">
        <v>7.96</v>
      </c>
      <c r="J1141">
        <v>0</v>
      </c>
      <c r="K1141" s="3">
        <v>7.96</v>
      </c>
      <c r="L1141">
        <v>1.35</v>
      </c>
      <c r="M1141" s="3">
        <v>0.84</v>
      </c>
      <c r="N1141" t="s">
        <v>105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101</v>
      </c>
      <c r="X1141" s="4">
        <v>0</v>
      </c>
      <c r="Y1141" t="s">
        <v>62</v>
      </c>
      <c r="AE1141" s="3"/>
      <c r="AK1141" s="5"/>
    </row>
    <row r="1142" spans="1:47" hidden="1" x14ac:dyDescent="0.25">
      <c r="A1142" t="s">
        <v>63</v>
      </c>
      <c r="B1142" s="1">
        <v>0</v>
      </c>
      <c r="C1142">
        <v>0</v>
      </c>
      <c r="D1142">
        <v>1.35</v>
      </c>
      <c r="E1142" s="2">
        <v>0</v>
      </c>
      <c r="F1142">
        <v>0</v>
      </c>
      <c r="G1142">
        <v>1</v>
      </c>
      <c r="H1142" s="3" t="s">
        <v>54</v>
      </c>
      <c r="I1142" s="3" t="s">
        <v>59</v>
      </c>
      <c r="K1142" s="3" t="s">
        <v>91</v>
      </c>
      <c r="L1142" t="s">
        <v>91</v>
      </c>
      <c r="M1142" s="3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  <c r="X1142" s="4"/>
      <c r="AK1142" s="5"/>
    </row>
    <row r="1143" spans="1:47" hidden="1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100</v>
      </c>
      <c r="G1143" t="s">
        <v>93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83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101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102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hidden="1" x14ac:dyDescent="0.25">
      <c r="A1144" t="s">
        <v>95</v>
      </c>
      <c r="B1144" s="1">
        <v>37972</v>
      </c>
      <c r="C1144" t="s">
        <v>48</v>
      </c>
      <c r="D1144" t="s">
        <v>49</v>
      </c>
      <c r="E1144" s="2">
        <v>45918</v>
      </c>
      <c r="F1144" t="s">
        <v>371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372</v>
      </c>
      <c r="X1144" s="4">
        <v>0</v>
      </c>
      <c r="Y1144" t="s">
        <v>62</v>
      </c>
    </row>
    <row r="1145" spans="1:47" hidden="1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3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hidden="1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202</v>
      </c>
      <c r="G1146" t="s">
        <v>122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 s="3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hidden="1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202</v>
      </c>
      <c r="G1147" t="s">
        <v>122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 s="3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hidden="1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202</v>
      </c>
      <c r="G1148" t="s">
        <v>122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 s="3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hidden="1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202</v>
      </c>
      <c r="G1149" s="3" t="s">
        <v>122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 s="3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hidden="1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202</v>
      </c>
      <c r="G1150" t="s">
        <v>122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 s="3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hidden="1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264</v>
      </c>
      <c r="G1151" t="s">
        <v>213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265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91</v>
      </c>
      <c r="W1151" t="s">
        <v>84</v>
      </c>
      <c r="X1151" s="4">
        <v>0</v>
      </c>
      <c r="Y1151" t="s">
        <v>62</v>
      </c>
    </row>
    <row r="1152" spans="1:47" hidden="1" x14ac:dyDescent="0.25">
      <c r="A1152" t="s">
        <v>63</v>
      </c>
      <c r="B1152" s="1">
        <v>0</v>
      </c>
      <c r="C1152">
        <v>0</v>
      </c>
      <c r="D1152" s="3">
        <v>2976</v>
      </c>
      <c r="E1152" s="2">
        <v>0</v>
      </c>
      <c r="F1152">
        <v>0</v>
      </c>
      <c r="G1152" s="3">
        <v>2000</v>
      </c>
      <c r="H1152" s="3" t="s">
        <v>54</v>
      </c>
      <c r="I1152" s="3" t="s">
        <v>59</v>
      </c>
      <c r="K1152" s="3" t="s">
        <v>91</v>
      </c>
      <c r="L1152" s="3" t="s">
        <v>91</v>
      </c>
      <c r="M1152" s="3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  <c r="X1152" s="4"/>
      <c r="AD1152" s="3"/>
      <c r="AK1152" s="5"/>
    </row>
    <row r="1153" spans="1:47" hidden="1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302</v>
      </c>
      <c r="G1153" t="s">
        <v>86</v>
      </c>
      <c r="H1153" s="3">
        <v>2544</v>
      </c>
      <c r="I1153" s="3">
        <v>2544</v>
      </c>
      <c r="J1153">
        <v>0</v>
      </c>
      <c r="K1153" s="3">
        <v>2925.6</v>
      </c>
      <c r="L1153" s="3">
        <v>348</v>
      </c>
      <c r="M1153" s="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174</v>
      </c>
      <c r="X1153" s="4">
        <v>0</v>
      </c>
      <c r="Y1153" t="s">
        <v>62</v>
      </c>
      <c r="AB1153" s="3"/>
      <c r="AE1153" s="3"/>
      <c r="AK1153" s="5"/>
    </row>
    <row r="1154" spans="1:47" hidden="1" x14ac:dyDescent="0.25">
      <c r="A1154" t="s">
        <v>63</v>
      </c>
      <c r="B1154" s="1">
        <v>0</v>
      </c>
      <c r="C1154">
        <v>0</v>
      </c>
      <c r="D1154">
        <v>348</v>
      </c>
      <c r="E1154" s="2">
        <v>0</v>
      </c>
      <c r="F1154">
        <v>0</v>
      </c>
      <c r="G1154">
        <v>200</v>
      </c>
      <c r="H1154" s="3" t="s">
        <v>54</v>
      </c>
      <c r="I1154" s="3" t="s">
        <v>59</v>
      </c>
      <c r="K1154" s="3" t="s">
        <v>60</v>
      </c>
      <c r="L1154" s="3" t="s">
        <v>60</v>
      </c>
      <c r="M1154" s="3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  <c r="X1154" s="4"/>
      <c r="Z1154" s="3"/>
      <c r="AB1154" s="3"/>
      <c r="AE1154" s="3"/>
      <c r="AK1154" s="5"/>
    </row>
    <row r="1155" spans="1:47" hidden="1" x14ac:dyDescent="0.25">
      <c r="A1155" t="s">
        <v>95</v>
      </c>
      <c r="B1155" s="1">
        <v>37981</v>
      </c>
      <c r="C1155" t="s">
        <v>48</v>
      </c>
      <c r="D1155" s="3" t="s">
        <v>49</v>
      </c>
      <c r="E1155" s="2">
        <v>45919</v>
      </c>
      <c r="F1155" t="s">
        <v>140</v>
      </c>
      <c r="G1155" s="3" t="s">
        <v>93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 s="3">
        <v>292.83999999999997</v>
      </c>
      <c r="N1155" t="s">
        <v>105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144</v>
      </c>
      <c r="W1155" t="s">
        <v>220</v>
      </c>
      <c r="X1155" s="4">
        <v>0</v>
      </c>
      <c r="Y1155" t="s">
        <v>62</v>
      </c>
    </row>
    <row r="1156" spans="1:47" hidden="1" x14ac:dyDescent="0.25">
      <c r="A1156" t="s">
        <v>63</v>
      </c>
      <c r="B1156" s="3">
        <v>1009.8</v>
      </c>
      <c r="C1156">
        <v>0</v>
      </c>
      <c r="D1156">
        <v>0</v>
      </c>
      <c r="E1156" s="2">
        <v>0</v>
      </c>
      <c r="F1156">
        <v>0</v>
      </c>
      <c r="G1156" s="3">
        <v>1800</v>
      </c>
      <c r="H1156" s="3" t="s">
        <v>54</v>
      </c>
      <c r="I1156" s="3" t="s">
        <v>59</v>
      </c>
      <c r="J1156" t="s">
        <v>142</v>
      </c>
      <c r="K1156" s="3" t="s">
        <v>214</v>
      </c>
      <c r="L1156" t="s">
        <v>91</v>
      </c>
      <c r="M1156" s="3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  <c r="X1156" s="4"/>
    </row>
    <row r="1157" spans="1:47" hidden="1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157</v>
      </c>
      <c r="G1157" t="s">
        <v>108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158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91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hidden="1" x14ac:dyDescent="0.25">
      <c r="A1158" t="s">
        <v>134</v>
      </c>
      <c r="B1158" s="1">
        <v>37983</v>
      </c>
      <c r="C1158" t="s">
        <v>48</v>
      </c>
      <c r="D1158" s="3" t="s">
        <v>49</v>
      </c>
      <c r="E1158" s="2">
        <v>45919</v>
      </c>
      <c r="F1158" t="s">
        <v>373</v>
      </c>
      <c r="G1158" s="3" t="s">
        <v>208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113</v>
      </c>
      <c r="X1158" s="4">
        <v>0</v>
      </c>
      <c r="Y1158" t="s">
        <v>62</v>
      </c>
    </row>
    <row r="1159" spans="1:47" hidden="1" x14ac:dyDescent="0.25">
      <c r="A1159" t="s">
        <v>63</v>
      </c>
      <c r="B1159" s="3">
        <v>9840</v>
      </c>
      <c r="C1159">
        <v>0</v>
      </c>
      <c r="D1159" s="3">
        <v>0</v>
      </c>
      <c r="E1159" s="2">
        <v>0</v>
      </c>
      <c r="F1159">
        <v>0</v>
      </c>
      <c r="G1159" s="3">
        <v>10000</v>
      </c>
      <c r="H1159" s="3" t="s">
        <v>54</v>
      </c>
      <c r="I1159" s="3" t="s">
        <v>59</v>
      </c>
      <c r="J1159" t="s">
        <v>178</v>
      </c>
      <c r="K1159" s="3" t="s">
        <v>91</v>
      </c>
      <c r="L1159" s="3" t="s">
        <v>91</v>
      </c>
      <c r="M1159" s="3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  <c r="X1159" s="4"/>
    </row>
    <row r="1160" spans="1:47" hidden="1" x14ac:dyDescent="0.25">
      <c r="A1160" t="s">
        <v>95</v>
      </c>
      <c r="B1160" s="1">
        <v>37984</v>
      </c>
      <c r="C1160" t="s">
        <v>48</v>
      </c>
      <c r="D1160" t="s">
        <v>49</v>
      </c>
      <c r="E1160" s="2">
        <v>45922</v>
      </c>
      <c r="F1160" s="3" t="s">
        <v>374</v>
      </c>
      <c r="G1160" s="3" t="s">
        <v>155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105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144</v>
      </c>
      <c r="W1160" t="s">
        <v>219</v>
      </c>
      <c r="X1160" s="4">
        <v>0</v>
      </c>
      <c r="Y1160" t="s">
        <v>62</v>
      </c>
    </row>
    <row r="1161" spans="1:47" hidden="1" x14ac:dyDescent="0.25">
      <c r="A1161" t="s">
        <v>63</v>
      </c>
      <c r="B1161" s="3">
        <v>1111.5</v>
      </c>
      <c r="C1161">
        <v>0</v>
      </c>
      <c r="D1161" s="3">
        <v>1054.2</v>
      </c>
      <c r="E1161" s="2">
        <v>0</v>
      </c>
      <c r="F1161">
        <v>0</v>
      </c>
      <c r="G1161" s="3">
        <v>2100</v>
      </c>
      <c r="H1161" s="3" t="s">
        <v>54</v>
      </c>
      <c r="I1161" s="3" t="s">
        <v>59</v>
      </c>
      <c r="K1161" s="3" t="s">
        <v>214</v>
      </c>
      <c r="L1161" t="s">
        <v>73</v>
      </c>
      <c r="M1161" s="3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  <c r="X1161" s="4"/>
      <c r="AK1161" s="5"/>
    </row>
    <row r="1162" spans="1:47" hidden="1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375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 s="3">
        <v>845.87</v>
      </c>
      <c r="M1162" s="3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177</v>
      </c>
      <c r="X1162" s="4">
        <v>0</v>
      </c>
      <c r="Y1162" t="s">
        <v>62</v>
      </c>
      <c r="AK1162" s="5"/>
    </row>
    <row r="1163" spans="1:47" hidden="1" x14ac:dyDescent="0.25">
      <c r="A1163" t="s">
        <v>63</v>
      </c>
      <c r="B1163" s="1">
        <v>0</v>
      </c>
      <c r="C1163">
        <v>0</v>
      </c>
      <c r="D1163" s="3">
        <v>0</v>
      </c>
      <c r="E1163" s="2">
        <v>0</v>
      </c>
      <c r="F1163">
        <v>845.87</v>
      </c>
      <c r="G1163" s="3">
        <v>530</v>
      </c>
      <c r="H1163" s="3" t="s">
        <v>54</v>
      </c>
      <c r="I1163" s="3" t="s">
        <v>59</v>
      </c>
      <c r="K1163" s="3" t="s">
        <v>80</v>
      </c>
      <c r="L1163" t="s">
        <v>73</v>
      </c>
      <c r="M1163" s="3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  <c r="X1163" s="4"/>
    </row>
    <row r="1164" spans="1:47" hidden="1" x14ac:dyDescent="0.25">
      <c r="A1164" t="s">
        <v>95</v>
      </c>
      <c r="B1164" s="1">
        <v>37989</v>
      </c>
      <c r="C1164" t="s">
        <v>48</v>
      </c>
      <c r="D1164" t="s">
        <v>49</v>
      </c>
      <c r="E1164" s="2">
        <v>45922</v>
      </c>
      <c r="F1164" t="s">
        <v>376</v>
      </c>
      <c r="G1164" t="s">
        <v>377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 s="3">
        <v>681.15</v>
      </c>
      <c r="N1164" t="s">
        <v>105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144</v>
      </c>
      <c r="W1164">
        <v>0</v>
      </c>
      <c r="X1164" s="4">
        <v>0</v>
      </c>
      <c r="Y1164" t="s">
        <v>62</v>
      </c>
    </row>
    <row r="1165" spans="1:47" hidden="1" x14ac:dyDescent="0.25">
      <c r="A1165" t="s">
        <v>63</v>
      </c>
      <c r="B1165" s="3">
        <v>1856</v>
      </c>
      <c r="C1165">
        <v>0</v>
      </c>
      <c r="D1165">
        <v>0</v>
      </c>
      <c r="E1165" s="2">
        <v>0</v>
      </c>
      <c r="F1165">
        <v>0</v>
      </c>
      <c r="G1165" s="3">
        <v>2000</v>
      </c>
      <c r="H1165" s="3" t="s">
        <v>54</v>
      </c>
      <c r="I1165" s="3" t="s">
        <v>59</v>
      </c>
      <c r="K1165" s="3" t="s">
        <v>214</v>
      </c>
      <c r="L1165" t="s">
        <v>73</v>
      </c>
      <c r="M1165" s="3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  <c r="X1165" s="4"/>
      <c r="AK1165" s="5"/>
    </row>
    <row r="1166" spans="1:47" hidden="1" x14ac:dyDescent="0.25">
      <c r="A1166" t="s">
        <v>134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244</v>
      </c>
      <c r="G1166" t="s">
        <v>93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 s="3">
        <v>495.19</v>
      </c>
      <c r="N1166" t="s">
        <v>105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144</v>
      </c>
      <c r="W1166" t="s">
        <v>378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91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hidden="1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92</v>
      </c>
      <c r="G1167" t="s">
        <v>93</v>
      </c>
      <c r="H1167" s="3">
        <v>627.4</v>
      </c>
      <c r="I1167" s="3">
        <v>627.4</v>
      </c>
      <c r="J1167">
        <v>0</v>
      </c>
      <c r="K1167" s="3">
        <v>721.51</v>
      </c>
      <c r="L1167">
        <v>27.16</v>
      </c>
      <c r="M1167" s="3">
        <v>16.84</v>
      </c>
      <c r="N1167" t="s">
        <v>83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94</v>
      </c>
      <c r="X1167" s="4">
        <v>0</v>
      </c>
      <c r="Y1167" t="s">
        <v>62</v>
      </c>
    </row>
    <row r="1168" spans="1:47" hidden="1" x14ac:dyDescent="0.25">
      <c r="A1168" t="s">
        <v>63</v>
      </c>
      <c r="B1168" s="1">
        <v>0</v>
      </c>
      <c r="C1168">
        <v>0</v>
      </c>
      <c r="D1168">
        <v>27.16</v>
      </c>
      <c r="E1168" s="2">
        <v>0</v>
      </c>
      <c r="F1168">
        <v>0</v>
      </c>
      <c r="G1168">
        <v>20</v>
      </c>
      <c r="H1168" s="3" t="s">
        <v>54</v>
      </c>
      <c r="I1168" s="3" t="s">
        <v>59</v>
      </c>
      <c r="K1168" s="3" t="s">
        <v>73</v>
      </c>
      <c r="L1168" s="3" t="s">
        <v>73</v>
      </c>
      <c r="M1168" s="3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  <c r="X1168" s="4"/>
    </row>
    <row r="1169" spans="1:47" hidden="1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204</v>
      </c>
      <c r="G1169" s="3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 s="3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151</v>
      </c>
      <c r="X1169" s="4"/>
      <c r="Y1169" t="s">
        <v>62</v>
      </c>
    </row>
    <row r="1170" spans="1:47" hidden="1" x14ac:dyDescent="0.25">
      <c r="A1170" t="s">
        <v>63</v>
      </c>
      <c r="B1170" s="3">
        <v>1016.7</v>
      </c>
      <c r="C1170">
        <v>0</v>
      </c>
      <c r="D1170">
        <v>0</v>
      </c>
      <c r="E1170" s="2">
        <v>0</v>
      </c>
      <c r="F1170">
        <v>0</v>
      </c>
      <c r="G1170" s="3">
        <v>5100</v>
      </c>
      <c r="H1170" s="3"/>
      <c r="I1170" s="3"/>
      <c r="K1170" s="3"/>
      <c r="L1170" t="s">
        <v>73</v>
      </c>
      <c r="M1170" s="3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246</v>
      </c>
      <c r="X1170" s="4"/>
    </row>
    <row r="1171" spans="1:47" hidden="1" x14ac:dyDescent="0.25">
      <c r="A1171" t="s">
        <v>95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307</v>
      </c>
      <c r="G1171" t="s">
        <v>93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 s="3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379</v>
      </c>
      <c r="X1171" s="4"/>
      <c r="Y1171" t="s">
        <v>62</v>
      </c>
    </row>
    <row r="1172" spans="1:47" hidden="1" x14ac:dyDescent="0.25">
      <c r="A1172" t="s">
        <v>63</v>
      </c>
      <c r="B1172" s="1">
        <v>0</v>
      </c>
      <c r="C1172">
        <v>0</v>
      </c>
      <c r="D1172">
        <v>765.5</v>
      </c>
      <c r="E1172" s="2">
        <v>0</v>
      </c>
      <c r="F1172">
        <v>0</v>
      </c>
      <c r="G1172">
        <v>500</v>
      </c>
      <c r="L1172" t="s">
        <v>91</v>
      </c>
      <c r="M1172" s="3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246</v>
      </c>
      <c r="X1172" s="4"/>
    </row>
    <row r="1173" spans="1:47" hidden="1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116</v>
      </c>
      <c r="G1173" t="s">
        <v>117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 s="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84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 s="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hidden="1" x14ac:dyDescent="0.25">
      <c r="A1174" t="s">
        <v>95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130</v>
      </c>
      <c r="G1174" t="s">
        <v>86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113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345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hidden="1" x14ac:dyDescent="0.25">
      <c r="A1175" t="s">
        <v>95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331</v>
      </c>
      <c r="G1175" t="s">
        <v>136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 s="3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332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hidden="1" x14ac:dyDescent="0.25">
      <c r="A1176" t="s">
        <v>95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331</v>
      </c>
      <c r="G1176" t="s">
        <v>136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 s="3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332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hidden="1" x14ac:dyDescent="0.25">
      <c r="A1177" t="s">
        <v>47</v>
      </c>
      <c r="B1177" s="1">
        <v>38001</v>
      </c>
      <c r="C1177" t="s">
        <v>48</v>
      </c>
      <c r="D1177" s="3" t="s">
        <v>49</v>
      </c>
      <c r="E1177" s="2">
        <v>45924</v>
      </c>
      <c r="F1177" t="s">
        <v>148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 s="3">
        <v>161.38</v>
      </c>
      <c r="N1177" t="s">
        <v>83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hidden="1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157</v>
      </c>
      <c r="G1178" t="s">
        <v>108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158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91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hidden="1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285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 s="3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94</v>
      </c>
      <c r="X1179" s="4">
        <v>0</v>
      </c>
      <c r="Y1179" t="s">
        <v>62</v>
      </c>
    </row>
    <row r="1180" spans="1:47" hidden="1" x14ac:dyDescent="0.25">
      <c r="A1180" t="s">
        <v>63</v>
      </c>
      <c r="B1180" s="1">
        <v>174.8</v>
      </c>
      <c r="C1180">
        <v>0</v>
      </c>
      <c r="D1180">
        <v>0</v>
      </c>
      <c r="E1180" s="2">
        <v>0</v>
      </c>
      <c r="F1180">
        <v>0</v>
      </c>
      <c r="G1180">
        <v>200</v>
      </c>
      <c r="H1180" s="3" t="s">
        <v>54</v>
      </c>
      <c r="I1180" s="3" t="s">
        <v>59</v>
      </c>
      <c r="K1180" s="3" t="s">
        <v>80</v>
      </c>
      <c r="L1180" t="s">
        <v>73</v>
      </c>
      <c r="M1180" s="3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  <c r="X1180" s="4"/>
    </row>
    <row r="1181" spans="1:47" hidden="1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302</v>
      </c>
      <c r="G1181" s="3" t="s">
        <v>86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 s="3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174</v>
      </c>
      <c r="X1181" s="4">
        <v>0</v>
      </c>
      <c r="Y1181" t="s">
        <v>62</v>
      </c>
    </row>
    <row r="1182" spans="1:47" hidden="1" x14ac:dyDescent="0.25">
      <c r="A1182" t="s">
        <v>63</v>
      </c>
      <c r="B1182" s="1">
        <v>0</v>
      </c>
      <c r="C1182">
        <v>0</v>
      </c>
      <c r="D1182">
        <v>348</v>
      </c>
      <c r="E1182" s="2">
        <v>0</v>
      </c>
      <c r="F1182">
        <v>0</v>
      </c>
      <c r="G1182">
        <v>200</v>
      </c>
      <c r="H1182" s="3" t="s">
        <v>54</v>
      </c>
      <c r="I1182" s="3" t="s">
        <v>59</v>
      </c>
      <c r="K1182" s="3" t="s">
        <v>73</v>
      </c>
      <c r="L1182" t="s">
        <v>73</v>
      </c>
      <c r="M1182" s="3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  <c r="X1182" s="4"/>
    </row>
    <row r="1183" spans="1:47" hidden="1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143</v>
      </c>
      <c r="G1183" s="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105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144</v>
      </c>
      <c r="W1183" t="s">
        <v>145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214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hidden="1" x14ac:dyDescent="0.25">
      <c r="A1184" t="s">
        <v>95</v>
      </c>
      <c r="B1184" s="1">
        <v>38007</v>
      </c>
      <c r="C1184" t="s">
        <v>48</v>
      </c>
      <c r="D1184" t="s">
        <v>49</v>
      </c>
      <c r="E1184" s="2">
        <v>45926</v>
      </c>
      <c r="F1184" t="s">
        <v>405</v>
      </c>
      <c r="G1184" t="s">
        <v>88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 s="3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406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 s="3">
        <v>0</v>
      </c>
      <c r="AE1184" s="3">
        <v>2600</v>
      </c>
      <c r="AF1184" t="s">
        <v>54</v>
      </c>
      <c r="AG1184" t="s">
        <v>59</v>
      </c>
      <c r="AH1184" t="s">
        <v>147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hidden="1" x14ac:dyDescent="0.25">
      <c r="A1185" t="s">
        <v>95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85</v>
      </c>
      <c r="G1185" t="s">
        <v>86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83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219</v>
      </c>
      <c r="X1185" s="4">
        <v>0</v>
      </c>
      <c r="Y1185" t="s">
        <v>62</v>
      </c>
    </row>
    <row r="1186" spans="1:47" hidden="1" x14ac:dyDescent="0.25">
      <c r="A1186" t="s">
        <v>63</v>
      </c>
      <c r="B1186" s="3">
        <v>3589.5</v>
      </c>
      <c r="C1186">
        <v>0</v>
      </c>
      <c r="D1186">
        <v>0</v>
      </c>
      <c r="E1186" s="2">
        <v>0</v>
      </c>
      <c r="F1186">
        <v>0</v>
      </c>
      <c r="G1186" s="3">
        <v>1500</v>
      </c>
      <c r="H1186" t="s">
        <v>54</v>
      </c>
      <c r="I1186" t="s">
        <v>59</v>
      </c>
      <c r="K1186" s="3" t="s">
        <v>73</v>
      </c>
      <c r="L1186" t="s">
        <v>73</v>
      </c>
      <c r="M1186" s="3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  <c r="X1186" s="4"/>
    </row>
    <row r="1187" spans="1:47" hidden="1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100</v>
      </c>
      <c r="G1187" t="s">
        <v>93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 s="3">
        <v>203.66</v>
      </c>
      <c r="N1187" t="s">
        <v>83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101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102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hidden="1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148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 s="3">
        <v>29.73</v>
      </c>
      <c r="N1188" t="s">
        <v>83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hidden="1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148</v>
      </c>
      <c r="G1189" t="s">
        <v>66</v>
      </c>
      <c r="H1189" s="3">
        <v>400</v>
      </c>
      <c r="I1189" s="3">
        <v>400</v>
      </c>
      <c r="J1189">
        <v>0</v>
      </c>
      <c r="K1189" s="3">
        <v>460</v>
      </c>
      <c r="L1189" s="3">
        <v>81</v>
      </c>
      <c r="M1189" s="3">
        <v>29.73</v>
      </c>
      <c r="N1189" t="s">
        <v>83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 s="3">
        <v>0</v>
      </c>
      <c r="AE1189" s="3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hidden="1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110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 s="3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94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hidden="1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380</v>
      </c>
      <c r="G1191" t="s">
        <v>136</v>
      </c>
      <c r="H1191" s="3">
        <v>3389</v>
      </c>
      <c r="I1191" s="3">
        <v>3389</v>
      </c>
      <c r="J1191">
        <v>0</v>
      </c>
      <c r="K1191" s="3">
        <v>3897.35</v>
      </c>
      <c r="L1191" s="3">
        <v>432.4</v>
      </c>
      <c r="M1191" s="3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115</v>
      </c>
      <c r="X1191" s="4">
        <v>0</v>
      </c>
      <c r="Y1191" t="s">
        <v>62</v>
      </c>
      <c r="AD1191" s="3"/>
      <c r="AE1191" s="3"/>
      <c r="AK1191" s="5"/>
    </row>
    <row r="1192" spans="1:47" hidden="1" x14ac:dyDescent="0.25">
      <c r="A1192" t="s">
        <v>63</v>
      </c>
      <c r="B1192" s="1">
        <v>0</v>
      </c>
      <c r="C1192">
        <v>0</v>
      </c>
      <c r="D1192">
        <v>432.4</v>
      </c>
      <c r="E1192" s="2">
        <v>0</v>
      </c>
      <c r="F1192">
        <v>0</v>
      </c>
      <c r="G1192" s="3">
        <v>1100</v>
      </c>
      <c r="H1192" s="3" t="s">
        <v>54</v>
      </c>
      <c r="I1192" s="3" t="s">
        <v>59</v>
      </c>
      <c r="K1192" s="3" t="s">
        <v>60</v>
      </c>
      <c r="L1192" t="s">
        <v>60</v>
      </c>
      <c r="M1192" s="3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  <c r="X1192" s="4"/>
      <c r="AK1192" s="5"/>
    </row>
    <row r="1193" spans="1:47" hidden="1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146</v>
      </c>
      <c r="G1193" t="s">
        <v>88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94</v>
      </c>
      <c r="X1193" s="4">
        <v>0</v>
      </c>
      <c r="Y1193" t="s">
        <v>62</v>
      </c>
      <c r="AD1193" s="3"/>
      <c r="AE1193" s="3"/>
      <c r="AK1193" s="5"/>
    </row>
    <row r="1194" spans="1:47" hidden="1" x14ac:dyDescent="0.25">
      <c r="A1194" t="s">
        <v>63</v>
      </c>
      <c r="B1194" s="1">
        <v>0</v>
      </c>
      <c r="C1194">
        <v>0</v>
      </c>
      <c r="D1194" s="3">
        <v>2023</v>
      </c>
      <c r="E1194" s="2">
        <v>0</v>
      </c>
      <c r="F1194">
        <v>0</v>
      </c>
      <c r="G1194" s="3">
        <v>1000</v>
      </c>
      <c r="H1194" s="3" t="s">
        <v>54</v>
      </c>
      <c r="I1194" s="3" t="s">
        <v>59</v>
      </c>
      <c r="K1194" s="3" t="s">
        <v>60</v>
      </c>
      <c r="L1194" s="3" t="s">
        <v>60</v>
      </c>
      <c r="M1194" s="3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  <c r="X1194" s="4"/>
      <c r="AE1194" s="3"/>
      <c r="AK1194" s="5"/>
    </row>
    <row r="1195" spans="1:47" hidden="1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148</v>
      </c>
      <c r="G1195" s="3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 s="3">
        <v>280.02</v>
      </c>
      <c r="N1195" t="s">
        <v>83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hidden="1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100</v>
      </c>
      <c r="G1196" t="s">
        <v>93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83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101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102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hidden="1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205</v>
      </c>
      <c r="G1197" t="s">
        <v>117</v>
      </c>
      <c r="H1197" s="3">
        <v>2420</v>
      </c>
      <c r="I1197" s="3">
        <v>2420</v>
      </c>
      <c r="J1197">
        <v>0</v>
      </c>
      <c r="K1197" s="3">
        <v>2783</v>
      </c>
      <c r="L1197" s="3">
        <v>495.85</v>
      </c>
      <c r="M1197" s="3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206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hidden="1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205</v>
      </c>
      <c r="G1198" s="3" t="s">
        <v>117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 s="3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 s="3">
        <v>500</v>
      </c>
      <c r="AF1198" t="s">
        <v>54</v>
      </c>
      <c r="AG1198" t="s">
        <v>59</v>
      </c>
      <c r="AH1198" t="s">
        <v>206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hidden="1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205</v>
      </c>
      <c r="G1199" t="s">
        <v>117</v>
      </c>
      <c r="H1199" s="3">
        <v>2420</v>
      </c>
      <c r="I1199" s="3">
        <v>2420</v>
      </c>
      <c r="J1199">
        <v>0</v>
      </c>
      <c r="K1199" s="3">
        <v>2783</v>
      </c>
      <c r="L1199" s="3">
        <v>495.85</v>
      </c>
      <c r="M1199" s="3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 s="3">
        <v>158.65</v>
      </c>
      <c r="AA1199">
        <v>0</v>
      </c>
      <c r="AB1199">
        <v>0</v>
      </c>
      <c r="AC1199">
        <v>0</v>
      </c>
      <c r="AD1199">
        <v>337.2</v>
      </c>
      <c r="AE1199" s="3">
        <v>500</v>
      </c>
      <c r="AF1199" t="s">
        <v>54</v>
      </c>
      <c r="AG1199" t="s">
        <v>59</v>
      </c>
      <c r="AH1199" t="s">
        <v>206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hidden="1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205</v>
      </c>
      <c r="G1200" t="s">
        <v>117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 s="3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 s="3">
        <v>500</v>
      </c>
      <c r="AF1200" t="s">
        <v>54</v>
      </c>
      <c r="AG1200" t="s">
        <v>59</v>
      </c>
      <c r="AH1200" t="s">
        <v>206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hidden="1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205</v>
      </c>
      <c r="G1201" t="s">
        <v>117</v>
      </c>
      <c r="H1201" s="3">
        <v>2420</v>
      </c>
      <c r="I1201" s="3">
        <v>2420</v>
      </c>
      <c r="J1201">
        <v>0</v>
      </c>
      <c r="K1201" s="3">
        <v>2783</v>
      </c>
      <c r="L1201" s="3">
        <v>495.85</v>
      </c>
      <c r="M1201" s="3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 s="3">
        <v>500</v>
      </c>
      <c r="AF1201" t="s">
        <v>54</v>
      </c>
      <c r="AG1201" t="s">
        <v>59</v>
      </c>
      <c r="AH1201" t="s">
        <v>206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hidden="1" x14ac:dyDescent="0.25">
      <c r="A1202" t="s">
        <v>95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159</v>
      </c>
      <c r="G1202" s="3" t="s">
        <v>66</v>
      </c>
      <c r="H1202" s="3">
        <v>597.48</v>
      </c>
      <c r="I1202" s="3">
        <v>597.48</v>
      </c>
      <c r="J1202">
        <v>0</v>
      </c>
      <c r="K1202" s="3">
        <v>597.48</v>
      </c>
      <c r="L1202">
        <v>156.26</v>
      </c>
      <c r="M1202" s="3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89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91</v>
      </c>
      <c r="AJ1202" t="s">
        <v>91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hidden="1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146</v>
      </c>
      <c r="G1203" t="s">
        <v>88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94</v>
      </c>
      <c r="X1203" s="4">
        <v>0</v>
      </c>
      <c r="Y1203" t="s">
        <v>62</v>
      </c>
      <c r="AK1203" s="5"/>
    </row>
    <row r="1204" spans="1:47" hidden="1" x14ac:dyDescent="0.25">
      <c r="A1204" t="s">
        <v>63</v>
      </c>
      <c r="B1204" s="1">
        <v>0</v>
      </c>
      <c r="C1204">
        <v>0</v>
      </c>
      <c r="D1204">
        <v>0</v>
      </c>
      <c r="E1204" s="2">
        <v>0</v>
      </c>
      <c r="F1204" s="3">
        <v>4210.5</v>
      </c>
      <c r="G1204" s="3">
        <v>2100</v>
      </c>
      <c r="H1204" s="3" t="s">
        <v>54</v>
      </c>
      <c r="I1204" s="3" t="s">
        <v>59</v>
      </c>
      <c r="K1204" s="3" t="s">
        <v>60</v>
      </c>
      <c r="L1204" t="s">
        <v>60</v>
      </c>
      <c r="M1204" s="3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  <c r="X1204" s="4"/>
      <c r="AK1204" s="5"/>
    </row>
    <row r="1205" spans="1:47" hidden="1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146</v>
      </c>
      <c r="G1205" t="s">
        <v>88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94</v>
      </c>
      <c r="X1205" s="4">
        <v>0</v>
      </c>
      <c r="Y1205" t="s">
        <v>62</v>
      </c>
      <c r="AK1205" s="5"/>
    </row>
    <row r="1206" spans="1:47" hidden="1" x14ac:dyDescent="0.25">
      <c r="A1206" t="s">
        <v>63</v>
      </c>
      <c r="B1206" s="1">
        <v>0</v>
      </c>
      <c r="C1206">
        <v>0</v>
      </c>
      <c r="D1206">
        <v>0</v>
      </c>
      <c r="E1206" s="2">
        <v>0</v>
      </c>
      <c r="F1206" s="3">
        <v>4210.5</v>
      </c>
      <c r="G1206" s="3">
        <v>2100</v>
      </c>
      <c r="H1206" s="3" t="s">
        <v>54</v>
      </c>
      <c r="I1206" s="3" t="s">
        <v>59</v>
      </c>
      <c r="K1206" s="3" t="s">
        <v>60</v>
      </c>
      <c r="L1206" t="s">
        <v>60</v>
      </c>
      <c r="M1206" s="3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  <c r="X1206" s="4"/>
      <c r="AE1206" s="3"/>
      <c r="AK1206" s="5"/>
    </row>
    <row r="1207" spans="1:47" hidden="1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216</v>
      </c>
      <c r="G1207" t="s">
        <v>163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105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144</v>
      </c>
      <c r="W1207" t="s">
        <v>151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214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hidden="1" x14ac:dyDescent="0.25">
      <c r="A1208" t="s">
        <v>95</v>
      </c>
      <c r="B1208" s="1">
        <v>38029</v>
      </c>
      <c r="C1208" t="s">
        <v>48</v>
      </c>
      <c r="D1208" s="3" t="s">
        <v>49</v>
      </c>
      <c r="E1208" s="2">
        <v>45930</v>
      </c>
      <c r="F1208" t="s">
        <v>299</v>
      </c>
      <c r="G1208" s="3" t="s">
        <v>163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 s="3">
        <v>0.84</v>
      </c>
      <c r="N1208" t="s">
        <v>105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144</v>
      </c>
      <c r="W1208" t="s">
        <v>219</v>
      </c>
      <c r="X1208" s="4">
        <v>0</v>
      </c>
      <c r="Y1208" t="s">
        <v>62</v>
      </c>
      <c r="AK1208" s="5"/>
    </row>
    <row r="1209" spans="1:47" hidden="1" x14ac:dyDescent="0.25">
      <c r="A1209" t="s">
        <v>63</v>
      </c>
      <c r="B1209" s="1">
        <v>0</v>
      </c>
      <c r="C1209">
        <v>0</v>
      </c>
      <c r="D1209">
        <v>1.35</v>
      </c>
      <c r="E1209" s="2">
        <v>0</v>
      </c>
      <c r="F1209">
        <v>0</v>
      </c>
      <c r="G1209">
        <v>1</v>
      </c>
      <c r="H1209" s="3" t="s">
        <v>54</v>
      </c>
      <c r="I1209" s="3" t="s">
        <v>59</v>
      </c>
      <c r="K1209" s="3" t="s">
        <v>214</v>
      </c>
      <c r="L1209" s="3" t="s">
        <v>73</v>
      </c>
      <c r="M1209" s="3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  <c r="X1209" s="4"/>
      <c r="AK1209" s="5"/>
    </row>
    <row r="1210" spans="1:47" hidden="1" x14ac:dyDescent="0.25">
      <c r="A1210" t="s">
        <v>95</v>
      </c>
      <c r="B1210" s="1">
        <v>38030</v>
      </c>
      <c r="C1210" t="s">
        <v>48</v>
      </c>
      <c r="D1210" t="s">
        <v>49</v>
      </c>
      <c r="E1210" s="2">
        <v>45930</v>
      </c>
      <c r="F1210" t="s">
        <v>298</v>
      </c>
      <c r="G1210" s="3" t="s">
        <v>93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 s="3">
        <v>0.84</v>
      </c>
      <c r="N1210" t="s">
        <v>105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219</v>
      </c>
      <c r="X1210" s="4">
        <v>0</v>
      </c>
      <c r="Y1210" t="s">
        <v>62</v>
      </c>
      <c r="AK1210" s="5"/>
    </row>
    <row r="1211" spans="1:47" hidden="1" x14ac:dyDescent="0.25">
      <c r="A1211" t="s">
        <v>63</v>
      </c>
      <c r="B1211" s="1">
        <v>0</v>
      </c>
      <c r="C1211">
        <v>0</v>
      </c>
      <c r="D1211">
        <v>1.35</v>
      </c>
      <c r="E1211" s="2">
        <v>0</v>
      </c>
      <c r="F1211">
        <v>0</v>
      </c>
      <c r="G1211">
        <v>1</v>
      </c>
      <c r="H1211" s="3" t="s">
        <v>54</v>
      </c>
      <c r="I1211" s="3" t="s">
        <v>59</v>
      </c>
      <c r="K1211" s="3" t="s">
        <v>214</v>
      </c>
      <c r="L1211" s="3" t="s">
        <v>73</v>
      </c>
      <c r="M1211" s="3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  <c r="X1211" s="4"/>
      <c r="AB1211" s="3"/>
      <c r="AE1211" s="3"/>
      <c r="AK1211" s="5"/>
    </row>
    <row r="1212" spans="1:47" hidden="1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 s="3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  <c r="AK1212" s="5"/>
    </row>
    <row r="1213" spans="1:47" hidden="1" x14ac:dyDescent="0.25">
      <c r="A1213" t="s">
        <v>63</v>
      </c>
      <c r="B1213" s="1">
        <v>294.75</v>
      </c>
      <c r="C1213">
        <v>0</v>
      </c>
      <c r="D1213" s="3">
        <v>1081</v>
      </c>
      <c r="E1213" s="2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3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  <c r="X1213" s="4"/>
      <c r="AK1213" s="5"/>
    </row>
    <row r="1214" spans="1:47" hidden="1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 s="3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hidden="1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146</v>
      </c>
      <c r="G1215" t="s">
        <v>88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94</v>
      </c>
      <c r="X1215" s="4">
        <v>0</v>
      </c>
      <c r="Y1215" t="s">
        <v>62</v>
      </c>
      <c r="AK1215" s="5"/>
    </row>
    <row r="1216" spans="1:47" hidden="1" x14ac:dyDescent="0.25">
      <c r="A1216" t="s">
        <v>63</v>
      </c>
      <c r="B1216" s="1">
        <v>0</v>
      </c>
      <c r="C1216">
        <v>0</v>
      </c>
      <c r="D1216">
        <v>0</v>
      </c>
      <c r="E1216" s="2">
        <v>0</v>
      </c>
      <c r="F1216" s="3">
        <v>4210.5</v>
      </c>
      <c r="G1216" s="3">
        <v>2100</v>
      </c>
      <c r="H1216" s="3" t="s">
        <v>54</v>
      </c>
      <c r="I1216" s="3" t="s">
        <v>59</v>
      </c>
      <c r="K1216" s="3" t="s">
        <v>60</v>
      </c>
      <c r="L1216" t="s">
        <v>60</v>
      </c>
      <c r="M1216" s="3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  <c r="X1216" s="4"/>
      <c r="AE1216" s="3"/>
      <c r="AK1216" s="5"/>
    </row>
    <row r="1217" spans="1:47" hidden="1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415</v>
      </c>
      <c r="G1217" t="s">
        <v>88</v>
      </c>
      <c r="H1217" s="3">
        <v>3415</v>
      </c>
      <c r="I1217" s="3">
        <v>3415</v>
      </c>
      <c r="J1217">
        <v>0</v>
      </c>
      <c r="K1217" s="3">
        <v>3927.25</v>
      </c>
      <c r="L1217" s="3">
        <v>492</v>
      </c>
      <c r="M1217" s="3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144</v>
      </c>
      <c r="W1217" t="s">
        <v>72</v>
      </c>
      <c r="X1217" s="4">
        <v>0</v>
      </c>
      <c r="Y1217" t="s">
        <v>62</v>
      </c>
      <c r="AK1217" s="5"/>
    </row>
    <row r="1218" spans="1:47" hidden="1" x14ac:dyDescent="0.25">
      <c r="A1218" t="s">
        <v>63</v>
      </c>
      <c r="B1218" s="1">
        <v>492</v>
      </c>
      <c r="C1218">
        <v>0</v>
      </c>
      <c r="D1218">
        <v>0</v>
      </c>
      <c r="E1218" s="2">
        <v>0</v>
      </c>
      <c r="F1218">
        <v>0</v>
      </c>
      <c r="G1218" s="3">
        <v>2000</v>
      </c>
      <c r="H1218" s="3" t="s">
        <v>54</v>
      </c>
      <c r="I1218" s="3" t="s">
        <v>59</v>
      </c>
      <c r="K1218" s="3" t="s">
        <v>60</v>
      </c>
      <c r="L1218" t="s">
        <v>60</v>
      </c>
      <c r="M1218" s="3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  <c r="X1218" s="4"/>
      <c r="AK1218" s="5"/>
    </row>
    <row r="1219" spans="1:47" hidden="1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277</v>
      </c>
      <c r="G1219" t="s">
        <v>249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 s="3">
        <v>651.78</v>
      </c>
      <c r="N1219" t="s">
        <v>105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144</v>
      </c>
      <c r="W1219" t="s">
        <v>78</v>
      </c>
      <c r="X1219" s="4">
        <v>0</v>
      </c>
      <c r="Y1219" t="s">
        <v>62</v>
      </c>
      <c r="AB1219" s="3"/>
      <c r="AK1219" s="5"/>
    </row>
    <row r="1220" spans="1:47" hidden="1" x14ac:dyDescent="0.25">
      <c r="A1220" t="s">
        <v>63</v>
      </c>
      <c r="B1220" s="3">
        <v>1776</v>
      </c>
      <c r="C1220">
        <v>0</v>
      </c>
      <c r="D1220">
        <v>0</v>
      </c>
      <c r="E1220" s="2">
        <v>0</v>
      </c>
      <c r="F1220">
        <v>0</v>
      </c>
      <c r="G1220" s="3">
        <v>2000</v>
      </c>
      <c r="H1220" s="3" t="s">
        <v>54</v>
      </c>
      <c r="I1220" s="3" t="s">
        <v>59</v>
      </c>
      <c r="K1220" s="3" t="s">
        <v>214</v>
      </c>
      <c r="L1220" s="3" t="s">
        <v>73</v>
      </c>
      <c r="M1220" s="3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  <c r="X1220" s="4"/>
      <c r="AB1220" s="3"/>
      <c r="AK1220" s="5"/>
    </row>
    <row r="1221" spans="1:47" hidden="1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116</v>
      </c>
      <c r="G1221" t="s">
        <v>117</v>
      </c>
      <c r="H1221" s="3">
        <v>2003.4</v>
      </c>
      <c r="I1221" s="3">
        <v>2003.4</v>
      </c>
      <c r="J1221">
        <v>0</v>
      </c>
      <c r="K1221" s="3">
        <v>2303.91</v>
      </c>
      <c r="L1221" s="3">
        <v>181.98</v>
      </c>
      <c r="M1221" s="3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188</v>
      </c>
      <c r="X1221" s="4">
        <v>0</v>
      </c>
      <c r="Y1221" t="s">
        <v>58</v>
      </c>
      <c r="Z1221">
        <v>0</v>
      </c>
      <c r="AA1221">
        <v>0</v>
      </c>
      <c r="AB1221" s="3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hidden="1" x14ac:dyDescent="0.25">
      <c r="A1222" t="s">
        <v>95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171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 s="3">
        <v>536</v>
      </c>
      <c r="M1222" s="3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198</v>
      </c>
      <c r="X1222" s="4">
        <v>0</v>
      </c>
      <c r="Y1222" t="s">
        <v>62</v>
      </c>
      <c r="AB1222" s="3"/>
      <c r="AK1222" s="5"/>
    </row>
    <row r="1223" spans="1:47" hidden="1" x14ac:dyDescent="0.25">
      <c r="A1223" t="s">
        <v>63</v>
      </c>
      <c r="B1223" s="1">
        <v>0</v>
      </c>
      <c r="C1223">
        <v>0</v>
      </c>
      <c r="D1223">
        <v>536</v>
      </c>
      <c r="E1223" s="2">
        <v>0</v>
      </c>
      <c r="F1223">
        <v>0</v>
      </c>
      <c r="G1223">
        <v>400</v>
      </c>
      <c r="H1223" s="3" t="s">
        <v>54</v>
      </c>
      <c r="I1223" s="3" t="s">
        <v>59</v>
      </c>
      <c r="K1223" s="3" t="s">
        <v>80</v>
      </c>
      <c r="L1223" s="3" t="s">
        <v>91</v>
      </c>
      <c r="M1223" s="3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  <c r="X1223" s="4"/>
      <c r="AK1223" s="5"/>
    </row>
    <row r="1224" spans="1:47" hidden="1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100</v>
      </c>
      <c r="G1224" s="3" t="s">
        <v>93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 s="3">
        <v>201.6</v>
      </c>
      <c r="N1224" t="s">
        <v>83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101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102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hidden="1" x14ac:dyDescent="0.25">
      <c r="A1225" t="s">
        <v>95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416</v>
      </c>
      <c r="G1225" t="s">
        <v>93</v>
      </c>
      <c r="H1225" s="3">
        <v>5023.2</v>
      </c>
      <c r="I1225" s="3">
        <v>5023.2</v>
      </c>
      <c r="J1225">
        <v>0</v>
      </c>
      <c r="K1225" s="3">
        <v>5023.2</v>
      </c>
      <c r="L1225" s="3">
        <v>907.2</v>
      </c>
      <c r="M1225" s="3">
        <v>332.94</v>
      </c>
      <c r="N1225" t="s">
        <v>105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144</v>
      </c>
      <c r="W1225" t="s">
        <v>78</v>
      </c>
      <c r="X1225" s="4">
        <v>0</v>
      </c>
      <c r="Y1225" t="s">
        <v>62</v>
      </c>
      <c r="AB1225" s="3"/>
      <c r="AE1225" s="3"/>
      <c r="AK1225" s="5"/>
    </row>
    <row r="1226" spans="1:47" hidden="1" x14ac:dyDescent="0.25">
      <c r="A1226" t="s">
        <v>63</v>
      </c>
      <c r="B1226" s="1">
        <v>907.2</v>
      </c>
      <c r="C1226">
        <v>0</v>
      </c>
      <c r="D1226">
        <v>0</v>
      </c>
      <c r="E1226" s="2">
        <v>0</v>
      </c>
      <c r="F1226">
        <v>0</v>
      </c>
      <c r="G1226">
        <v>420</v>
      </c>
      <c r="H1226" s="3" t="s">
        <v>54</v>
      </c>
      <c r="I1226" s="3" t="s">
        <v>59</v>
      </c>
      <c r="K1226" s="3" t="s">
        <v>214</v>
      </c>
      <c r="L1226" s="3" t="s">
        <v>73</v>
      </c>
      <c r="M1226" s="3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  <c r="X1226" s="4"/>
      <c r="AK1226" s="5"/>
    </row>
    <row r="1227" spans="1:47" hidden="1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407</v>
      </c>
      <c r="G1227" s="3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 s="3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188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hidden="1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349</v>
      </c>
      <c r="G1228" t="s">
        <v>88</v>
      </c>
      <c r="H1228" s="3">
        <v>5700</v>
      </c>
      <c r="I1228" s="3">
        <v>5700</v>
      </c>
      <c r="J1228">
        <v>0</v>
      </c>
      <c r="K1228" s="3">
        <v>5700</v>
      </c>
      <c r="L1228" s="3">
        <v>918</v>
      </c>
      <c r="M1228" s="3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89</v>
      </c>
      <c r="X1228" s="4"/>
      <c r="Y1228" t="s">
        <v>62</v>
      </c>
      <c r="AD1228" s="3"/>
      <c r="AE1228" s="3"/>
      <c r="AK1228" s="5"/>
    </row>
    <row r="1229" spans="1:47" hidden="1" x14ac:dyDescent="0.25">
      <c r="A1229" t="s">
        <v>63</v>
      </c>
      <c r="B1229" s="1">
        <v>0</v>
      </c>
      <c r="C1229">
        <v>0</v>
      </c>
      <c r="D1229">
        <v>0</v>
      </c>
      <c r="E1229" s="2">
        <v>0</v>
      </c>
      <c r="F1229">
        <v>918</v>
      </c>
      <c r="G1229" s="3">
        <v>2000</v>
      </c>
      <c r="H1229" s="3"/>
      <c r="I1229" s="3"/>
      <c r="K1229" s="3"/>
      <c r="L1229" t="s">
        <v>73</v>
      </c>
      <c r="M1229" s="3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246</v>
      </c>
      <c r="X1229" s="4"/>
      <c r="AK1229" s="5"/>
    </row>
    <row r="1230" spans="1:47" hidden="1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138</v>
      </c>
      <c r="G1230" t="s">
        <v>139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198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102</v>
      </c>
      <c r="AI1230" t="s">
        <v>80</v>
      </c>
      <c r="AJ1230" t="s">
        <v>91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hidden="1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127</v>
      </c>
      <c r="G1231" t="s">
        <v>128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129</v>
      </c>
      <c r="X1231" s="4">
        <v>0</v>
      </c>
      <c r="Y1231" t="s">
        <v>62</v>
      </c>
      <c r="Z1231" s="3"/>
      <c r="AE1231" s="3"/>
      <c r="AK1231" s="5"/>
    </row>
    <row r="1232" spans="1:47" hidden="1" x14ac:dyDescent="0.25">
      <c r="A1232" t="s">
        <v>63</v>
      </c>
      <c r="B1232" s="3">
        <v>2383</v>
      </c>
      <c r="C1232">
        <v>0</v>
      </c>
      <c r="D1232">
        <v>0</v>
      </c>
      <c r="E1232" s="2">
        <v>0</v>
      </c>
      <c r="F1232">
        <v>244</v>
      </c>
      <c r="G1232" s="3">
        <v>4000</v>
      </c>
      <c r="H1232" s="3" t="s">
        <v>54</v>
      </c>
      <c r="I1232" s="3" t="s">
        <v>59</v>
      </c>
      <c r="K1232" s="3" t="s">
        <v>60</v>
      </c>
      <c r="L1232" s="3" t="s">
        <v>60</v>
      </c>
      <c r="M1232" s="3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  <c r="X1232" s="4"/>
      <c r="Z1232" s="3"/>
      <c r="AB1232" s="3"/>
      <c r="AE1232" s="3"/>
      <c r="AK1232" s="5"/>
    </row>
    <row r="1233" spans="1:47" hidden="1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111</v>
      </c>
      <c r="G1233" t="s">
        <v>112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114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hidden="1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148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 s="3">
        <v>107.88</v>
      </c>
      <c r="M1234" s="3">
        <v>80.69</v>
      </c>
      <c r="N1234" t="s">
        <v>83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 s="3">
        <v>0</v>
      </c>
      <c r="AE1234" s="3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hidden="1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148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 s="3">
        <v>538.03</v>
      </c>
      <c r="N1235" t="s">
        <v>83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hidden="1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148</v>
      </c>
      <c r="G1236" s="3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 s="3">
        <v>406.33</v>
      </c>
      <c r="N1236" t="s">
        <v>83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hidden="1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148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 s="3">
        <v>556.38</v>
      </c>
      <c r="M1237" s="3">
        <v>416.17</v>
      </c>
      <c r="N1237" t="s">
        <v>83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 s="3">
        <v>0</v>
      </c>
      <c r="AA1237">
        <v>0</v>
      </c>
      <c r="AB1237">
        <v>556.38</v>
      </c>
      <c r="AC1237">
        <v>0</v>
      </c>
      <c r="AD1237">
        <v>0</v>
      </c>
      <c r="AE1237" s="3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hidden="1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148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 s="3">
        <v>406.33</v>
      </c>
      <c r="N1238" t="s">
        <v>83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hidden="1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116</v>
      </c>
      <c r="G1239" s="3" t="s">
        <v>117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 s="3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hidden="1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243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94</v>
      </c>
      <c r="X1240" s="4"/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246</v>
      </c>
    </row>
    <row r="1241" spans="1:47" hidden="1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300</v>
      </c>
      <c r="G1241" t="s">
        <v>93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 s="3">
        <v>290.49</v>
      </c>
      <c r="N1241" t="s">
        <v>105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144</v>
      </c>
      <c r="W1241" t="s">
        <v>220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214</v>
      </c>
      <c r="AJ1241" t="s">
        <v>91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hidden="1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130</v>
      </c>
      <c r="G1242" t="s">
        <v>86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113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hidden="1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s="3" t="s">
        <v>107</v>
      </c>
      <c r="G1243" t="s">
        <v>108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83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109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91</v>
      </c>
      <c r="AJ1243" t="s">
        <v>91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hidden="1" x14ac:dyDescent="0.25">
      <c r="A1244" t="s">
        <v>134</v>
      </c>
      <c r="B1244" s="1">
        <v>38062</v>
      </c>
      <c r="C1244" t="s">
        <v>48</v>
      </c>
      <c r="D1244" t="s">
        <v>49</v>
      </c>
      <c r="E1244" s="2">
        <v>45936</v>
      </c>
      <c r="F1244" t="s">
        <v>281</v>
      </c>
      <c r="G1244" t="s">
        <v>282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113</v>
      </c>
      <c r="X1244" s="4">
        <v>0</v>
      </c>
      <c r="Y1244" t="s">
        <v>62</v>
      </c>
      <c r="AD1244" s="3"/>
      <c r="AE1244" s="3"/>
      <c r="AK1244" s="5"/>
    </row>
    <row r="1245" spans="1:47" hidden="1" x14ac:dyDescent="0.25">
      <c r="A1245" t="s">
        <v>63</v>
      </c>
      <c r="B1245" s="3">
        <v>6175</v>
      </c>
      <c r="C1245">
        <v>0</v>
      </c>
      <c r="D1245">
        <v>0</v>
      </c>
      <c r="E1245" s="2">
        <v>0</v>
      </c>
      <c r="F1245">
        <v>0</v>
      </c>
      <c r="G1245" s="3">
        <v>15000</v>
      </c>
      <c r="H1245" s="3" t="s">
        <v>54</v>
      </c>
      <c r="I1245" s="3" t="s">
        <v>59</v>
      </c>
      <c r="K1245" s="3" t="s">
        <v>80</v>
      </c>
      <c r="L1245" t="s">
        <v>73</v>
      </c>
      <c r="M1245" s="3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  <c r="X1245" s="4"/>
      <c r="AK1245" s="5"/>
    </row>
    <row r="1246" spans="1:47" hidden="1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261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  <c r="AK1246" s="5"/>
    </row>
    <row r="1247" spans="1:47" hidden="1" x14ac:dyDescent="0.25">
      <c r="A1247" t="s">
        <v>63</v>
      </c>
      <c r="B1247" s="1">
        <v>0</v>
      </c>
      <c r="C1247">
        <v>0</v>
      </c>
      <c r="D1247">
        <v>185.6</v>
      </c>
      <c r="E1247" s="2">
        <v>0</v>
      </c>
      <c r="F1247" s="3">
        <v>1952</v>
      </c>
      <c r="G1247" s="3">
        <v>2000</v>
      </c>
      <c r="H1247" s="3" t="s">
        <v>54</v>
      </c>
      <c r="I1247" s="3" t="s">
        <v>59</v>
      </c>
      <c r="J1247" t="s">
        <v>161</v>
      </c>
      <c r="K1247" s="3" t="s">
        <v>60</v>
      </c>
      <c r="L1247" s="3" t="s">
        <v>60</v>
      </c>
      <c r="M1247" s="3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  <c r="X1247" s="4"/>
      <c r="AB1247" s="3"/>
      <c r="AE1247" s="3"/>
      <c r="AK1247" s="5"/>
    </row>
    <row r="1248" spans="1:47" hidden="1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329</v>
      </c>
      <c r="G1248" t="s">
        <v>330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105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132</v>
      </c>
      <c r="X1248" s="4"/>
      <c r="Y1248" t="s">
        <v>62</v>
      </c>
      <c r="Z1248" s="3"/>
      <c r="AB1248" s="3"/>
      <c r="AE1248" s="3"/>
      <c r="AK1248" s="5"/>
    </row>
    <row r="1249" spans="1:47" hidden="1" x14ac:dyDescent="0.25">
      <c r="A1249" t="s">
        <v>63</v>
      </c>
      <c r="B1249" s="1">
        <v>0</v>
      </c>
      <c r="C1249">
        <v>0</v>
      </c>
      <c r="D1249">
        <v>0</v>
      </c>
      <c r="E1249" s="2">
        <v>0</v>
      </c>
      <c r="F1249" s="3">
        <v>11184</v>
      </c>
      <c r="G1249" s="3">
        <v>5500</v>
      </c>
      <c r="H1249" s="3"/>
      <c r="I1249" s="3"/>
      <c r="J1249" t="s">
        <v>79</v>
      </c>
      <c r="K1249" s="3"/>
      <c r="L1249" s="3" t="s">
        <v>73</v>
      </c>
      <c r="M1249" s="3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246</v>
      </c>
      <c r="X1249" s="4"/>
      <c r="AE1249" s="3"/>
      <c r="AK1249" s="5"/>
    </row>
    <row r="1250" spans="1:47" hidden="1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381</v>
      </c>
      <c r="G1250" t="s">
        <v>165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 s="3">
        <v>450.31</v>
      </c>
      <c r="N1250" t="s">
        <v>359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360</v>
      </c>
      <c r="X1250" s="4">
        <v>0</v>
      </c>
      <c r="Y1250" t="s">
        <v>62</v>
      </c>
      <c r="AK1250" s="5"/>
    </row>
    <row r="1251" spans="1:47" hidden="1" x14ac:dyDescent="0.25">
      <c r="A1251" t="s">
        <v>63</v>
      </c>
      <c r="B1251" s="3">
        <v>1552.8</v>
      </c>
      <c r="C1251">
        <v>0</v>
      </c>
      <c r="D1251">
        <v>0</v>
      </c>
      <c r="E1251" s="2">
        <v>0</v>
      </c>
      <c r="F1251">
        <v>0</v>
      </c>
      <c r="G1251" s="3">
        <v>3600</v>
      </c>
      <c r="H1251" s="3" t="s">
        <v>54</v>
      </c>
      <c r="I1251" s="3" t="s">
        <v>59</v>
      </c>
      <c r="K1251" s="3" t="s">
        <v>73</v>
      </c>
      <c r="L1251" s="3" t="s">
        <v>73</v>
      </c>
      <c r="M1251" s="3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  <c r="X1251" s="4"/>
      <c r="AK1251" s="5"/>
    </row>
    <row r="1252" spans="1:47" hidden="1" x14ac:dyDescent="0.25">
      <c r="A1252" t="s">
        <v>47</v>
      </c>
      <c r="B1252" s="1">
        <v>38068</v>
      </c>
      <c r="C1252" t="s">
        <v>48</v>
      </c>
      <c r="D1252" s="3" t="s">
        <v>49</v>
      </c>
      <c r="E1252" s="2">
        <v>45937</v>
      </c>
      <c r="F1252" t="s">
        <v>68</v>
      </c>
      <c r="G1252" s="3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  <c r="AK1252" s="5"/>
    </row>
    <row r="1253" spans="1:47" hidden="1" x14ac:dyDescent="0.25">
      <c r="A1253" t="s">
        <v>63</v>
      </c>
      <c r="B1253" s="1">
        <v>0</v>
      </c>
      <c r="C1253">
        <v>0</v>
      </c>
      <c r="D1253">
        <v>0</v>
      </c>
      <c r="E1253" s="2">
        <v>0</v>
      </c>
      <c r="F1253" s="3">
        <v>1882</v>
      </c>
      <c r="G1253" s="3">
        <v>1000</v>
      </c>
      <c r="H1253" s="3" t="s">
        <v>54</v>
      </c>
      <c r="I1253" s="3" t="s">
        <v>59</v>
      </c>
      <c r="K1253" s="3" t="s">
        <v>73</v>
      </c>
      <c r="L1253" s="3" t="s">
        <v>73</v>
      </c>
      <c r="M1253" s="3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  <c r="X1253" s="4"/>
      <c r="AK1253" s="5"/>
    </row>
    <row r="1254" spans="1:47" hidden="1" x14ac:dyDescent="0.25">
      <c r="A1254" t="s">
        <v>47</v>
      </c>
      <c r="B1254" s="1">
        <v>38070</v>
      </c>
      <c r="C1254" t="s">
        <v>48</v>
      </c>
      <c r="D1254" s="3" t="s">
        <v>49</v>
      </c>
      <c r="E1254" s="2">
        <v>45937</v>
      </c>
      <c r="F1254" t="s">
        <v>116</v>
      </c>
      <c r="G1254" s="3" t="s">
        <v>117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 s="3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84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hidden="1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274</v>
      </c>
      <c r="G1255" t="s">
        <v>155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105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144</v>
      </c>
      <c r="W1255" t="s">
        <v>129</v>
      </c>
      <c r="X1255" s="4">
        <v>0</v>
      </c>
      <c r="Y1255" t="s">
        <v>62</v>
      </c>
      <c r="AK1255" s="5"/>
    </row>
    <row r="1256" spans="1:47" hidden="1" x14ac:dyDescent="0.25">
      <c r="A1256" t="s">
        <v>63</v>
      </c>
      <c r="B1256" s="3">
        <v>4876</v>
      </c>
      <c r="C1256">
        <v>0</v>
      </c>
      <c r="D1256">
        <v>0</v>
      </c>
      <c r="E1256" s="2">
        <v>0</v>
      </c>
      <c r="F1256">
        <v>0</v>
      </c>
      <c r="G1256" s="3">
        <v>10000</v>
      </c>
      <c r="H1256" s="3" t="s">
        <v>54</v>
      </c>
      <c r="I1256" s="3" t="s">
        <v>59</v>
      </c>
      <c r="J1256" t="s">
        <v>235</v>
      </c>
      <c r="K1256" s="3" t="s">
        <v>214</v>
      </c>
      <c r="L1256" s="3" t="s">
        <v>73</v>
      </c>
      <c r="M1256" s="3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  <c r="X1256" s="4"/>
      <c r="AE1256" s="3"/>
      <c r="AK1256" s="5"/>
    </row>
    <row r="1257" spans="1:47" hidden="1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211</v>
      </c>
      <c r="G1257" t="s">
        <v>117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 s="3">
        <v>820.56</v>
      </c>
      <c r="N1257" t="s">
        <v>83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84</v>
      </c>
      <c r="X1257" s="4">
        <v>0</v>
      </c>
      <c r="Y1257" t="s">
        <v>62</v>
      </c>
      <c r="AK1257" s="5"/>
    </row>
    <row r="1258" spans="1:47" hidden="1" x14ac:dyDescent="0.25">
      <c r="A1258" t="s">
        <v>63</v>
      </c>
      <c r="B1258" s="1">
        <v>0</v>
      </c>
      <c r="C1258">
        <v>0</v>
      </c>
      <c r="D1258" s="3">
        <v>1097</v>
      </c>
      <c r="E1258" s="2">
        <v>0</v>
      </c>
      <c r="F1258">
        <v>0</v>
      </c>
      <c r="G1258" s="3">
        <v>1000</v>
      </c>
      <c r="H1258" s="3" t="s">
        <v>54</v>
      </c>
      <c r="I1258" s="3" t="s">
        <v>59</v>
      </c>
      <c r="J1258" t="s">
        <v>218</v>
      </c>
      <c r="K1258" s="3" t="s">
        <v>73</v>
      </c>
      <c r="L1258" t="s">
        <v>73</v>
      </c>
      <c r="M1258" s="3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  <c r="X1258" s="4"/>
      <c r="AK1258" s="5"/>
    </row>
    <row r="1259" spans="1:47" hidden="1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411</v>
      </c>
      <c r="G1259" t="s">
        <v>66</v>
      </c>
      <c r="H1259" s="3">
        <v>870</v>
      </c>
      <c r="I1259" s="3">
        <v>870</v>
      </c>
      <c r="J1259">
        <v>0</v>
      </c>
      <c r="K1259" s="3">
        <v>870</v>
      </c>
      <c r="L1259" s="3">
        <v>175</v>
      </c>
      <c r="M1259" s="3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115</v>
      </c>
      <c r="X1259" s="4">
        <v>0</v>
      </c>
      <c r="Y1259" t="s">
        <v>62</v>
      </c>
      <c r="AE1259" s="3"/>
      <c r="AK1259" s="5"/>
    </row>
    <row r="1260" spans="1:47" hidden="1" x14ac:dyDescent="0.25">
      <c r="A1260" t="s">
        <v>63</v>
      </c>
      <c r="B1260" s="1">
        <v>175</v>
      </c>
      <c r="C1260">
        <v>0</v>
      </c>
      <c r="D1260">
        <v>0</v>
      </c>
      <c r="E1260" s="2">
        <v>0</v>
      </c>
      <c r="F1260">
        <v>0</v>
      </c>
      <c r="G1260" s="3">
        <v>1000</v>
      </c>
      <c r="H1260" s="3" t="s">
        <v>54</v>
      </c>
      <c r="I1260" s="3" t="s">
        <v>59</v>
      </c>
      <c r="K1260" s="3" t="s">
        <v>60</v>
      </c>
      <c r="L1260" s="3" t="s">
        <v>60</v>
      </c>
      <c r="M1260" s="3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  <c r="X1260" s="4"/>
      <c r="AD1260" s="3"/>
      <c r="AE1260" s="3"/>
      <c r="AK1260" s="5"/>
    </row>
    <row r="1261" spans="1:47" hidden="1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110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 s="3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94</v>
      </c>
      <c r="X1261" s="4">
        <v>0</v>
      </c>
      <c r="Y1261" t="s">
        <v>58</v>
      </c>
      <c r="Z1261" s="3">
        <v>1164</v>
      </c>
      <c r="AA1261">
        <v>0</v>
      </c>
      <c r="AB1261" s="3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hidden="1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110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 s="3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94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hidden="1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110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 s="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94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hidden="1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166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 s="3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132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hidden="1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140</v>
      </c>
      <c r="G1265" t="s">
        <v>93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 s="3">
        <v>303.05</v>
      </c>
      <c r="N1265" t="s">
        <v>105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144</v>
      </c>
      <c r="W1265" t="s">
        <v>220</v>
      </c>
      <c r="X1265" s="4">
        <v>0</v>
      </c>
      <c r="Y1265" t="s">
        <v>62</v>
      </c>
      <c r="AE1265" s="3"/>
      <c r="AK1265" s="5"/>
    </row>
    <row r="1266" spans="1:47" hidden="1" x14ac:dyDescent="0.25">
      <c r="A1266" t="s">
        <v>63</v>
      </c>
      <c r="B1266" s="3">
        <v>1045</v>
      </c>
      <c r="C1266">
        <v>0</v>
      </c>
      <c r="D1266">
        <v>0</v>
      </c>
      <c r="E1266" s="2">
        <v>0</v>
      </c>
      <c r="F1266">
        <v>0</v>
      </c>
      <c r="G1266" s="3">
        <v>2200</v>
      </c>
      <c r="H1266" s="3" t="s">
        <v>54</v>
      </c>
      <c r="I1266" s="3" t="s">
        <v>59</v>
      </c>
      <c r="J1266" t="s">
        <v>142</v>
      </c>
      <c r="K1266" s="3" t="s">
        <v>214</v>
      </c>
      <c r="L1266" t="s">
        <v>73</v>
      </c>
      <c r="M1266" s="3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  <c r="X1266" s="4"/>
      <c r="AK1266" s="5"/>
    </row>
    <row r="1267" spans="1:47" hidden="1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176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 s="3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177</v>
      </c>
      <c r="X1267" s="4">
        <v>0</v>
      </c>
      <c r="Y1267" t="s">
        <v>62</v>
      </c>
      <c r="AK1267" s="5"/>
    </row>
    <row r="1268" spans="1:47" hidden="1" x14ac:dyDescent="0.25">
      <c r="A1268" t="s">
        <v>63</v>
      </c>
      <c r="B1268" s="1">
        <v>666</v>
      </c>
      <c r="C1268">
        <v>0</v>
      </c>
      <c r="D1268">
        <v>468</v>
      </c>
      <c r="E1268" s="2">
        <v>0</v>
      </c>
      <c r="F1268">
        <v>0</v>
      </c>
      <c r="G1268" s="3">
        <v>4000</v>
      </c>
      <c r="H1268" s="3" t="s">
        <v>54</v>
      </c>
      <c r="I1268" s="3" t="s">
        <v>59</v>
      </c>
      <c r="J1268" t="s">
        <v>79</v>
      </c>
      <c r="K1268" s="3" t="s">
        <v>60</v>
      </c>
      <c r="L1268" t="s">
        <v>60</v>
      </c>
      <c r="M1268" s="3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  <c r="X1268" s="4"/>
      <c r="AK1268" s="5"/>
    </row>
    <row r="1269" spans="1:47" hidden="1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329</v>
      </c>
      <c r="G1269" t="s">
        <v>330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105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91</v>
      </c>
      <c r="W1269" t="s">
        <v>132</v>
      </c>
      <c r="X1269" s="4">
        <v>0</v>
      </c>
      <c r="Y1269" t="s">
        <v>197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214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hidden="1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413</v>
      </c>
      <c r="G1270" t="s">
        <v>122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129</v>
      </c>
      <c r="X1270" s="4">
        <v>0</v>
      </c>
      <c r="Y1270" t="s">
        <v>62</v>
      </c>
      <c r="AB1270" s="3"/>
      <c r="AE1270" s="3"/>
      <c r="AK1270" s="5"/>
    </row>
    <row r="1271" spans="1:47" hidden="1" x14ac:dyDescent="0.25">
      <c r="A1271" t="s">
        <v>63</v>
      </c>
      <c r="B1271" s="1">
        <v>0</v>
      </c>
      <c r="C1271">
        <v>0</v>
      </c>
      <c r="D1271" s="3">
        <v>2261.8000000000002</v>
      </c>
      <c r="E1271" s="2">
        <v>0</v>
      </c>
      <c r="F1271">
        <v>0</v>
      </c>
      <c r="G1271" s="3">
        <v>2600</v>
      </c>
      <c r="H1271" s="3" t="s">
        <v>54</v>
      </c>
      <c r="I1271" s="3" t="s">
        <v>59</v>
      </c>
      <c r="K1271" s="3" t="s">
        <v>60</v>
      </c>
      <c r="L1271" s="3" t="s">
        <v>60</v>
      </c>
      <c r="M1271" s="3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  <c r="X1271" s="4"/>
      <c r="Z1271" s="3"/>
      <c r="AE1271" s="3"/>
      <c r="AK1271" s="5"/>
    </row>
    <row r="1272" spans="1:47" hidden="1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100</v>
      </c>
      <c r="G1272" s="3" t="s">
        <v>93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 s="3">
        <v>897.12</v>
      </c>
      <c r="N1272" t="s">
        <v>83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101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102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hidden="1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100</v>
      </c>
      <c r="G1273" t="s">
        <v>93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83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101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102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hidden="1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256</v>
      </c>
      <c r="G1274" s="3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 s="3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257</v>
      </c>
      <c r="X1274" s="4">
        <v>0</v>
      </c>
      <c r="Y1274" t="s">
        <v>62</v>
      </c>
      <c r="AE1274" s="3"/>
      <c r="AK1274" s="5"/>
    </row>
    <row r="1275" spans="1:47" hidden="1" x14ac:dyDescent="0.25">
      <c r="A1275" t="s">
        <v>63</v>
      </c>
      <c r="B1275" s="1">
        <v>0</v>
      </c>
      <c r="C1275">
        <v>0</v>
      </c>
      <c r="D1275" s="3">
        <v>1250.54</v>
      </c>
      <c r="E1275" s="2">
        <v>0</v>
      </c>
      <c r="F1275">
        <v>0</v>
      </c>
      <c r="G1275">
        <v>710</v>
      </c>
      <c r="H1275" s="3" t="s">
        <v>54</v>
      </c>
      <c r="I1275" s="3" t="s">
        <v>59</v>
      </c>
      <c r="K1275" s="3" t="s">
        <v>60</v>
      </c>
      <c r="L1275" s="3" t="s">
        <v>60</v>
      </c>
      <c r="M1275" s="3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  <c r="X1275" s="4"/>
      <c r="Z1275" s="3"/>
      <c r="AE1275" s="3"/>
      <c r="AK1275" s="5"/>
    </row>
    <row r="1276" spans="1:47" hidden="1" x14ac:dyDescent="0.25">
      <c r="A1276" t="s">
        <v>95</v>
      </c>
      <c r="B1276" s="1">
        <v>38091</v>
      </c>
      <c r="C1276" t="s">
        <v>48</v>
      </c>
      <c r="D1276" t="s">
        <v>49</v>
      </c>
      <c r="E1276" s="2">
        <v>45940</v>
      </c>
      <c r="F1276" t="s">
        <v>291</v>
      </c>
      <c r="G1276" t="s">
        <v>213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 s="3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89</v>
      </c>
      <c r="X1276" s="4">
        <v>0</v>
      </c>
      <c r="Y1276" t="s">
        <v>62</v>
      </c>
      <c r="AK1276" s="5"/>
    </row>
    <row r="1277" spans="1:47" hidden="1" x14ac:dyDescent="0.25">
      <c r="A1277" t="s">
        <v>63</v>
      </c>
      <c r="B1277" s="1">
        <v>0</v>
      </c>
      <c r="C1277">
        <v>0</v>
      </c>
      <c r="D1277">
        <v>0</v>
      </c>
      <c r="E1277" s="2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292</v>
      </c>
      <c r="K1277" t="s">
        <v>60</v>
      </c>
      <c r="L1277" t="s">
        <v>73</v>
      </c>
      <c r="M1277" s="3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  <c r="X1277" s="4"/>
      <c r="AK1277" s="5"/>
    </row>
    <row r="1278" spans="1:47" hidden="1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313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 s="3">
        <v>418.38</v>
      </c>
      <c r="N1278" t="s">
        <v>83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hidden="1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154</v>
      </c>
      <c r="G1279" t="s">
        <v>155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105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144</v>
      </c>
      <c r="W1279" t="s">
        <v>132</v>
      </c>
      <c r="X1279" s="4">
        <v>0</v>
      </c>
      <c r="Y1279" t="s">
        <v>62</v>
      </c>
      <c r="AK1279" s="5"/>
    </row>
    <row r="1280" spans="1:47" hidden="1" x14ac:dyDescent="0.25">
      <c r="A1280" t="s">
        <v>63</v>
      </c>
      <c r="B1280" s="3">
        <v>3185.95</v>
      </c>
      <c r="C1280">
        <v>0</v>
      </c>
      <c r="D1280">
        <v>0</v>
      </c>
      <c r="E1280" s="2">
        <v>0</v>
      </c>
      <c r="F1280">
        <v>0</v>
      </c>
      <c r="G1280" s="3">
        <v>1050</v>
      </c>
      <c r="H1280" s="3" t="s">
        <v>54</v>
      </c>
      <c r="I1280" s="3" t="s">
        <v>59</v>
      </c>
      <c r="K1280" s="3" t="s">
        <v>214</v>
      </c>
      <c r="L1280" s="3" t="s">
        <v>73</v>
      </c>
      <c r="M1280" s="3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  <c r="X1280" s="4"/>
      <c r="Z1280" s="3"/>
      <c r="AE1280" s="3"/>
      <c r="AK1280" s="5"/>
    </row>
    <row r="1281" spans="1:47" hidden="1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148</v>
      </c>
      <c r="G1281" t="s">
        <v>66</v>
      </c>
      <c r="H1281" s="3">
        <v>522.79999999999995</v>
      </c>
      <c r="I1281" s="3">
        <v>522.79999999999995</v>
      </c>
      <c r="J1281">
        <v>0</v>
      </c>
      <c r="K1281" s="3">
        <v>601.22</v>
      </c>
      <c r="L1281">
        <v>57.64</v>
      </c>
      <c r="M1281" s="3">
        <v>35.74</v>
      </c>
      <c r="N1281" t="s">
        <v>83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 s="3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hidden="1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107</v>
      </c>
      <c r="G1282" t="s">
        <v>108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 s="3">
        <v>210.18</v>
      </c>
      <c r="N1282" t="s">
        <v>83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109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91</v>
      </c>
      <c r="AJ1282" t="s">
        <v>91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hidden="1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382</v>
      </c>
      <c r="G1283" t="s">
        <v>122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 s="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  <c r="AE1283" s="3"/>
      <c r="AK1283" s="5"/>
    </row>
    <row r="1284" spans="1:47" hidden="1" x14ac:dyDescent="0.25">
      <c r="A1284" t="s">
        <v>63</v>
      </c>
      <c r="B1284" s="1">
        <v>0</v>
      </c>
      <c r="C1284">
        <v>0</v>
      </c>
      <c r="D1284">
        <v>0</v>
      </c>
      <c r="E1284" s="2">
        <v>0</v>
      </c>
      <c r="F1284" s="3">
        <v>1157</v>
      </c>
      <c r="G1284" s="3">
        <v>1000</v>
      </c>
      <c r="H1284" s="3" t="s">
        <v>54</v>
      </c>
      <c r="I1284" s="3" t="s">
        <v>59</v>
      </c>
      <c r="J1284" t="s">
        <v>161</v>
      </c>
      <c r="K1284" s="3" t="s">
        <v>60</v>
      </c>
      <c r="L1284" s="3" t="s">
        <v>60</v>
      </c>
      <c r="M1284" s="3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  <c r="X1284" s="4"/>
      <c r="AB1284" s="3"/>
      <c r="AE1284" s="3"/>
      <c r="AK1284" s="5"/>
    </row>
    <row r="1285" spans="1:47" hidden="1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180</v>
      </c>
      <c r="G1285" t="s">
        <v>181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 s="3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141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hidden="1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302</v>
      </c>
      <c r="G1286" s="3" t="s">
        <v>86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 s="3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174</v>
      </c>
      <c r="X1286" s="4">
        <v>0</v>
      </c>
      <c r="Y1286" t="s">
        <v>62</v>
      </c>
      <c r="AK1286" s="5"/>
    </row>
    <row r="1287" spans="1:47" hidden="1" x14ac:dyDescent="0.25">
      <c r="A1287" t="s">
        <v>63</v>
      </c>
      <c r="B1287" s="1">
        <v>0</v>
      </c>
      <c r="C1287">
        <v>0</v>
      </c>
      <c r="D1287" s="3">
        <v>1176</v>
      </c>
      <c r="E1287" s="2">
        <v>0</v>
      </c>
      <c r="F1287">
        <v>0</v>
      </c>
      <c r="G1287" s="3">
        <v>1000</v>
      </c>
      <c r="H1287" s="3" t="s">
        <v>54</v>
      </c>
      <c r="I1287" s="3" t="s">
        <v>59</v>
      </c>
      <c r="K1287" s="3" t="s">
        <v>60</v>
      </c>
      <c r="L1287" s="3" t="s">
        <v>60</v>
      </c>
      <c r="M1287" s="3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  <c r="X1287" s="4"/>
      <c r="AK1287" s="5"/>
    </row>
    <row r="1288" spans="1:47" hidden="1" x14ac:dyDescent="0.25">
      <c r="A1288" t="s">
        <v>47</v>
      </c>
      <c r="B1288" s="1">
        <v>38105</v>
      </c>
      <c r="C1288" t="s">
        <v>48</v>
      </c>
      <c r="D1288" s="3" t="s">
        <v>49</v>
      </c>
      <c r="E1288" s="2">
        <v>45944</v>
      </c>
      <c r="F1288" t="s">
        <v>127</v>
      </c>
      <c r="G1288" s="3" t="s">
        <v>128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 s="3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129</v>
      </c>
      <c r="X1288" s="4">
        <v>0</v>
      </c>
      <c r="Y1288" t="s">
        <v>62</v>
      </c>
      <c r="AK1288" s="5"/>
    </row>
    <row r="1289" spans="1:47" hidden="1" x14ac:dyDescent="0.25">
      <c r="A1289" t="s">
        <v>63</v>
      </c>
      <c r="B1289" s="1">
        <v>806</v>
      </c>
      <c r="C1289">
        <v>0</v>
      </c>
      <c r="D1289">
        <v>0</v>
      </c>
      <c r="E1289" s="2">
        <v>0</v>
      </c>
      <c r="F1289">
        <v>0</v>
      </c>
      <c r="G1289" s="3">
        <v>1000</v>
      </c>
      <c r="H1289" s="3" t="s">
        <v>54</v>
      </c>
      <c r="I1289" s="3" t="s">
        <v>59</v>
      </c>
      <c r="K1289" s="3" t="s">
        <v>73</v>
      </c>
      <c r="L1289" s="3" t="s">
        <v>91</v>
      </c>
      <c r="M1289" s="3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  <c r="X1289" s="4"/>
      <c r="AB1289" s="3"/>
      <c r="AK1289" s="5"/>
    </row>
    <row r="1290" spans="1:47" hidden="1" x14ac:dyDescent="0.25">
      <c r="A1290" t="s">
        <v>95</v>
      </c>
      <c r="B1290" s="1">
        <v>38107</v>
      </c>
      <c r="C1290" t="s">
        <v>48</v>
      </c>
      <c r="D1290" s="3" t="s">
        <v>49</v>
      </c>
      <c r="E1290" s="2">
        <v>45944</v>
      </c>
      <c r="F1290" t="s">
        <v>159</v>
      </c>
      <c r="G1290" s="3" t="s">
        <v>66</v>
      </c>
      <c r="H1290" s="3">
        <v>165.98</v>
      </c>
      <c r="I1290" s="3">
        <v>165.98</v>
      </c>
      <c r="J1290">
        <v>0</v>
      </c>
      <c r="K1290" s="3">
        <v>165.98</v>
      </c>
      <c r="L1290" s="3">
        <v>45.58</v>
      </c>
      <c r="M1290" s="3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160</v>
      </c>
      <c r="X1290" s="4">
        <v>0</v>
      </c>
      <c r="Z1290" s="3">
        <v>45.58</v>
      </c>
      <c r="AA1290">
        <v>0</v>
      </c>
      <c r="AB1290" s="3">
        <v>0</v>
      </c>
      <c r="AC1290">
        <v>0</v>
      </c>
      <c r="AD1290">
        <v>0</v>
      </c>
      <c r="AE1290" s="3">
        <v>430</v>
      </c>
      <c r="AF1290" t="s">
        <v>54</v>
      </c>
      <c r="AG1290" t="s">
        <v>59</v>
      </c>
      <c r="AI1290" t="s">
        <v>73</v>
      </c>
      <c r="AJ1290" t="s">
        <v>91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hidden="1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100</v>
      </c>
      <c r="G1291" t="s">
        <v>93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83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101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102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hidden="1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121</v>
      </c>
      <c r="G1292" t="s">
        <v>122</v>
      </c>
      <c r="H1292" s="3">
        <v>164</v>
      </c>
      <c r="I1292" s="3">
        <v>164</v>
      </c>
      <c r="J1292">
        <v>0</v>
      </c>
      <c r="K1292" s="3">
        <v>164</v>
      </c>
      <c r="L1292">
        <v>32</v>
      </c>
      <c r="M1292" s="3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94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hidden="1" x14ac:dyDescent="0.25">
      <c r="A1293" t="s">
        <v>95</v>
      </c>
      <c r="B1293" s="1">
        <v>38110</v>
      </c>
      <c r="C1293" t="s">
        <v>48</v>
      </c>
      <c r="D1293" t="s">
        <v>49</v>
      </c>
      <c r="E1293" s="2">
        <v>45945</v>
      </c>
      <c r="F1293" t="s">
        <v>291</v>
      </c>
      <c r="G1293" t="s">
        <v>213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89</v>
      </c>
      <c r="X1293" s="4">
        <v>0</v>
      </c>
      <c r="Y1293" t="s">
        <v>62</v>
      </c>
    </row>
    <row r="1294" spans="1:47" hidden="1" x14ac:dyDescent="0.25">
      <c r="A1294" t="s">
        <v>63</v>
      </c>
      <c r="B1294" s="1">
        <v>0</v>
      </c>
      <c r="C1294">
        <v>0</v>
      </c>
      <c r="D1294" s="3">
        <v>0</v>
      </c>
      <c r="E1294" s="2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292</v>
      </c>
      <c r="K1294" t="s">
        <v>60</v>
      </c>
      <c r="L1294" t="s">
        <v>60</v>
      </c>
      <c r="M1294" s="3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  <c r="X1294" s="4"/>
    </row>
    <row r="1295" spans="1:47" hidden="1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274</v>
      </c>
      <c r="G1295" t="s">
        <v>155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105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144</v>
      </c>
      <c r="W1295" t="s">
        <v>129</v>
      </c>
      <c r="X1295" s="4">
        <v>0</v>
      </c>
      <c r="Y1295" t="s">
        <v>62</v>
      </c>
      <c r="AK1295" s="5"/>
    </row>
    <row r="1296" spans="1:47" hidden="1" x14ac:dyDescent="0.25">
      <c r="A1296" t="s">
        <v>63</v>
      </c>
      <c r="B1296" s="3">
        <v>4876</v>
      </c>
      <c r="C1296">
        <v>0</v>
      </c>
      <c r="D1296">
        <v>0</v>
      </c>
      <c r="E1296" s="2">
        <v>0</v>
      </c>
      <c r="F1296">
        <v>0</v>
      </c>
      <c r="G1296" s="3">
        <v>10000</v>
      </c>
      <c r="H1296" s="3" t="s">
        <v>54</v>
      </c>
      <c r="I1296" s="3" t="s">
        <v>59</v>
      </c>
      <c r="J1296" t="s">
        <v>235</v>
      </c>
      <c r="K1296" s="3" t="s">
        <v>214</v>
      </c>
      <c r="L1296" s="3" t="s">
        <v>73</v>
      </c>
      <c r="M1296" s="3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  <c r="X1296" s="4"/>
      <c r="AD1296" s="3"/>
      <c r="AE1296" s="3"/>
      <c r="AK1296" s="5"/>
    </row>
    <row r="1297" spans="1:47" hidden="1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274</v>
      </c>
      <c r="G1297" t="s">
        <v>155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105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144</v>
      </c>
      <c r="W1297" t="s">
        <v>129</v>
      </c>
      <c r="X1297" s="4">
        <v>0</v>
      </c>
      <c r="Y1297" t="s">
        <v>62</v>
      </c>
      <c r="AD1297" s="3"/>
      <c r="AE1297" s="3"/>
      <c r="AK1297" s="5"/>
    </row>
    <row r="1298" spans="1:47" hidden="1" x14ac:dyDescent="0.25">
      <c r="A1298" t="s">
        <v>63</v>
      </c>
      <c r="B1298" s="3">
        <v>4876</v>
      </c>
      <c r="C1298">
        <v>0</v>
      </c>
      <c r="D1298">
        <v>0</v>
      </c>
      <c r="E1298" s="2">
        <v>0</v>
      </c>
      <c r="F1298">
        <v>0</v>
      </c>
      <c r="G1298" s="3">
        <v>10000</v>
      </c>
      <c r="H1298" s="3" t="s">
        <v>54</v>
      </c>
      <c r="I1298" s="3" t="s">
        <v>59</v>
      </c>
      <c r="J1298" t="s">
        <v>235</v>
      </c>
      <c r="K1298" s="3" t="s">
        <v>214</v>
      </c>
      <c r="L1298" s="3" t="s">
        <v>73</v>
      </c>
      <c r="M1298" s="3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  <c r="X1298" s="4"/>
      <c r="AD1298" s="3"/>
      <c r="AE1298" s="3"/>
      <c r="AK1298" s="5"/>
    </row>
    <row r="1299" spans="1:47" hidden="1" x14ac:dyDescent="0.25">
      <c r="A1299" t="s">
        <v>81</v>
      </c>
      <c r="B1299" s="1">
        <v>38113</v>
      </c>
      <c r="C1299" t="s">
        <v>48</v>
      </c>
      <c r="D1299" s="3" t="s">
        <v>49</v>
      </c>
      <c r="E1299" s="2">
        <v>45945</v>
      </c>
      <c r="F1299" t="s">
        <v>171</v>
      </c>
      <c r="G1299" s="3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198</v>
      </c>
      <c r="X1299" s="4">
        <v>0</v>
      </c>
      <c r="Y1299" t="s">
        <v>62</v>
      </c>
      <c r="AB1299" s="3"/>
      <c r="AE1299" s="3"/>
      <c r="AK1299" s="5"/>
    </row>
    <row r="1300" spans="1:47" hidden="1" x14ac:dyDescent="0.25">
      <c r="A1300" t="s">
        <v>63</v>
      </c>
      <c r="B1300" s="1">
        <v>0</v>
      </c>
      <c r="C1300">
        <v>0</v>
      </c>
      <c r="D1300" s="3">
        <v>3149.62</v>
      </c>
      <c r="E1300" s="2">
        <v>0</v>
      </c>
      <c r="F1300">
        <v>0</v>
      </c>
      <c r="G1300" s="3">
        <v>2560</v>
      </c>
      <c r="H1300" s="3" t="s">
        <v>54</v>
      </c>
      <c r="I1300" s="3" t="s">
        <v>59</v>
      </c>
      <c r="K1300" s="3" t="s">
        <v>80</v>
      </c>
      <c r="L1300" s="3" t="s">
        <v>73</v>
      </c>
      <c r="M1300" s="3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  <c r="X1300" s="4"/>
      <c r="Z1300" s="3"/>
      <c r="AB1300" s="3"/>
      <c r="AE1300" s="3"/>
      <c r="AK1300" s="5"/>
    </row>
    <row r="1301" spans="1:47" hidden="1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96</v>
      </c>
      <c r="G1301" t="s">
        <v>93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105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144</v>
      </c>
      <c r="W1301" t="s">
        <v>99</v>
      </c>
      <c r="X1301" s="4">
        <v>0</v>
      </c>
      <c r="Y1301" t="s">
        <v>58</v>
      </c>
      <c r="Z1301" s="3">
        <v>2777</v>
      </c>
      <c r="AA1301">
        <v>0</v>
      </c>
      <c r="AB1301" s="3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214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hidden="1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365</v>
      </c>
      <c r="G1302" s="3" t="s">
        <v>69</v>
      </c>
      <c r="H1302" s="3">
        <v>3990</v>
      </c>
      <c r="I1302" s="3">
        <v>3990</v>
      </c>
      <c r="J1302">
        <v>0</v>
      </c>
      <c r="K1302" s="3">
        <v>3990</v>
      </c>
      <c r="L1302" s="3">
        <v>692.5</v>
      </c>
      <c r="M1302" s="3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 s="3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hidden="1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278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hidden="1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130</v>
      </c>
      <c r="G1304" t="s">
        <v>86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 s="3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113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hidden="1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130</v>
      </c>
      <c r="G1305" t="s">
        <v>86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 s="3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113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 s="3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hidden="1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130</v>
      </c>
      <c r="G1306" t="s">
        <v>86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 s="3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113</v>
      </c>
      <c r="X1306" s="4">
        <v>0</v>
      </c>
      <c r="Y1306" t="s">
        <v>58</v>
      </c>
      <c r="Z1306" s="3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hidden="1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130</v>
      </c>
      <c r="G1307" t="s">
        <v>86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113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hidden="1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130</v>
      </c>
      <c r="G1308" t="s">
        <v>86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113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hidden="1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157</v>
      </c>
      <c r="G1309" t="s">
        <v>108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158</v>
      </c>
      <c r="X1309" s="4">
        <v>0</v>
      </c>
      <c r="Y1309" t="s">
        <v>58</v>
      </c>
      <c r="Z1309">
        <v>0</v>
      </c>
      <c r="AA1309" s="3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91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hidden="1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140</v>
      </c>
      <c r="G1310" t="s">
        <v>93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 s="3">
        <v>597.71</v>
      </c>
      <c r="N1310" t="s">
        <v>105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144</v>
      </c>
      <c r="W1310" t="s">
        <v>220</v>
      </c>
      <c r="X1310" s="4">
        <v>0</v>
      </c>
      <c r="Y1310" t="s">
        <v>62</v>
      </c>
      <c r="AB1310" s="3"/>
      <c r="AE1310" s="3"/>
      <c r="AK1310" s="5"/>
    </row>
    <row r="1311" spans="1:47" hidden="1" x14ac:dyDescent="0.25">
      <c r="A1311" t="s">
        <v>63</v>
      </c>
      <c r="B1311" s="3">
        <v>2061.06</v>
      </c>
      <c r="C1311">
        <v>0</v>
      </c>
      <c r="D1311">
        <v>0</v>
      </c>
      <c r="E1311" s="2">
        <v>0</v>
      </c>
      <c r="F1311">
        <v>0</v>
      </c>
      <c r="G1311" s="3">
        <v>3832</v>
      </c>
      <c r="H1311" s="3" t="s">
        <v>54</v>
      </c>
      <c r="I1311" s="3" t="s">
        <v>59</v>
      </c>
      <c r="J1311" t="s">
        <v>142</v>
      </c>
      <c r="K1311" s="3" t="s">
        <v>214</v>
      </c>
      <c r="L1311" s="3" t="s">
        <v>73</v>
      </c>
      <c r="M1311" s="3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  <c r="X1311" s="4"/>
      <c r="AB1311" s="3"/>
      <c r="AE1311" s="3"/>
      <c r="AK1311" s="5"/>
    </row>
    <row r="1312" spans="1:47" hidden="1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140</v>
      </c>
      <c r="G1312" t="s">
        <v>93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 s="3">
        <v>597.71</v>
      </c>
      <c r="N1312" t="s">
        <v>105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144</v>
      </c>
      <c r="W1312" t="s">
        <v>220</v>
      </c>
      <c r="X1312" s="4">
        <v>0</v>
      </c>
      <c r="Y1312" t="s">
        <v>62</v>
      </c>
      <c r="AB1312" s="3"/>
      <c r="AE1312" s="3"/>
      <c r="AK1312" s="5"/>
    </row>
    <row r="1313" spans="1:47" hidden="1" x14ac:dyDescent="0.25">
      <c r="A1313" t="s">
        <v>63</v>
      </c>
      <c r="B1313" s="3">
        <v>2061.06</v>
      </c>
      <c r="C1313">
        <v>0</v>
      </c>
      <c r="D1313">
        <v>0</v>
      </c>
      <c r="E1313" s="2">
        <v>0</v>
      </c>
      <c r="F1313">
        <v>0</v>
      </c>
      <c r="G1313" s="3">
        <v>3832</v>
      </c>
      <c r="H1313" s="3" t="s">
        <v>54</v>
      </c>
      <c r="I1313" s="3" t="s">
        <v>59</v>
      </c>
      <c r="J1313" t="s">
        <v>142</v>
      </c>
      <c r="K1313" s="3" t="s">
        <v>214</v>
      </c>
      <c r="L1313" s="3" t="s">
        <v>73</v>
      </c>
      <c r="M1313" s="3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  <c r="X1313" s="4"/>
      <c r="AB1313" s="3"/>
      <c r="AE1313" s="3"/>
      <c r="AK1313" s="5"/>
    </row>
    <row r="1314" spans="1:47" hidden="1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140</v>
      </c>
      <c r="G1314" t="s">
        <v>93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 s="3">
        <v>597.71</v>
      </c>
      <c r="N1314" t="s">
        <v>105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144</v>
      </c>
      <c r="W1314" t="s">
        <v>220</v>
      </c>
      <c r="X1314" s="4">
        <v>0</v>
      </c>
      <c r="Y1314" t="s">
        <v>62</v>
      </c>
      <c r="AB1314" s="3"/>
      <c r="AE1314" s="3"/>
      <c r="AK1314" s="5"/>
    </row>
    <row r="1315" spans="1:47" hidden="1" x14ac:dyDescent="0.25">
      <c r="A1315" t="s">
        <v>63</v>
      </c>
      <c r="B1315" s="3">
        <v>2061.06</v>
      </c>
      <c r="C1315">
        <v>0</v>
      </c>
      <c r="D1315">
        <v>0</v>
      </c>
      <c r="E1315" s="2">
        <v>0</v>
      </c>
      <c r="F1315">
        <v>0</v>
      </c>
      <c r="G1315" s="3">
        <v>3832</v>
      </c>
      <c r="H1315" s="3" t="s">
        <v>54</v>
      </c>
      <c r="I1315" s="3" t="s">
        <v>59</v>
      </c>
      <c r="J1315" t="s">
        <v>142</v>
      </c>
      <c r="K1315" s="3" t="s">
        <v>214</v>
      </c>
      <c r="L1315" s="3" t="s">
        <v>73</v>
      </c>
      <c r="M1315" s="3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  <c r="X1315" s="4"/>
      <c r="AB1315" s="3"/>
      <c r="AE1315" s="3"/>
      <c r="AK1315" s="5"/>
    </row>
    <row r="1316" spans="1:47" hidden="1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s="3" t="s">
        <v>300</v>
      </c>
      <c r="G1316" s="3" t="s">
        <v>93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 s="3">
        <v>334.4</v>
      </c>
      <c r="N1316" t="s">
        <v>105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144</v>
      </c>
      <c r="W1316" t="s">
        <v>220</v>
      </c>
      <c r="X1316" s="4">
        <v>0</v>
      </c>
      <c r="Y1316" t="s">
        <v>58</v>
      </c>
      <c r="Z1316" s="3">
        <v>1082.8499999999999</v>
      </c>
      <c r="AA1316">
        <v>0</v>
      </c>
      <c r="AB1316" s="3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214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hidden="1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300</v>
      </c>
      <c r="G1317" t="s">
        <v>93</v>
      </c>
      <c r="H1317" s="3">
        <v>3490</v>
      </c>
      <c r="I1317" s="3">
        <v>3490</v>
      </c>
      <c r="J1317">
        <v>0</v>
      </c>
      <c r="K1317" s="3">
        <v>4013.5</v>
      </c>
      <c r="L1317" s="3">
        <v>953</v>
      </c>
      <c r="M1317" s="3">
        <v>296.74</v>
      </c>
      <c r="N1317" t="s">
        <v>105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144</v>
      </c>
      <c r="W1317" t="s">
        <v>151</v>
      </c>
      <c r="X1317" s="4">
        <v>0</v>
      </c>
      <c r="Y1317" t="s">
        <v>58</v>
      </c>
      <c r="Z1317">
        <v>953</v>
      </c>
      <c r="AA1317">
        <v>0</v>
      </c>
      <c r="AB1317" s="3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214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hidden="1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 s="3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  <c r="AK1318" s="5"/>
    </row>
    <row r="1319" spans="1:47" hidden="1" x14ac:dyDescent="0.25">
      <c r="A1319" t="s">
        <v>63</v>
      </c>
      <c r="B1319" s="1">
        <v>545.5</v>
      </c>
      <c r="C1319">
        <v>0</v>
      </c>
      <c r="D1319">
        <v>0</v>
      </c>
      <c r="E1319" s="2">
        <v>0</v>
      </c>
      <c r="F1319">
        <v>0</v>
      </c>
      <c r="G1319">
        <v>500</v>
      </c>
      <c r="H1319" s="3" t="s">
        <v>54</v>
      </c>
      <c r="I1319" s="3" t="s">
        <v>59</v>
      </c>
      <c r="K1319" s="3" t="s">
        <v>73</v>
      </c>
      <c r="L1319" s="3" t="s">
        <v>73</v>
      </c>
      <c r="M1319" s="3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  <c r="X1319" s="4"/>
      <c r="AB1319" s="3"/>
      <c r="AE1319" s="3"/>
      <c r="AK1319" s="5"/>
    </row>
    <row r="1320" spans="1:47" hidden="1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152</v>
      </c>
      <c r="G1320" s="3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383</v>
      </c>
      <c r="X1320" s="4"/>
      <c r="Y1320" t="s">
        <v>352</v>
      </c>
      <c r="AB1320" s="3"/>
      <c r="AE1320" s="3"/>
      <c r="AK1320" s="5"/>
    </row>
    <row r="1321" spans="1:47" hidden="1" x14ac:dyDescent="0.25">
      <c r="A1321" t="s">
        <v>196</v>
      </c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1:47" hidden="1" x14ac:dyDescent="0.25">
      <c r="A1322" t="s">
        <v>197</v>
      </c>
      <c r="B1322" s="1">
        <v>0</v>
      </c>
      <c r="C1322">
        <v>0</v>
      </c>
      <c r="D1322" s="3">
        <v>0</v>
      </c>
      <c r="E1322" s="2">
        <v>0</v>
      </c>
      <c r="F1322" s="3">
        <v>2374</v>
      </c>
      <c r="G1322" s="3">
        <v>4000</v>
      </c>
      <c r="H1322" s="3"/>
      <c r="I1322" s="3"/>
      <c r="K1322" s="3"/>
      <c r="L1322" s="3" t="s">
        <v>60</v>
      </c>
      <c r="M1322" s="3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246</v>
      </c>
      <c r="X1322" s="4"/>
      <c r="AB1322" s="3"/>
      <c r="AK1322" s="5"/>
    </row>
    <row r="1323" spans="1:47" hidden="1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350</v>
      </c>
      <c r="G1323" t="s">
        <v>168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 s="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351</v>
      </c>
      <c r="X1323" s="4">
        <v>0</v>
      </c>
      <c r="Y1323" t="s">
        <v>62</v>
      </c>
      <c r="Z1323" s="3"/>
      <c r="AE1323" s="3"/>
      <c r="AK1323" s="5"/>
    </row>
    <row r="1324" spans="1:47" hidden="1" x14ac:dyDescent="0.25">
      <c r="A1324" t="s">
        <v>63</v>
      </c>
      <c r="B1324" s="3">
        <v>2805</v>
      </c>
      <c r="C1324">
        <v>0</v>
      </c>
      <c r="D1324">
        <v>0</v>
      </c>
      <c r="E1324" s="2">
        <v>0</v>
      </c>
      <c r="F1324" s="3">
        <v>0</v>
      </c>
      <c r="G1324" s="3">
        <v>5000</v>
      </c>
      <c r="H1324" s="3" t="s">
        <v>54</v>
      </c>
      <c r="I1324" s="3" t="s">
        <v>59</v>
      </c>
      <c r="K1324" s="3" t="s">
        <v>60</v>
      </c>
      <c r="L1324" s="3" t="s">
        <v>60</v>
      </c>
      <c r="M1324" s="3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  <c r="X1324" s="4"/>
      <c r="AA1324" s="3"/>
      <c r="AK1324" s="5"/>
    </row>
    <row r="1325" spans="1:47" hidden="1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121</v>
      </c>
      <c r="G1325" t="s">
        <v>122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 s="3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94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hidden="1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s="3" t="s">
        <v>171</v>
      </c>
      <c r="G1326" s="3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 s="3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198</v>
      </c>
      <c r="X1326" s="4">
        <v>0</v>
      </c>
      <c r="Y1326" t="s">
        <v>62</v>
      </c>
    </row>
    <row r="1327" spans="1:47" hidden="1" x14ac:dyDescent="0.25">
      <c r="A1327" t="s">
        <v>63</v>
      </c>
      <c r="B1327" s="1">
        <v>0</v>
      </c>
      <c r="C1327">
        <v>0</v>
      </c>
      <c r="D1327">
        <v>996.4</v>
      </c>
      <c r="E1327" s="2">
        <v>0</v>
      </c>
      <c r="F1327">
        <v>0</v>
      </c>
      <c r="G1327">
        <v>700</v>
      </c>
      <c r="H1327" s="3" t="s">
        <v>54</v>
      </c>
      <c r="I1327" s="3" t="s">
        <v>59</v>
      </c>
      <c r="K1327" s="3" t="s">
        <v>80</v>
      </c>
      <c r="L1327" s="3" t="s">
        <v>73</v>
      </c>
      <c r="M1327" s="3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  <c r="X1327" s="4"/>
      <c r="Z1327" s="3"/>
      <c r="AE1327" s="3"/>
      <c r="AK1327" s="5"/>
    </row>
    <row r="1328" spans="1:47" hidden="1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s="3" t="s">
        <v>100</v>
      </c>
      <c r="G1328" s="3" t="s">
        <v>93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83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101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102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hidden="1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116</v>
      </c>
      <c r="G1329" s="3" t="s">
        <v>117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151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hidden="1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s="3" t="s">
        <v>231</v>
      </c>
      <c r="G1330" s="3" t="s">
        <v>108</v>
      </c>
      <c r="H1330" s="3">
        <v>2970</v>
      </c>
      <c r="I1330" s="3">
        <v>2970</v>
      </c>
      <c r="J1330">
        <v>0</v>
      </c>
      <c r="K1330" s="3">
        <v>3415.5</v>
      </c>
      <c r="L1330" s="3">
        <v>536</v>
      </c>
      <c r="M1330" s="3">
        <v>187.6</v>
      </c>
      <c r="N1330" t="s">
        <v>83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94</v>
      </c>
      <c r="X1330" s="4">
        <v>0</v>
      </c>
      <c r="Y1330" t="s">
        <v>62</v>
      </c>
      <c r="AB1330" s="3"/>
      <c r="AE1330" s="3"/>
      <c r="AK1330" s="5"/>
    </row>
    <row r="1331" spans="1:47" hidden="1" x14ac:dyDescent="0.25">
      <c r="A1331" t="s">
        <v>63</v>
      </c>
      <c r="B1331" s="1">
        <v>536</v>
      </c>
      <c r="C1331">
        <v>0</v>
      </c>
      <c r="D1331">
        <v>0</v>
      </c>
      <c r="E1331" s="2">
        <v>0</v>
      </c>
      <c r="F1331">
        <v>0</v>
      </c>
      <c r="G1331" s="3">
        <v>2000</v>
      </c>
      <c r="H1331" s="3" t="s">
        <v>54</v>
      </c>
      <c r="I1331" s="3" t="s">
        <v>59</v>
      </c>
      <c r="K1331" s="3" t="s">
        <v>73</v>
      </c>
      <c r="L1331" s="3" t="s">
        <v>73</v>
      </c>
      <c r="M1331" s="3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  <c r="X1331" s="4"/>
      <c r="Z1331" s="3"/>
      <c r="AE1331" s="3"/>
      <c r="AK1331" s="5"/>
    </row>
    <row r="1332" spans="1:47" hidden="1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s="3" t="s">
        <v>202</v>
      </c>
      <c r="G1332" s="3" t="s">
        <v>122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 s="3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hidden="1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131</v>
      </c>
      <c r="G1333" t="s">
        <v>88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 s="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132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91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hidden="1" x14ac:dyDescent="0.25">
      <c r="A1334" t="s">
        <v>134</v>
      </c>
      <c r="B1334" s="1">
        <v>38142</v>
      </c>
      <c r="C1334" t="s">
        <v>48</v>
      </c>
      <c r="D1334" t="s">
        <v>49</v>
      </c>
      <c r="E1334" s="2">
        <v>45950</v>
      </c>
      <c r="F1334" s="3" t="s">
        <v>281</v>
      </c>
      <c r="G1334" s="3" t="s">
        <v>282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113</v>
      </c>
      <c r="X1334" s="4">
        <v>0</v>
      </c>
      <c r="Y1334" t="s">
        <v>62</v>
      </c>
      <c r="AE1334" s="3"/>
      <c r="AK1334" s="5"/>
    </row>
    <row r="1335" spans="1:47" hidden="1" x14ac:dyDescent="0.25">
      <c r="A1335" t="s">
        <v>63</v>
      </c>
      <c r="B1335" s="3">
        <v>6175</v>
      </c>
      <c r="C1335">
        <v>0</v>
      </c>
      <c r="D1335">
        <v>0</v>
      </c>
      <c r="E1335" s="2">
        <v>0</v>
      </c>
      <c r="F1335">
        <v>0</v>
      </c>
      <c r="G1335" s="3">
        <v>15000</v>
      </c>
      <c r="H1335" s="3" t="s">
        <v>54</v>
      </c>
      <c r="I1335" s="3" t="s">
        <v>59</v>
      </c>
      <c r="K1335" s="3" t="s">
        <v>80</v>
      </c>
      <c r="L1335" s="3" t="s">
        <v>73</v>
      </c>
      <c r="M1335" s="3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  <c r="X1335" s="4"/>
      <c r="AE1335" s="3"/>
      <c r="AK1335" s="5"/>
    </row>
    <row r="1336" spans="1:47" hidden="1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281</v>
      </c>
      <c r="G1336" t="s">
        <v>282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113</v>
      </c>
      <c r="X1336" s="4">
        <v>0</v>
      </c>
      <c r="Y1336" t="s">
        <v>62</v>
      </c>
      <c r="AD1336" s="3"/>
      <c r="AE1336" s="3"/>
      <c r="AK1336" s="5"/>
    </row>
    <row r="1337" spans="1:47" hidden="1" x14ac:dyDescent="0.25">
      <c r="A1337" t="s">
        <v>63</v>
      </c>
      <c r="B1337" s="3">
        <v>6175</v>
      </c>
      <c r="C1337">
        <v>0</v>
      </c>
      <c r="D1337">
        <v>0</v>
      </c>
      <c r="E1337" s="2">
        <v>0</v>
      </c>
      <c r="F1337">
        <v>0</v>
      </c>
      <c r="G1337" s="3">
        <v>15000</v>
      </c>
      <c r="H1337" s="3" t="s">
        <v>54</v>
      </c>
      <c r="I1337" s="3" t="s">
        <v>59</v>
      </c>
      <c r="K1337" s="3" t="s">
        <v>80</v>
      </c>
      <c r="L1337" s="3" t="s">
        <v>73</v>
      </c>
      <c r="M1337" s="3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  <c r="X1337" s="4"/>
    </row>
    <row r="1338" spans="1:47" hidden="1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152</v>
      </c>
      <c r="G1338" s="3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 s="3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383</v>
      </c>
      <c r="Y1338" t="s">
        <v>352</v>
      </c>
    </row>
    <row r="1339" spans="1:47" hidden="1" x14ac:dyDescent="0.25">
      <c r="A1339" t="s">
        <v>197</v>
      </c>
      <c r="B1339" s="1">
        <v>0</v>
      </c>
      <c r="C1339">
        <v>0</v>
      </c>
      <c r="D1339">
        <v>0</v>
      </c>
      <c r="E1339" s="2">
        <v>0</v>
      </c>
      <c r="F1339" s="3">
        <v>2016</v>
      </c>
      <c r="G1339" s="3">
        <v>3500</v>
      </c>
      <c r="H1339" s="3"/>
      <c r="I1339" s="3"/>
      <c r="K1339" s="3"/>
      <c r="L1339" s="3" t="s">
        <v>60</v>
      </c>
      <c r="M1339" s="3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246</v>
      </c>
      <c r="X1339" s="4"/>
    </row>
    <row r="1340" spans="1:47" hidden="1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s="3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hidden="1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hidden="1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127</v>
      </c>
      <c r="G1342" t="s">
        <v>128</v>
      </c>
      <c r="H1342" s="3">
        <v>2.1</v>
      </c>
      <c r="I1342" s="3">
        <v>2.1</v>
      </c>
      <c r="J1342">
        <v>0</v>
      </c>
      <c r="K1342" s="3">
        <v>2.42</v>
      </c>
      <c r="L1342" s="3">
        <v>0.48</v>
      </c>
      <c r="M1342" s="3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129</v>
      </c>
      <c r="X1342" s="4">
        <v>0</v>
      </c>
      <c r="Y1342" t="s">
        <v>62</v>
      </c>
      <c r="AE1342" s="3"/>
      <c r="AK1342" s="5"/>
    </row>
    <row r="1343" spans="1:47" hidden="1" x14ac:dyDescent="0.25">
      <c r="A1343" t="s">
        <v>63</v>
      </c>
      <c r="B1343" s="1">
        <v>0.48</v>
      </c>
      <c r="C1343">
        <v>0</v>
      </c>
      <c r="D1343">
        <v>0</v>
      </c>
      <c r="E1343" s="2">
        <v>0</v>
      </c>
      <c r="F1343">
        <v>0</v>
      </c>
      <c r="G1343" s="3">
        <v>1</v>
      </c>
      <c r="H1343" s="3" t="s">
        <v>54</v>
      </c>
      <c r="I1343" s="3" t="s">
        <v>59</v>
      </c>
      <c r="K1343" s="3" t="s">
        <v>91</v>
      </c>
      <c r="L1343" s="3" t="s">
        <v>91</v>
      </c>
      <c r="M1343" s="3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  <c r="X1343" s="4"/>
      <c r="AD1343" s="3"/>
      <c r="AE1343" s="3"/>
      <c r="AK1343" s="5"/>
    </row>
    <row r="1344" spans="1:47" hidden="1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323</v>
      </c>
      <c r="G1344" t="s">
        <v>249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 s="3">
        <v>241.53</v>
      </c>
      <c r="N1344" t="s">
        <v>83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115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hidden="1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202</v>
      </c>
      <c r="G1345" s="3" t="s">
        <v>122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 s="3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 s="3">
        <v>0</v>
      </c>
      <c r="AE1345" s="3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hidden="1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100</v>
      </c>
      <c r="G1346" t="s">
        <v>93</v>
      </c>
      <c r="H1346" s="3">
        <v>3401</v>
      </c>
      <c r="I1346" s="3">
        <v>3401</v>
      </c>
      <c r="J1346">
        <v>0</v>
      </c>
      <c r="K1346" s="3">
        <v>3911.15</v>
      </c>
      <c r="L1346" s="3">
        <v>777.1</v>
      </c>
      <c r="M1346" s="3">
        <v>225.36</v>
      </c>
      <c r="N1346" t="s">
        <v>83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101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 s="3">
        <v>0</v>
      </c>
      <c r="AE1346" s="3">
        <v>1900</v>
      </c>
      <c r="AF1346" t="s">
        <v>54</v>
      </c>
      <c r="AG1346" t="s">
        <v>59</v>
      </c>
      <c r="AH1346" t="s">
        <v>102</v>
      </c>
      <c r="AI1346" t="s">
        <v>73</v>
      </c>
      <c r="AJ1346" t="s">
        <v>91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hidden="1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 s="3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hidden="1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357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 s="3">
        <v>172</v>
      </c>
      <c r="M1348" s="3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188</v>
      </c>
      <c r="X1348" s="4">
        <v>0</v>
      </c>
      <c r="Y1348" t="s">
        <v>62</v>
      </c>
      <c r="AB1348" s="3"/>
      <c r="AD1348" s="3"/>
      <c r="AE1348" s="3"/>
      <c r="AK1348" s="5"/>
    </row>
    <row r="1349" spans="1:47" hidden="1" x14ac:dyDescent="0.25">
      <c r="A1349" t="s">
        <v>63</v>
      </c>
      <c r="B1349" s="1">
        <v>172</v>
      </c>
      <c r="C1349">
        <v>0</v>
      </c>
      <c r="D1349">
        <v>0</v>
      </c>
      <c r="E1349" s="2">
        <v>0</v>
      </c>
      <c r="F1349">
        <v>0</v>
      </c>
      <c r="G1349">
        <v>500</v>
      </c>
      <c r="H1349" s="3" t="s">
        <v>54</v>
      </c>
      <c r="I1349" s="3" t="s">
        <v>59</v>
      </c>
      <c r="K1349" s="3" t="s">
        <v>60</v>
      </c>
      <c r="L1349" s="3" t="s">
        <v>60</v>
      </c>
      <c r="M1349" s="3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  <c r="X1349" s="4"/>
      <c r="AD1349" s="3"/>
      <c r="AE1349" s="3"/>
      <c r="AK1349" s="5"/>
    </row>
    <row r="1350" spans="1:47" hidden="1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410</v>
      </c>
      <c r="G1350" t="s">
        <v>117</v>
      </c>
      <c r="H1350" s="3">
        <v>4700</v>
      </c>
      <c r="I1350" s="3">
        <v>4700</v>
      </c>
      <c r="J1350">
        <v>0</v>
      </c>
      <c r="K1350" s="3">
        <v>4700</v>
      </c>
      <c r="L1350" s="3">
        <v>926.5</v>
      </c>
      <c r="M1350" s="3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197</v>
      </c>
      <c r="Z1350">
        <v>354</v>
      </c>
      <c r="AA1350">
        <v>0</v>
      </c>
      <c r="AB1350">
        <v>0</v>
      </c>
      <c r="AC1350">
        <v>0</v>
      </c>
      <c r="AD1350" s="3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hidden="1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127</v>
      </c>
      <c r="G1351" t="s">
        <v>128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129</v>
      </c>
      <c r="X1351" s="4">
        <v>0</v>
      </c>
      <c r="Y1351" t="s">
        <v>62</v>
      </c>
      <c r="AD1351" s="3"/>
      <c r="AE1351" s="3"/>
      <c r="AK1351" s="5"/>
    </row>
    <row r="1352" spans="1:47" hidden="1" x14ac:dyDescent="0.25">
      <c r="A1352" t="s">
        <v>63</v>
      </c>
      <c r="B1352" s="3">
        <v>3205</v>
      </c>
      <c r="C1352">
        <v>0</v>
      </c>
      <c r="D1352">
        <v>0</v>
      </c>
      <c r="E1352" s="2">
        <v>0</v>
      </c>
      <c r="F1352" s="3">
        <v>244</v>
      </c>
      <c r="G1352" s="3">
        <v>6000</v>
      </c>
      <c r="H1352" s="3" t="s">
        <v>54</v>
      </c>
      <c r="I1352" s="3" t="s">
        <v>59</v>
      </c>
      <c r="K1352" s="3" t="s">
        <v>60</v>
      </c>
      <c r="L1352" s="3" t="s">
        <v>60</v>
      </c>
      <c r="M1352" s="3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  <c r="X1352" s="4"/>
      <c r="AD1352" s="3"/>
      <c r="AE1352" s="3"/>
      <c r="AK1352" s="5"/>
    </row>
    <row r="1353" spans="1:47" hidden="1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348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 s="3">
        <v>412</v>
      </c>
      <c r="M1353" s="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  <c r="AB1353" s="3"/>
      <c r="AD1353" s="3"/>
      <c r="AE1353" s="3"/>
      <c r="AK1353" s="5"/>
    </row>
    <row r="1354" spans="1:47" hidden="1" x14ac:dyDescent="0.25">
      <c r="A1354" t="s">
        <v>63</v>
      </c>
      <c r="B1354" s="1">
        <v>0</v>
      </c>
      <c r="C1354">
        <v>0</v>
      </c>
      <c r="D1354">
        <v>412</v>
      </c>
      <c r="E1354" s="2">
        <v>0</v>
      </c>
      <c r="F1354">
        <v>0</v>
      </c>
      <c r="G1354" s="3">
        <v>1000</v>
      </c>
      <c r="H1354" s="3" t="s">
        <v>54</v>
      </c>
      <c r="I1354" s="3" t="s">
        <v>59</v>
      </c>
      <c r="K1354" s="3" t="s">
        <v>60</v>
      </c>
      <c r="L1354" t="s">
        <v>60</v>
      </c>
      <c r="M1354" s="3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  <c r="X1354" s="4"/>
      <c r="AK1354" s="5"/>
    </row>
    <row r="1355" spans="1:47" hidden="1" x14ac:dyDescent="0.25">
      <c r="A1355" t="s">
        <v>134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238</v>
      </c>
      <c r="G1355" t="s">
        <v>237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 s="3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160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 s="3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hidden="1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100</v>
      </c>
      <c r="G1356" t="s">
        <v>93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83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101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 s="3">
        <v>0</v>
      </c>
      <c r="AE1356" s="3">
        <v>3000</v>
      </c>
      <c r="AF1356" t="s">
        <v>54</v>
      </c>
      <c r="AG1356" t="s">
        <v>59</v>
      </c>
      <c r="AH1356" t="s">
        <v>102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hidden="1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110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 s="3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94</v>
      </c>
      <c r="X1357" s="4">
        <v>0</v>
      </c>
      <c r="Y1357" t="s">
        <v>58</v>
      </c>
      <c r="Z1357" s="3">
        <v>1164</v>
      </c>
      <c r="AA1357">
        <v>0</v>
      </c>
      <c r="AB1357" s="3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hidden="1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110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 s="3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94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hidden="1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110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 s="3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94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hidden="1" x14ac:dyDescent="0.25">
      <c r="A1360" t="s">
        <v>47</v>
      </c>
      <c r="B1360" s="1">
        <v>38163</v>
      </c>
      <c r="C1360" t="s">
        <v>48</v>
      </c>
      <c r="D1360" s="3" t="s">
        <v>49</v>
      </c>
      <c r="E1360" s="2">
        <v>45954</v>
      </c>
      <c r="F1360" t="s">
        <v>124</v>
      </c>
      <c r="G1360" s="3" t="s">
        <v>88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 s="3">
        <v>615.66</v>
      </c>
      <c r="N1360" t="s">
        <v>83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94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hidden="1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376</v>
      </c>
      <c r="G1361" t="s">
        <v>377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 s="3">
        <v>401.31</v>
      </c>
      <c r="N1361" t="s">
        <v>105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144</v>
      </c>
      <c r="W1361" t="s">
        <v>72</v>
      </c>
      <c r="X1361" s="4">
        <v>0</v>
      </c>
      <c r="Y1361" t="s">
        <v>62</v>
      </c>
      <c r="Z1361" s="3"/>
      <c r="AE1361" s="3"/>
      <c r="AK1361" s="5"/>
    </row>
    <row r="1362" spans="1:47" hidden="1" x14ac:dyDescent="0.25">
      <c r="A1362" t="s">
        <v>63</v>
      </c>
      <c r="B1362" s="3">
        <v>1093.5</v>
      </c>
      <c r="C1362">
        <v>0</v>
      </c>
      <c r="D1362">
        <v>0</v>
      </c>
      <c r="E1362" s="2">
        <v>0</v>
      </c>
      <c r="F1362">
        <v>0</v>
      </c>
      <c r="G1362" s="3">
        <v>1500</v>
      </c>
      <c r="H1362" s="3" t="s">
        <v>54</v>
      </c>
      <c r="I1362" s="3" t="s">
        <v>59</v>
      </c>
      <c r="K1362" s="3" t="s">
        <v>73</v>
      </c>
      <c r="L1362" s="3" t="s">
        <v>73</v>
      </c>
      <c r="M1362" s="3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  <c r="X1362" s="4"/>
      <c r="Z1362" s="3"/>
      <c r="AE1362" s="3"/>
      <c r="AK1362" s="5"/>
    </row>
    <row r="1363" spans="1:47" hidden="1" x14ac:dyDescent="0.25">
      <c r="A1363" t="s">
        <v>134</v>
      </c>
      <c r="B1363" s="1">
        <v>38165</v>
      </c>
      <c r="C1363" t="s">
        <v>48</v>
      </c>
      <c r="D1363" t="s">
        <v>49</v>
      </c>
      <c r="E1363" s="2">
        <v>45957</v>
      </c>
      <c r="F1363" t="s">
        <v>367</v>
      </c>
      <c r="G1363" t="s">
        <v>66</v>
      </c>
      <c r="H1363" s="3">
        <v>150</v>
      </c>
      <c r="I1363" s="3">
        <v>150</v>
      </c>
      <c r="J1363">
        <v>0</v>
      </c>
      <c r="K1363" s="3">
        <v>150</v>
      </c>
      <c r="L1363" s="3">
        <v>27.3</v>
      </c>
      <c r="M1363" s="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113</v>
      </c>
      <c r="X1363" s="4">
        <v>0</v>
      </c>
      <c r="Y1363" t="s">
        <v>62</v>
      </c>
      <c r="Z1363" s="3"/>
      <c r="AE1363" s="3"/>
      <c r="AK1363" s="5"/>
    </row>
    <row r="1364" spans="1:47" hidden="1" x14ac:dyDescent="0.25">
      <c r="A1364" t="s">
        <v>63</v>
      </c>
      <c r="B1364" s="1">
        <v>27.3</v>
      </c>
      <c r="C1364">
        <v>0</v>
      </c>
      <c r="D1364">
        <v>0</v>
      </c>
      <c r="E1364" s="2">
        <v>0</v>
      </c>
      <c r="F1364">
        <v>0</v>
      </c>
      <c r="G1364" s="3">
        <v>100</v>
      </c>
      <c r="H1364" t="s">
        <v>54</v>
      </c>
      <c r="I1364" t="s">
        <v>59</v>
      </c>
      <c r="J1364" t="s">
        <v>161</v>
      </c>
      <c r="K1364" t="s">
        <v>80</v>
      </c>
      <c r="L1364" t="s">
        <v>73</v>
      </c>
      <c r="M1364" s="3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  <c r="X1364" s="4"/>
    </row>
    <row r="1365" spans="1:47" hidden="1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194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 s="3">
        <v>400.14</v>
      </c>
      <c r="N1365" t="s">
        <v>83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341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hidden="1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302</v>
      </c>
      <c r="G1366" t="s">
        <v>86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174</v>
      </c>
      <c r="X1366" s="4">
        <v>0</v>
      </c>
      <c r="Y1366" t="s">
        <v>62</v>
      </c>
    </row>
    <row r="1367" spans="1:47" hidden="1" x14ac:dyDescent="0.25">
      <c r="A1367" t="s">
        <v>63</v>
      </c>
      <c r="B1367" s="1">
        <v>0</v>
      </c>
      <c r="C1367">
        <v>0</v>
      </c>
      <c r="D1367" s="3">
        <v>1740</v>
      </c>
      <c r="E1367" s="2">
        <v>0</v>
      </c>
      <c r="F1367">
        <v>0</v>
      </c>
      <c r="G1367" s="3">
        <v>1000</v>
      </c>
      <c r="H1367" s="3" t="s">
        <v>54</v>
      </c>
      <c r="I1367" s="3" t="s">
        <v>59</v>
      </c>
      <c r="K1367" s="3" t="s">
        <v>60</v>
      </c>
      <c r="L1367" s="3" t="s">
        <v>73</v>
      </c>
      <c r="M1367" s="3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  <c r="X1367" s="4"/>
    </row>
    <row r="1368" spans="1:47" hidden="1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100</v>
      </c>
      <c r="G1368" s="3" t="s">
        <v>93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83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101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102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hidden="1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123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 s="3">
        <v>955.65</v>
      </c>
      <c r="M1369" s="3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 s="3">
        <v>50.4</v>
      </c>
      <c r="AA1369">
        <v>0</v>
      </c>
      <c r="AB1369">
        <v>636.29999999999995</v>
      </c>
      <c r="AC1369">
        <v>0</v>
      </c>
      <c r="AD1369">
        <v>268.95</v>
      </c>
      <c r="AE1369" s="3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hidden="1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384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 s="3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119</v>
      </c>
      <c r="W1370" t="s">
        <v>94</v>
      </c>
      <c r="X1370" s="4">
        <v>0</v>
      </c>
      <c r="Y1370" t="s">
        <v>62</v>
      </c>
      <c r="AK1370" s="5"/>
    </row>
    <row r="1371" spans="1:47" hidden="1" x14ac:dyDescent="0.25">
      <c r="A1371" t="s">
        <v>63</v>
      </c>
      <c r="B1371" s="1">
        <v>0</v>
      </c>
      <c r="C1371">
        <v>0</v>
      </c>
      <c r="D1371">
        <v>278.29000000000002</v>
      </c>
      <c r="E1371" s="2">
        <v>0</v>
      </c>
      <c r="F1371">
        <v>0</v>
      </c>
      <c r="G1371">
        <v>170</v>
      </c>
      <c r="H1371" s="3" t="s">
        <v>54</v>
      </c>
      <c r="I1371" s="3" t="s">
        <v>59</v>
      </c>
      <c r="J1371" t="s">
        <v>79</v>
      </c>
      <c r="K1371" s="3" t="s">
        <v>80</v>
      </c>
      <c r="L1371" t="s">
        <v>73</v>
      </c>
      <c r="M1371" s="3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  <c r="X1371" s="4"/>
      <c r="AK1371" s="5"/>
    </row>
    <row r="1372" spans="1:47" hidden="1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107</v>
      </c>
      <c r="G1372" t="s">
        <v>108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83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109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91</v>
      </c>
      <c r="AJ1372" t="s">
        <v>91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hidden="1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100</v>
      </c>
      <c r="G1373" s="3" t="s">
        <v>93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83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101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102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hidden="1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338</v>
      </c>
      <c r="G1374" t="s">
        <v>339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 s="3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115</v>
      </c>
      <c r="X1374" s="4">
        <v>0</v>
      </c>
      <c r="Y1374" t="s">
        <v>62</v>
      </c>
    </row>
    <row r="1375" spans="1:47" hidden="1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178</v>
      </c>
      <c r="K1375" t="s">
        <v>60</v>
      </c>
      <c r="L1375" t="s">
        <v>60</v>
      </c>
      <c r="M1375" s="3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hidden="1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116</v>
      </c>
      <c r="G1376" t="s">
        <v>117</v>
      </c>
      <c r="H1376" s="3">
        <v>3563.2</v>
      </c>
      <c r="I1376" s="3">
        <v>3563.2</v>
      </c>
      <c r="J1376">
        <v>0</v>
      </c>
      <c r="K1376" s="3">
        <v>4097.68</v>
      </c>
      <c r="L1376" s="3">
        <v>554.9</v>
      </c>
      <c r="M1376" s="3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84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345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hidden="1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116</v>
      </c>
      <c r="G1377" s="3" t="s">
        <v>117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 s="3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84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345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hidden="1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137</v>
      </c>
      <c r="G1378" t="s">
        <v>88</v>
      </c>
      <c r="H1378" s="3">
        <v>3860</v>
      </c>
      <c r="I1378" s="3">
        <v>3860</v>
      </c>
      <c r="J1378">
        <v>0</v>
      </c>
      <c r="K1378" s="3">
        <v>4400</v>
      </c>
      <c r="L1378" s="3">
        <v>439</v>
      </c>
      <c r="M1378" s="3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94</v>
      </c>
      <c r="X1378" s="4">
        <v>0</v>
      </c>
      <c r="Y1378" t="s">
        <v>58</v>
      </c>
      <c r="Z1378" s="3">
        <v>0</v>
      </c>
      <c r="AA1378">
        <v>0</v>
      </c>
      <c r="AB1378">
        <v>439</v>
      </c>
      <c r="AC1378">
        <v>0</v>
      </c>
      <c r="AD1378">
        <v>0</v>
      </c>
      <c r="AE1378" s="3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hidden="1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405</v>
      </c>
      <c r="G1379" s="3" t="s">
        <v>88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 s="3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406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147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hidden="1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143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97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144</v>
      </c>
      <c r="W1380" t="s">
        <v>145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hidden="1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385</v>
      </c>
      <c r="G1381" s="3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 s="3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287</v>
      </c>
      <c r="X1381" s="4">
        <v>0</v>
      </c>
      <c r="Y1381" t="s">
        <v>62</v>
      </c>
    </row>
    <row r="1382" spans="1:47" hidden="1" x14ac:dyDescent="0.25">
      <c r="A1382" t="s">
        <v>63</v>
      </c>
      <c r="B1382" s="1">
        <v>46.02</v>
      </c>
      <c r="C1382">
        <v>0</v>
      </c>
      <c r="D1382">
        <v>0</v>
      </c>
      <c r="E1382" s="2">
        <v>0</v>
      </c>
      <c r="F1382">
        <v>0</v>
      </c>
      <c r="G1382">
        <v>40</v>
      </c>
      <c r="H1382" s="3" t="s">
        <v>54</v>
      </c>
      <c r="I1382" s="3" t="s">
        <v>59</v>
      </c>
      <c r="J1382" t="s">
        <v>79</v>
      </c>
      <c r="K1382" s="3" t="s">
        <v>345</v>
      </c>
      <c r="L1382" s="3" t="s">
        <v>91</v>
      </c>
      <c r="M1382" s="3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  <c r="X1382" s="4"/>
      <c r="Z1382" s="3"/>
      <c r="AE1382" s="3"/>
      <c r="AK1382" s="5"/>
    </row>
    <row r="1383" spans="1:47" hidden="1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148</v>
      </c>
      <c r="G1383" s="3" t="s">
        <v>66</v>
      </c>
      <c r="H1383" s="3">
        <v>360.3</v>
      </c>
      <c r="I1383" s="3">
        <v>360.3</v>
      </c>
      <c r="J1383">
        <v>0</v>
      </c>
      <c r="K1383" s="3">
        <v>414.35</v>
      </c>
      <c r="L1383" s="3">
        <v>30.96</v>
      </c>
      <c r="M1383" s="3">
        <v>19.2</v>
      </c>
      <c r="N1383" t="s">
        <v>83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 s="3">
        <v>0</v>
      </c>
      <c r="AA1383">
        <v>0</v>
      </c>
      <c r="AB1383">
        <v>30.96</v>
      </c>
      <c r="AC1383">
        <v>0</v>
      </c>
      <c r="AD1383">
        <v>0</v>
      </c>
      <c r="AE1383" s="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hidden="1" x14ac:dyDescent="0.25">
      <c r="A1384" t="s">
        <v>95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179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132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91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hidden="1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209</v>
      </c>
      <c r="G1385" s="3" t="s">
        <v>136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83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210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hidden="1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152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383</v>
      </c>
      <c r="X1386" s="4">
        <v>0</v>
      </c>
      <c r="Y1386" t="s">
        <v>352</v>
      </c>
      <c r="AE1386" s="3"/>
      <c r="AK1386" s="5"/>
    </row>
    <row r="1387" spans="1:47" hidden="1" x14ac:dyDescent="0.25">
      <c r="A1387" t="s">
        <v>196</v>
      </c>
      <c r="B1387" s="1"/>
      <c r="E1387" s="2"/>
      <c r="H1387" s="3"/>
      <c r="I1387" s="3"/>
      <c r="K1387" s="3"/>
      <c r="X1387" s="4"/>
      <c r="AK1387" s="5"/>
    </row>
    <row r="1388" spans="1:47" hidden="1" x14ac:dyDescent="0.25">
      <c r="A1388" t="s">
        <v>197</v>
      </c>
      <c r="B1388" s="1">
        <v>0</v>
      </c>
      <c r="C1388">
        <v>0</v>
      </c>
      <c r="D1388">
        <v>0</v>
      </c>
      <c r="E1388" s="2">
        <v>0</v>
      </c>
      <c r="F1388" s="3">
        <v>3744</v>
      </c>
      <c r="G1388" s="3">
        <v>6500</v>
      </c>
      <c r="H1388" s="3" t="s">
        <v>54</v>
      </c>
      <c r="I1388" s="3" t="s">
        <v>59</v>
      </c>
      <c r="K1388" s="3" t="s">
        <v>60</v>
      </c>
      <c r="L1388" t="s">
        <v>60</v>
      </c>
      <c r="M1388" s="3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  <c r="X1388" s="4"/>
      <c r="AK1388" s="5"/>
    </row>
    <row r="1389" spans="1:47" hidden="1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302</v>
      </c>
      <c r="G1389" t="s">
        <v>86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 s="3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174</v>
      </c>
      <c r="X1389" s="4">
        <v>0</v>
      </c>
      <c r="Y1389" t="s">
        <v>62</v>
      </c>
      <c r="AK1389" s="5"/>
    </row>
    <row r="1390" spans="1:47" hidden="1" x14ac:dyDescent="0.25">
      <c r="A1390" t="s">
        <v>63</v>
      </c>
      <c r="B1390" s="1">
        <v>0</v>
      </c>
      <c r="C1390">
        <v>0</v>
      </c>
      <c r="D1390">
        <v>207</v>
      </c>
      <c r="E1390" s="2">
        <v>0</v>
      </c>
      <c r="F1390">
        <v>0</v>
      </c>
      <c r="G1390">
        <v>200</v>
      </c>
      <c r="H1390" s="3" t="s">
        <v>54</v>
      </c>
      <c r="I1390" s="3" t="s">
        <v>59</v>
      </c>
      <c r="K1390" s="3" t="s">
        <v>60</v>
      </c>
      <c r="L1390" s="3" t="s">
        <v>60</v>
      </c>
      <c r="M1390" s="3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  <c r="X1390" s="4"/>
      <c r="Z1390" s="3"/>
      <c r="AE1390" s="3"/>
      <c r="AK1390" s="5"/>
    </row>
    <row r="1391" spans="1:47" hidden="1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148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 s="3">
        <v>556.5</v>
      </c>
      <c r="N1391" t="s">
        <v>83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hidden="1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130</v>
      </c>
      <c r="G1392" s="3" t="s">
        <v>86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113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hidden="1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349</v>
      </c>
      <c r="G1393" t="s">
        <v>88</v>
      </c>
      <c r="H1393" s="3">
        <v>5700</v>
      </c>
      <c r="I1393" s="3">
        <v>5700</v>
      </c>
      <c r="J1393">
        <v>0</v>
      </c>
      <c r="K1393" s="3">
        <v>5700</v>
      </c>
      <c r="L1393" s="3">
        <v>918</v>
      </c>
      <c r="M1393" s="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89</v>
      </c>
      <c r="X1393" s="4">
        <v>0</v>
      </c>
      <c r="Y1393" t="s">
        <v>62</v>
      </c>
    </row>
    <row r="1394" spans="1:47" hidden="1" x14ac:dyDescent="0.25">
      <c r="A1394" t="s">
        <v>63</v>
      </c>
      <c r="B1394" s="3">
        <v>0</v>
      </c>
      <c r="C1394">
        <v>0</v>
      </c>
      <c r="D1394">
        <v>0</v>
      </c>
      <c r="E1394" s="2">
        <v>0</v>
      </c>
      <c r="F1394">
        <v>918</v>
      </c>
      <c r="G1394" s="3">
        <v>2000</v>
      </c>
      <c r="H1394" s="3" t="s">
        <v>54</v>
      </c>
      <c r="I1394" s="3" t="s">
        <v>59</v>
      </c>
      <c r="K1394" s="3" t="s">
        <v>60</v>
      </c>
      <c r="L1394" t="s">
        <v>60</v>
      </c>
      <c r="M1394" s="3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  <c r="X1394" s="4"/>
      <c r="AK1394" s="5"/>
    </row>
    <row r="1395" spans="1:47" hidden="1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212</v>
      </c>
      <c r="G1395" t="s">
        <v>88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 s="3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94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hidden="1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110</v>
      </c>
      <c r="G1396" s="3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 s="3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94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hidden="1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386</v>
      </c>
      <c r="G1397" t="s">
        <v>387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 s="3">
        <v>749.23</v>
      </c>
      <c r="N1397" t="s">
        <v>97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144</v>
      </c>
      <c r="W1397" t="s">
        <v>72</v>
      </c>
      <c r="X1397" s="4">
        <v>0</v>
      </c>
      <c r="Y1397" t="s">
        <v>62</v>
      </c>
      <c r="AK1397" s="5"/>
    </row>
    <row r="1398" spans="1:47" hidden="1" x14ac:dyDescent="0.25">
      <c r="A1398" t="s">
        <v>63</v>
      </c>
      <c r="B1398" s="1">
        <v>0</v>
      </c>
      <c r="C1398">
        <v>0</v>
      </c>
      <c r="D1398" s="3">
        <v>1001.65</v>
      </c>
      <c r="E1398" s="2">
        <v>0</v>
      </c>
      <c r="F1398">
        <v>0</v>
      </c>
      <c r="G1398" s="3">
        <v>650</v>
      </c>
      <c r="H1398" s="3" t="s">
        <v>54</v>
      </c>
      <c r="I1398" s="3" t="s">
        <v>59</v>
      </c>
      <c r="K1398" s="3" t="s">
        <v>73</v>
      </c>
      <c r="L1398" t="s">
        <v>73</v>
      </c>
      <c r="M1398" s="3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  <c r="X1398" s="4"/>
      <c r="AK1398" s="5"/>
    </row>
    <row r="1399" spans="1:47" hidden="1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100</v>
      </c>
      <c r="G1399" t="s">
        <v>93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83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101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102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hidden="1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388</v>
      </c>
      <c r="G1400" s="3" t="s">
        <v>249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83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219</v>
      </c>
      <c r="X1400" s="4">
        <v>0</v>
      </c>
      <c r="Y1400" t="s">
        <v>62</v>
      </c>
    </row>
    <row r="1401" spans="1:47" hidden="1" x14ac:dyDescent="0.25">
      <c r="A1401" t="s">
        <v>63</v>
      </c>
      <c r="B1401" s="3">
        <v>2623.8</v>
      </c>
      <c r="C1401" s="3">
        <v>1037</v>
      </c>
      <c r="D1401">
        <v>0</v>
      </c>
      <c r="E1401" s="2">
        <v>0</v>
      </c>
      <c r="F1401">
        <v>0</v>
      </c>
      <c r="G1401" s="3">
        <v>1800</v>
      </c>
      <c r="H1401" s="3" t="s">
        <v>54</v>
      </c>
      <c r="I1401" s="3" t="s">
        <v>389</v>
      </c>
      <c r="J1401" t="s">
        <v>178</v>
      </c>
      <c r="K1401" s="3" t="s">
        <v>91</v>
      </c>
      <c r="L1401" t="s">
        <v>91</v>
      </c>
      <c r="M1401" s="3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  <c r="X1401" s="4"/>
    </row>
    <row r="1402" spans="1:47" hidden="1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364</v>
      </c>
      <c r="G1402" s="3" t="s">
        <v>155</v>
      </c>
      <c r="H1402" s="3">
        <v>3180</v>
      </c>
      <c r="I1402" s="3">
        <v>3180</v>
      </c>
      <c r="J1402">
        <v>0</v>
      </c>
      <c r="K1402" s="3">
        <v>3180</v>
      </c>
      <c r="L1402" s="3">
        <v>790</v>
      </c>
      <c r="M1402" s="3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200</v>
      </c>
      <c r="W1402" t="s">
        <v>72</v>
      </c>
      <c r="X1402" s="4">
        <v>0</v>
      </c>
      <c r="Y1402" t="s">
        <v>62</v>
      </c>
      <c r="AD1402" s="3"/>
      <c r="AK1402" s="5"/>
    </row>
    <row r="1403" spans="1:47" hidden="1" x14ac:dyDescent="0.25">
      <c r="A1403" t="s">
        <v>63</v>
      </c>
      <c r="B1403" s="1">
        <v>790</v>
      </c>
      <c r="C1403">
        <v>0</v>
      </c>
      <c r="D1403">
        <v>0</v>
      </c>
      <c r="E1403" s="2">
        <v>0</v>
      </c>
      <c r="F1403">
        <v>0</v>
      </c>
      <c r="G1403" s="3">
        <v>2000</v>
      </c>
      <c r="H1403" s="3" t="s">
        <v>54</v>
      </c>
      <c r="I1403" s="3" t="s">
        <v>59</v>
      </c>
      <c r="K1403" s="3" t="s">
        <v>73</v>
      </c>
      <c r="L1403" s="3" t="s">
        <v>73</v>
      </c>
      <c r="M1403" s="3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  <c r="X1403" s="4"/>
      <c r="Z1403" s="3"/>
      <c r="AE1403" s="3"/>
      <c r="AK1403" s="5"/>
    </row>
    <row r="1404" spans="1:47" hidden="1" x14ac:dyDescent="0.25">
      <c r="A1404" t="s">
        <v>47</v>
      </c>
      <c r="B1404" s="1">
        <v>38200</v>
      </c>
      <c r="C1404" t="s">
        <v>48</v>
      </c>
      <c r="D1404" t="s">
        <v>436</v>
      </c>
      <c r="E1404" s="2">
        <v>45965</v>
      </c>
      <c r="F1404" t="s">
        <v>202</v>
      </c>
      <c r="G1404" s="3" t="s">
        <v>122</v>
      </c>
      <c r="H1404" s="3">
        <v>2952.78</v>
      </c>
      <c r="I1404" s="3">
        <v>2952.78</v>
      </c>
      <c r="J1404">
        <v>0</v>
      </c>
      <c r="K1404" s="3">
        <v>3395.7</v>
      </c>
      <c r="L1404" s="3">
        <v>292.32</v>
      </c>
      <c r="M1404" s="3">
        <v>218.66</v>
      </c>
      <c r="N1404" t="s">
        <v>75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43</v>
      </c>
      <c r="W1404" t="s">
        <v>72</v>
      </c>
      <c r="X1404" s="4">
        <v>0</v>
      </c>
      <c r="Y1404" t="s">
        <v>58</v>
      </c>
      <c r="Z1404" s="3">
        <v>0</v>
      </c>
      <c r="AA1404">
        <v>0</v>
      </c>
      <c r="AB1404">
        <v>292.32</v>
      </c>
      <c r="AC1404">
        <v>0</v>
      </c>
      <c r="AD1404">
        <v>0</v>
      </c>
      <c r="AE1404" s="3">
        <v>174</v>
      </c>
      <c r="AF1404" t="s">
        <v>54</v>
      </c>
      <c r="AG1404" t="s">
        <v>59</v>
      </c>
      <c r="AI1404" t="s">
        <v>91</v>
      </c>
      <c r="AJ1404" t="s">
        <v>91</v>
      </c>
      <c r="AK1404" s="5">
        <v>45965.548750000002</v>
      </c>
      <c r="AO1404" t="s">
        <v>54</v>
      </c>
      <c r="AP1404">
        <v>0</v>
      </c>
      <c r="AR1404" t="s">
        <v>54</v>
      </c>
      <c r="AS1404" t="s">
        <v>54</v>
      </c>
      <c r="AT1404">
        <v>4694</v>
      </c>
      <c r="AU1404" t="s">
        <v>55</v>
      </c>
    </row>
    <row r="1405" spans="1:47" hidden="1" x14ac:dyDescent="0.25">
      <c r="A1405" t="s">
        <v>47</v>
      </c>
      <c r="B1405" s="1">
        <v>38201</v>
      </c>
      <c r="C1405" t="s">
        <v>48</v>
      </c>
      <c r="D1405" t="s">
        <v>49</v>
      </c>
      <c r="E1405" s="2">
        <v>45965</v>
      </c>
      <c r="F1405" t="s">
        <v>153</v>
      </c>
      <c r="G1405" s="3" t="s">
        <v>88</v>
      </c>
      <c r="H1405" s="3">
        <v>3110</v>
      </c>
      <c r="I1405" s="3">
        <v>3110</v>
      </c>
      <c r="J1405">
        <v>0</v>
      </c>
      <c r="K1405" s="3">
        <v>3576.5</v>
      </c>
      <c r="L1405" s="3">
        <v>648</v>
      </c>
      <c r="M1405" s="3">
        <v>237.82</v>
      </c>
      <c r="N1405" t="s">
        <v>97</v>
      </c>
      <c r="O1405" t="s">
        <v>53</v>
      </c>
      <c r="P1405" t="s">
        <v>53</v>
      </c>
      <c r="Q1405" t="s">
        <v>53</v>
      </c>
      <c r="R1405" t="s">
        <v>54</v>
      </c>
      <c r="S1405" t="s">
        <v>54</v>
      </c>
      <c r="T1405" t="s">
        <v>55</v>
      </c>
      <c r="U1405">
        <v>167</v>
      </c>
      <c r="V1405" t="s">
        <v>144</v>
      </c>
      <c r="W1405" t="s">
        <v>84</v>
      </c>
      <c r="X1405" s="4">
        <v>0</v>
      </c>
      <c r="Y1405" t="s">
        <v>62</v>
      </c>
      <c r="Z1405" s="3"/>
      <c r="AE1405" s="3"/>
      <c r="AK1405" s="5"/>
    </row>
    <row r="1406" spans="1:47" hidden="1" x14ac:dyDescent="0.25">
      <c r="A1406" t="s">
        <v>63</v>
      </c>
      <c r="B1406" s="1">
        <v>648</v>
      </c>
      <c r="C1406">
        <v>0</v>
      </c>
      <c r="D1406">
        <v>0</v>
      </c>
      <c r="E1406" s="2">
        <v>0</v>
      </c>
      <c r="F1406" s="3">
        <v>0</v>
      </c>
      <c r="G1406" s="3">
        <v>1000</v>
      </c>
      <c r="H1406" s="3" t="s">
        <v>54</v>
      </c>
      <c r="I1406" s="3" t="s">
        <v>59</v>
      </c>
      <c r="J1406" t="s">
        <v>147</v>
      </c>
      <c r="K1406" s="3" t="s">
        <v>73</v>
      </c>
      <c r="L1406" s="3" t="s">
        <v>73</v>
      </c>
      <c r="M1406" s="3">
        <v>45965.554918981485</v>
      </c>
      <c r="Q1406" t="s">
        <v>54</v>
      </c>
      <c r="R1406">
        <v>0</v>
      </c>
      <c r="T1406" t="s">
        <v>54</v>
      </c>
      <c r="U1406" t="s">
        <v>54</v>
      </c>
      <c r="V1406">
        <v>7814</v>
      </c>
      <c r="W1406" t="s">
        <v>55</v>
      </c>
      <c r="X1406" s="4"/>
      <c r="Z1406" s="3"/>
      <c r="AE1406" s="3"/>
      <c r="AK1406" s="5"/>
    </row>
    <row r="1407" spans="1:47" hidden="1" x14ac:dyDescent="0.25">
      <c r="A1407" t="s">
        <v>47</v>
      </c>
      <c r="B1407" s="1">
        <v>38202</v>
      </c>
      <c r="C1407" t="s">
        <v>48</v>
      </c>
      <c r="D1407" t="s">
        <v>49</v>
      </c>
      <c r="E1407" s="2">
        <v>45965</v>
      </c>
      <c r="F1407" t="s">
        <v>65</v>
      </c>
      <c r="G1407" t="s">
        <v>66</v>
      </c>
      <c r="H1407" s="3">
        <v>3044</v>
      </c>
      <c r="I1407" s="3">
        <v>3044</v>
      </c>
      <c r="J1407">
        <v>0</v>
      </c>
      <c r="K1407" s="3">
        <v>3500.6</v>
      </c>
      <c r="L1407" s="3">
        <v>301.10000000000002</v>
      </c>
      <c r="M1407" s="3">
        <v>186.68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67</v>
      </c>
      <c r="X1407" s="4"/>
      <c r="Y1407" t="s">
        <v>58</v>
      </c>
      <c r="Z1407" s="3">
        <v>0</v>
      </c>
      <c r="AA1407">
        <v>0</v>
      </c>
      <c r="AB1407">
        <v>301.10000000000002</v>
      </c>
      <c r="AC1407">
        <v>0</v>
      </c>
      <c r="AD1407">
        <v>0</v>
      </c>
      <c r="AE1407" s="3">
        <v>100</v>
      </c>
      <c r="AJ1407" t="s">
        <v>73</v>
      </c>
      <c r="AK1407" s="5">
        <v>45965.638101851851</v>
      </c>
      <c r="AO1407" t="s">
        <v>54</v>
      </c>
      <c r="AP1407">
        <v>0</v>
      </c>
      <c r="AR1407" t="s">
        <v>54</v>
      </c>
      <c r="AS1407" t="s">
        <v>54</v>
      </c>
      <c r="AT1407">
        <v>1269</v>
      </c>
      <c r="AU1407" t="s">
        <v>246</v>
      </c>
    </row>
    <row r="1408" spans="1:47" hidden="1" x14ac:dyDescent="0.25">
      <c r="A1408" t="s">
        <v>81</v>
      </c>
      <c r="B1408" s="1">
        <v>38203</v>
      </c>
      <c r="C1408" t="s">
        <v>48</v>
      </c>
      <c r="D1408" t="s">
        <v>49</v>
      </c>
      <c r="E1408" s="2">
        <v>45965</v>
      </c>
      <c r="F1408" t="s">
        <v>103</v>
      </c>
      <c r="G1408" t="s">
        <v>88</v>
      </c>
      <c r="H1408" s="3">
        <v>1872</v>
      </c>
      <c r="I1408" s="3">
        <v>1872</v>
      </c>
      <c r="J1408">
        <v>0</v>
      </c>
      <c r="K1408" s="3">
        <v>1872</v>
      </c>
      <c r="L1408" s="3">
        <v>275</v>
      </c>
      <c r="M1408" s="3">
        <v>105.88</v>
      </c>
      <c r="N1408" t="s">
        <v>52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126</v>
      </c>
      <c r="W1408" t="s">
        <v>72</v>
      </c>
      <c r="X1408" s="4"/>
      <c r="Y1408" t="s">
        <v>58</v>
      </c>
      <c r="Z1408" s="3">
        <v>275</v>
      </c>
      <c r="AA1408">
        <v>0</v>
      </c>
      <c r="AB1408">
        <v>0</v>
      </c>
      <c r="AC1408">
        <v>0</v>
      </c>
      <c r="AD1408">
        <v>0</v>
      </c>
      <c r="AE1408" s="3">
        <v>400</v>
      </c>
      <c r="AJ1408" t="s">
        <v>73</v>
      </c>
      <c r="AK1408" s="5">
        <v>45965.653692129628</v>
      </c>
      <c r="AO1408" t="s">
        <v>54</v>
      </c>
      <c r="AP1408">
        <v>0</v>
      </c>
      <c r="AR1408" t="s">
        <v>54</v>
      </c>
      <c r="AS1408" t="s">
        <v>54</v>
      </c>
      <c r="AT1408">
        <v>7057</v>
      </c>
      <c r="AU1408" t="s">
        <v>246</v>
      </c>
    </row>
    <row r="1409" spans="1:47" hidden="1" x14ac:dyDescent="0.25">
      <c r="A1409" t="s">
        <v>47</v>
      </c>
      <c r="B1409" s="1">
        <v>38204</v>
      </c>
      <c r="C1409" t="s">
        <v>48</v>
      </c>
      <c r="D1409" t="s">
        <v>49</v>
      </c>
      <c r="E1409" s="2">
        <v>45965</v>
      </c>
      <c r="F1409" t="s">
        <v>321</v>
      </c>
      <c r="G1409" t="s">
        <v>69</v>
      </c>
      <c r="H1409" s="3">
        <v>3745</v>
      </c>
      <c r="I1409" s="3">
        <v>3745</v>
      </c>
      <c r="J1409">
        <v>0</v>
      </c>
      <c r="K1409" s="3">
        <v>4306.75</v>
      </c>
      <c r="L1409" s="3">
        <v>506</v>
      </c>
      <c r="M1409" s="3">
        <v>303.60000000000002</v>
      </c>
      <c r="N1409" t="s">
        <v>77</v>
      </c>
      <c r="O1409" t="s">
        <v>53</v>
      </c>
      <c r="P1409" t="s">
        <v>53</v>
      </c>
      <c r="Q1409" t="s">
        <v>53</v>
      </c>
      <c r="R1409" t="s">
        <v>54</v>
      </c>
      <c r="S1409" t="s">
        <v>54</v>
      </c>
      <c r="T1409" t="s">
        <v>55</v>
      </c>
      <c r="U1409">
        <v>83</v>
      </c>
      <c r="W1409" t="s">
        <v>151</v>
      </c>
      <c r="X1409" s="4">
        <v>0</v>
      </c>
      <c r="Y1409" t="s">
        <v>62</v>
      </c>
      <c r="Z1409" s="3"/>
      <c r="AE1409" s="3"/>
      <c r="AK1409" s="5"/>
    </row>
    <row r="1410" spans="1:47" hidden="1" x14ac:dyDescent="0.25">
      <c r="A1410" t="s">
        <v>63</v>
      </c>
      <c r="B1410" s="1">
        <v>0</v>
      </c>
      <c r="C1410">
        <v>0</v>
      </c>
      <c r="D1410">
        <v>506</v>
      </c>
      <c r="E1410" s="2">
        <v>0</v>
      </c>
      <c r="F1410">
        <v>0</v>
      </c>
      <c r="G1410">
        <v>500</v>
      </c>
      <c r="H1410" s="3" t="s">
        <v>54</v>
      </c>
      <c r="I1410" s="3" t="s">
        <v>59</v>
      </c>
      <c r="K1410" s="3" t="s">
        <v>80</v>
      </c>
      <c r="L1410" s="3" t="s">
        <v>73</v>
      </c>
      <c r="M1410" s="3">
        <v>45965.697071759256</v>
      </c>
      <c r="Q1410" t="s">
        <v>54</v>
      </c>
      <c r="R1410">
        <v>0</v>
      </c>
      <c r="T1410" t="s">
        <v>54</v>
      </c>
      <c r="U1410" t="s">
        <v>54</v>
      </c>
      <c r="V1410">
        <v>8535</v>
      </c>
      <c r="W1410" t="s">
        <v>55</v>
      </c>
      <c r="X1410" s="4"/>
      <c r="Z1410" s="3"/>
      <c r="AE1410" s="3"/>
      <c r="AK1410" s="5"/>
    </row>
    <row r="1411" spans="1:47" hidden="1" x14ac:dyDescent="0.25">
      <c r="A1411" t="s">
        <v>47</v>
      </c>
      <c r="B1411" s="1">
        <v>38205</v>
      </c>
      <c r="C1411" t="s">
        <v>48</v>
      </c>
      <c r="D1411" t="s">
        <v>49</v>
      </c>
      <c r="E1411" s="2">
        <v>45966</v>
      </c>
      <c r="F1411" t="s">
        <v>148</v>
      </c>
      <c r="G1411" t="s">
        <v>66</v>
      </c>
      <c r="H1411" s="3">
        <v>568.6</v>
      </c>
      <c r="I1411" s="3">
        <v>568.6</v>
      </c>
      <c r="J1411">
        <v>0</v>
      </c>
      <c r="K1411" s="3">
        <v>653.89</v>
      </c>
      <c r="L1411">
        <v>45.48</v>
      </c>
      <c r="M1411" s="3">
        <v>34.020000000000003</v>
      </c>
      <c r="N1411" t="s">
        <v>83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45.48</v>
      </c>
      <c r="AC1411">
        <v>0</v>
      </c>
      <c r="AD1411">
        <v>0</v>
      </c>
      <c r="AE1411" s="3">
        <v>20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45966.324988425928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hidden="1" x14ac:dyDescent="0.25">
      <c r="A1412" t="s">
        <v>47</v>
      </c>
      <c r="B1412" s="1">
        <v>38206</v>
      </c>
      <c r="C1412" t="s">
        <v>48</v>
      </c>
      <c r="D1412" t="s">
        <v>49</v>
      </c>
      <c r="E1412" s="2">
        <v>45966</v>
      </c>
      <c r="F1412" t="s">
        <v>148</v>
      </c>
      <c r="G1412" s="3" t="s">
        <v>66</v>
      </c>
      <c r="H1412" s="3">
        <v>2017.85</v>
      </c>
      <c r="I1412" s="3">
        <v>2017.85</v>
      </c>
      <c r="J1412">
        <v>0</v>
      </c>
      <c r="K1412" s="3">
        <v>2320.5300000000002</v>
      </c>
      <c r="L1412" s="3">
        <v>211.42</v>
      </c>
      <c r="M1412" s="3">
        <v>158.15</v>
      </c>
      <c r="N1412" t="s">
        <v>83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 s="3">
        <v>0</v>
      </c>
      <c r="AA1412">
        <v>0</v>
      </c>
      <c r="AB1412">
        <v>211.42</v>
      </c>
      <c r="AC1412">
        <v>0</v>
      </c>
      <c r="AD1412">
        <v>0</v>
      </c>
      <c r="AE1412" s="3">
        <v>55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45966.414942129632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hidden="1" x14ac:dyDescent="0.25">
      <c r="A1413" t="s">
        <v>47</v>
      </c>
      <c r="B1413" s="1">
        <v>38207</v>
      </c>
      <c r="C1413" t="s">
        <v>48</v>
      </c>
      <c r="D1413" t="s">
        <v>49</v>
      </c>
      <c r="E1413" s="2">
        <v>45966</v>
      </c>
      <c r="F1413" t="s">
        <v>148</v>
      </c>
      <c r="G1413" t="s">
        <v>66</v>
      </c>
      <c r="H1413" s="3">
        <v>6184</v>
      </c>
      <c r="I1413" s="3">
        <v>6184</v>
      </c>
      <c r="J1413">
        <v>0</v>
      </c>
      <c r="K1413" s="3">
        <v>6686.25</v>
      </c>
      <c r="L1413" s="3">
        <v>804.3</v>
      </c>
      <c r="M1413" s="3">
        <v>390.68</v>
      </c>
      <c r="N1413" t="s">
        <v>83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 s="3">
        <v>530</v>
      </c>
      <c r="AA1413">
        <v>0</v>
      </c>
      <c r="AB1413">
        <v>274.3</v>
      </c>
      <c r="AC1413">
        <v>0</v>
      </c>
      <c r="AD1413">
        <v>0</v>
      </c>
      <c r="AE1413" s="3">
        <v>1070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45966.415011574078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hidden="1" x14ac:dyDescent="0.25">
      <c r="A1414" t="s">
        <v>47</v>
      </c>
      <c r="B1414" s="1">
        <v>38208</v>
      </c>
      <c r="C1414" t="s">
        <v>48</v>
      </c>
      <c r="D1414" t="s">
        <v>49</v>
      </c>
      <c r="E1414" s="2">
        <v>45966</v>
      </c>
      <c r="F1414" t="s">
        <v>148</v>
      </c>
      <c r="G1414" s="3" t="s">
        <v>66</v>
      </c>
      <c r="H1414" s="3">
        <v>4382.1000000000004</v>
      </c>
      <c r="I1414" s="3">
        <v>4382.1000000000004</v>
      </c>
      <c r="J1414">
        <v>0</v>
      </c>
      <c r="K1414" s="3">
        <v>5039.41</v>
      </c>
      <c r="L1414" s="3">
        <v>442.22</v>
      </c>
      <c r="M1414" s="3">
        <v>330.78</v>
      </c>
      <c r="N1414" t="s">
        <v>83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 s="3">
        <v>0</v>
      </c>
      <c r="AA1414">
        <v>0</v>
      </c>
      <c r="AB1414">
        <v>442.22</v>
      </c>
      <c r="AC1414">
        <v>0</v>
      </c>
      <c r="AD1414">
        <v>0</v>
      </c>
      <c r="AE1414" s="3">
        <v>120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45966.415092592593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hidden="1" x14ac:dyDescent="0.25">
      <c r="A1415" t="s">
        <v>47</v>
      </c>
      <c r="B1415" s="1">
        <v>38209</v>
      </c>
      <c r="C1415" t="s">
        <v>48</v>
      </c>
      <c r="D1415" t="s">
        <v>49</v>
      </c>
      <c r="E1415" s="2">
        <v>45966</v>
      </c>
      <c r="F1415" t="s">
        <v>148</v>
      </c>
      <c r="G1415" t="s">
        <v>66</v>
      </c>
      <c r="H1415" s="3">
        <v>3606.3</v>
      </c>
      <c r="I1415" s="3">
        <v>3606.3</v>
      </c>
      <c r="J1415">
        <v>0</v>
      </c>
      <c r="K1415" s="3">
        <v>4147.24</v>
      </c>
      <c r="L1415" s="3">
        <v>382.18</v>
      </c>
      <c r="M1415" s="3">
        <v>285.87</v>
      </c>
      <c r="N1415" t="s">
        <v>83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 s="3">
        <v>0</v>
      </c>
      <c r="AA1415">
        <v>0</v>
      </c>
      <c r="AB1415">
        <v>382.18</v>
      </c>
      <c r="AC1415">
        <v>0</v>
      </c>
      <c r="AD1415">
        <v>0</v>
      </c>
      <c r="AE1415" s="3">
        <v>100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45966.415173611109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hidden="1" x14ac:dyDescent="0.25">
      <c r="A1416" t="s">
        <v>47</v>
      </c>
      <c r="B1416" s="1">
        <v>38210</v>
      </c>
      <c r="C1416" t="s">
        <v>48</v>
      </c>
      <c r="D1416" t="s">
        <v>49</v>
      </c>
      <c r="E1416" s="2">
        <v>45966</v>
      </c>
      <c r="F1416" t="s">
        <v>148</v>
      </c>
      <c r="G1416" t="s">
        <v>66</v>
      </c>
      <c r="H1416" s="3">
        <v>828</v>
      </c>
      <c r="I1416" s="3">
        <v>828</v>
      </c>
      <c r="J1416">
        <v>0</v>
      </c>
      <c r="K1416" s="3">
        <v>952.2</v>
      </c>
      <c r="L1416" s="3">
        <v>85.08</v>
      </c>
      <c r="M1416" s="3">
        <v>63.64</v>
      </c>
      <c r="N1416" t="s">
        <v>83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57</v>
      </c>
      <c r="X1416" s="4">
        <v>0</v>
      </c>
      <c r="Y1416" t="s">
        <v>58</v>
      </c>
      <c r="Z1416">
        <v>0</v>
      </c>
      <c r="AA1416" s="3">
        <v>0</v>
      </c>
      <c r="AB1416">
        <v>85.08</v>
      </c>
      <c r="AC1416">
        <v>0</v>
      </c>
      <c r="AD1416" s="3">
        <v>0</v>
      </c>
      <c r="AE1416" s="3">
        <v>20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45966.415254629632</v>
      </c>
      <c r="AO1416" t="s">
        <v>54</v>
      </c>
      <c r="AP1416">
        <v>0</v>
      </c>
      <c r="AR1416" t="s">
        <v>54</v>
      </c>
      <c r="AS1416" t="s">
        <v>54</v>
      </c>
      <c r="AT1416">
        <v>1009</v>
      </c>
      <c r="AU1416" t="s">
        <v>55</v>
      </c>
    </row>
    <row r="1417" spans="1:47" hidden="1" x14ac:dyDescent="0.25">
      <c r="A1417" t="s">
        <v>47</v>
      </c>
      <c r="B1417" s="1">
        <v>38211</v>
      </c>
      <c r="C1417" t="s">
        <v>48</v>
      </c>
      <c r="D1417" t="s">
        <v>49</v>
      </c>
      <c r="E1417" s="2">
        <v>45966</v>
      </c>
      <c r="F1417" t="s">
        <v>250</v>
      </c>
      <c r="G1417" t="s">
        <v>69</v>
      </c>
      <c r="H1417" s="3">
        <v>7510</v>
      </c>
      <c r="I1417" s="3">
        <v>7510</v>
      </c>
      <c r="J1417">
        <v>0</v>
      </c>
      <c r="K1417" s="3">
        <v>8636.5</v>
      </c>
      <c r="L1417" s="3">
        <v>1373</v>
      </c>
      <c r="M1417" s="3">
        <v>632.95000000000005</v>
      </c>
      <c r="N1417" t="s">
        <v>83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94</v>
      </c>
      <c r="X1417" s="4">
        <v>0</v>
      </c>
      <c r="Y1417" t="s">
        <v>58</v>
      </c>
      <c r="Z1417" s="3">
        <v>0</v>
      </c>
      <c r="AA1417" s="3">
        <v>1373</v>
      </c>
      <c r="AB1417">
        <v>0</v>
      </c>
      <c r="AC1417">
        <v>0</v>
      </c>
      <c r="AD1417" s="3">
        <v>0</v>
      </c>
      <c r="AE1417" s="3">
        <v>1000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45966.622534722221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hidden="1" x14ac:dyDescent="0.25">
      <c r="A1418" t="s">
        <v>47</v>
      </c>
      <c r="B1418" s="1">
        <v>38212</v>
      </c>
      <c r="C1418" t="s">
        <v>48</v>
      </c>
      <c r="D1418" t="s">
        <v>436</v>
      </c>
      <c r="E1418" s="2">
        <v>45967</v>
      </c>
      <c r="F1418" t="s">
        <v>148</v>
      </c>
      <c r="G1418" t="s">
        <v>66</v>
      </c>
      <c r="H1418" s="3">
        <v>5175</v>
      </c>
      <c r="I1418" s="3">
        <v>5175</v>
      </c>
      <c r="J1418">
        <v>0</v>
      </c>
      <c r="K1418" s="3">
        <v>5951.25</v>
      </c>
      <c r="L1418" s="3">
        <v>531.75</v>
      </c>
      <c r="M1418" s="3">
        <v>397.75</v>
      </c>
      <c r="N1418" t="s">
        <v>83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9</v>
      </c>
      <c r="V1418" t="s">
        <v>71</v>
      </c>
      <c r="W1418" t="s">
        <v>57</v>
      </c>
      <c r="X1418" s="4">
        <v>0</v>
      </c>
      <c r="Y1418" t="s">
        <v>58</v>
      </c>
      <c r="Z1418" s="3">
        <v>0</v>
      </c>
      <c r="AA1418">
        <v>0</v>
      </c>
      <c r="AB1418">
        <v>531.75</v>
      </c>
      <c r="AC1418">
        <v>0</v>
      </c>
      <c r="AD1418" s="3">
        <v>0</v>
      </c>
      <c r="AE1418" s="3">
        <v>125</v>
      </c>
      <c r="AF1418" t="s">
        <v>54</v>
      </c>
      <c r="AG1418" t="s">
        <v>59</v>
      </c>
      <c r="AI1418" t="s">
        <v>91</v>
      </c>
      <c r="AJ1418" t="s">
        <v>91</v>
      </c>
      <c r="AK1418" s="5">
        <v>45967.325486111113</v>
      </c>
      <c r="AO1418" t="s">
        <v>54</v>
      </c>
      <c r="AP1418">
        <v>0</v>
      </c>
      <c r="AR1418" t="s">
        <v>54</v>
      </c>
      <c r="AS1418" t="s">
        <v>54</v>
      </c>
      <c r="AT1418">
        <v>1009</v>
      </c>
      <c r="AU1418" t="s">
        <v>55</v>
      </c>
    </row>
    <row r="1419" spans="1:47" hidden="1" x14ac:dyDescent="0.25">
      <c r="A1419" t="s">
        <v>47</v>
      </c>
      <c r="B1419" s="1">
        <v>38213</v>
      </c>
      <c r="C1419" t="s">
        <v>48</v>
      </c>
      <c r="D1419" t="s">
        <v>49</v>
      </c>
      <c r="E1419" s="2">
        <v>45967</v>
      </c>
      <c r="F1419" t="s">
        <v>250</v>
      </c>
      <c r="G1419" t="s">
        <v>69</v>
      </c>
      <c r="H1419" s="3">
        <v>16380</v>
      </c>
      <c r="I1419" s="3">
        <v>16380</v>
      </c>
      <c r="J1419">
        <v>0</v>
      </c>
      <c r="K1419" s="3">
        <v>18837</v>
      </c>
      <c r="L1419" s="3">
        <v>2557</v>
      </c>
      <c r="M1419" s="3">
        <v>1329.64</v>
      </c>
      <c r="N1419" t="s">
        <v>83</v>
      </c>
      <c r="O1419" t="s">
        <v>53</v>
      </c>
      <c r="P1419" t="s">
        <v>53</v>
      </c>
      <c r="Q1419" t="s">
        <v>53</v>
      </c>
      <c r="R1419" t="s">
        <v>54</v>
      </c>
      <c r="S1419" t="s">
        <v>54</v>
      </c>
      <c r="T1419" t="s">
        <v>55</v>
      </c>
      <c r="U1419">
        <v>9</v>
      </c>
      <c r="V1419" t="s">
        <v>71</v>
      </c>
      <c r="W1419" t="s">
        <v>94</v>
      </c>
      <c r="X1419" s="4">
        <v>0</v>
      </c>
      <c r="Y1419" t="s">
        <v>58</v>
      </c>
      <c r="Z1419" s="3">
        <v>0</v>
      </c>
      <c r="AA1419" s="3">
        <v>2557</v>
      </c>
      <c r="AB1419">
        <v>0</v>
      </c>
      <c r="AC1419">
        <v>0</v>
      </c>
      <c r="AD1419">
        <v>0</v>
      </c>
      <c r="AE1419" s="3">
        <v>2000</v>
      </c>
      <c r="AF1419" t="s">
        <v>54</v>
      </c>
      <c r="AG1419" t="s">
        <v>59</v>
      </c>
      <c r="AI1419" t="s">
        <v>73</v>
      </c>
      <c r="AJ1419" t="s">
        <v>73</v>
      </c>
      <c r="AK1419" s="5">
        <v>45967.684224537035</v>
      </c>
      <c r="AO1419" t="s">
        <v>54</v>
      </c>
      <c r="AP1419">
        <v>0</v>
      </c>
      <c r="AR1419" t="s">
        <v>54</v>
      </c>
      <c r="AS1419" t="s">
        <v>54</v>
      </c>
      <c r="AT1419">
        <v>3723</v>
      </c>
      <c r="AU1419" t="s">
        <v>55</v>
      </c>
    </row>
    <row r="1420" spans="1:47" hidden="1" x14ac:dyDescent="0.25">
      <c r="A1420" t="s">
        <v>47</v>
      </c>
      <c r="B1420" s="1">
        <v>38215</v>
      </c>
      <c r="C1420" t="s">
        <v>48</v>
      </c>
      <c r="D1420" t="s">
        <v>436</v>
      </c>
      <c r="E1420" s="2">
        <v>45967</v>
      </c>
      <c r="F1420" t="s">
        <v>148</v>
      </c>
      <c r="G1420" s="3" t="s">
        <v>66</v>
      </c>
      <c r="H1420" s="3">
        <v>2327.4</v>
      </c>
      <c r="I1420" s="3">
        <v>2327.4</v>
      </c>
      <c r="J1420">
        <v>0</v>
      </c>
      <c r="K1420" s="3">
        <v>2676.51</v>
      </c>
      <c r="L1420" s="3">
        <v>180.12</v>
      </c>
      <c r="M1420" s="3">
        <v>134.72999999999999</v>
      </c>
      <c r="N1420" t="s">
        <v>83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9</v>
      </c>
      <c r="V1420" t="s">
        <v>71</v>
      </c>
      <c r="W1420" t="s">
        <v>57</v>
      </c>
      <c r="X1420" s="4">
        <v>0</v>
      </c>
      <c r="Y1420" t="s">
        <v>58</v>
      </c>
      <c r="Z1420" s="3">
        <v>0</v>
      </c>
      <c r="AA1420">
        <v>0</v>
      </c>
      <c r="AB1420">
        <v>180.12</v>
      </c>
      <c r="AC1420">
        <v>0</v>
      </c>
      <c r="AD1420">
        <v>0</v>
      </c>
      <c r="AE1420" s="3">
        <v>60</v>
      </c>
      <c r="AF1420" t="s">
        <v>54</v>
      </c>
      <c r="AG1420" t="s">
        <v>59</v>
      </c>
      <c r="AI1420" t="s">
        <v>91</v>
      </c>
      <c r="AJ1420" t="s">
        <v>91</v>
      </c>
      <c r="AK1420" s="5">
        <v>45967.498692129629</v>
      </c>
      <c r="AO1420" t="s">
        <v>54</v>
      </c>
      <c r="AP1420">
        <v>0</v>
      </c>
      <c r="AR1420" t="s">
        <v>54</v>
      </c>
      <c r="AS1420" t="s">
        <v>54</v>
      </c>
      <c r="AT1420">
        <v>1009</v>
      </c>
      <c r="AU1420" t="s">
        <v>55</v>
      </c>
    </row>
    <row r="1421" spans="1:47" hidden="1" x14ac:dyDescent="0.25">
      <c r="A1421" t="s">
        <v>47</v>
      </c>
      <c r="B1421" s="1">
        <v>38216</v>
      </c>
      <c r="C1421" t="s">
        <v>48</v>
      </c>
      <c r="D1421" t="s">
        <v>49</v>
      </c>
      <c r="E1421" s="2">
        <v>45967</v>
      </c>
      <c r="F1421" t="s">
        <v>175</v>
      </c>
      <c r="G1421" s="3" t="s">
        <v>93</v>
      </c>
      <c r="H1421" s="3">
        <v>2654</v>
      </c>
      <c r="I1421" s="3">
        <v>2654</v>
      </c>
      <c r="J1421">
        <v>0</v>
      </c>
      <c r="K1421" s="3">
        <v>3052.1</v>
      </c>
      <c r="L1421" s="3">
        <v>225.9</v>
      </c>
      <c r="M1421" s="3">
        <v>140.06</v>
      </c>
      <c r="N1421" t="s">
        <v>97</v>
      </c>
      <c r="O1421" t="s">
        <v>53</v>
      </c>
      <c r="P1421" t="s">
        <v>53</v>
      </c>
      <c r="Q1421" t="s">
        <v>53</v>
      </c>
      <c r="R1421" t="s">
        <v>54</v>
      </c>
      <c r="S1421" t="s">
        <v>54</v>
      </c>
      <c r="T1421" t="s">
        <v>55</v>
      </c>
      <c r="U1421">
        <v>167</v>
      </c>
      <c r="V1421" t="s">
        <v>98</v>
      </c>
      <c r="W1421" t="s">
        <v>106</v>
      </c>
      <c r="X1421" s="4">
        <v>0</v>
      </c>
      <c r="Y1421" t="s">
        <v>62</v>
      </c>
      <c r="Z1421" s="3"/>
      <c r="AE1421" s="3"/>
      <c r="AK1421" s="5"/>
    </row>
    <row r="1422" spans="1:47" hidden="1" x14ac:dyDescent="0.25">
      <c r="A1422" t="s">
        <v>63</v>
      </c>
      <c r="B1422" s="1">
        <v>0</v>
      </c>
      <c r="C1422">
        <v>0</v>
      </c>
      <c r="D1422">
        <v>154.4</v>
      </c>
      <c r="E1422" s="2">
        <v>0</v>
      </c>
      <c r="F1422">
        <v>71.5</v>
      </c>
      <c r="G1422">
        <v>200</v>
      </c>
      <c r="H1422" s="3" t="s">
        <v>54</v>
      </c>
      <c r="I1422" s="3" t="s">
        <v>59</v>
      </c>
      <c r="J1422" t="s">
        <v>142</v>
      </c>
      <c r="K1422" s="3" t="s">
        <v>73</v>
      </c>
      <c r="L1422" s="3" t="s">
        <v>73</v>
      </c>
      <c r="M1422" s="3">
        <v>45968.670960648145</v>
      </c>
      <c r="Q1422" t="s">
        <v>54</v>
      </c>
      <c r="R1422">
        <v>0</v>
      </c>
      <c r="T1422" t="s">
        <v>54</v>
      </c>
      <c r="U1422" t="s">
        <v>54</v>
      </c>
      <c r="V1422">
        <v>5509</v>
      </c>
      <c r="W1422" t="s">
        <v>55</v>
      </c>
      <c r="X1422" s="4"/>
      <c r="Z1422" s="3"/>
      <c r="AB1422" s="3"/>
      <c r="AE1422" s="3"/>
      <c r="AK1422" s="5"/>
    </row>
    <row r="1423" spans="1:47" hidden="1" x14ac:dyDescent="0.25">
      <c r="A1423" t="s">
        <v>47</v>
      </c>
      <c r="B1423" s="1">
        <v>38217</v>
      </c>
      <c r="C1423" t="s">
        <v>48</v>
      </c>
      <c r="D1423" t="s">
        <v>49</v>
      </c>
      <c r="E1423" s="2">
        <v>45967</v>
      </c>
      <c r="F1423" t="s">
        <v>390</v>
      </c>
      <c r="G1423" t="s">
        <v>69</v>
      </c>
      <c r="H1423" s="3">
        <v>5356</v>
      </c>
      <c r="I1423" s="3">
        <v>5356</v>
      </c>
      <c r="J1423">
        <v>0</v>
      </c>
      <c r="K1423" s="3">
        <v>6159.4</v>
      </c>
      <c r="L1423" s="3">
        <v>1014</v>
      </c>
      <c r="M1423" s="3">
        <v>372.14</v>
      </c>
      <c r="N1423" t="s">
        <v>77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83</v>
      </c>
      <c r="W1423" t="s">
        <v>72</v>
      </c>
      <c r="X1423" s="4">
        <v>0</v>
      </c>
      <c r="Y1423" t="s">
        <v>62</v>
      </c>
      <c r="Z1423" s="3"/>
      <c r="AB1423" s="3"/>
      <c r="AE1423" s="3"/>
      <c r="AK1423" s="5"/>
    </row>
    <row r="1424" spans="1:47" hidden="1" x14ac:dyDescent="0.25">
      <c r="A1424" t="s">
        <v>63</v>
      </c>
      <c r="B1424" s="3">
        <v>1014</v>
      </c>
      <c r="C1424">
        <v>0</v>
      </c>
      <c r="D1424">
        <v>0</v>
      </c>
      <c r="E1424" s="2">
        <v>0</v>
      </c>
      <c r="F1424">
        <v>0</v>
      </c>
      <c r="G1424" s="3">
        <v>2600</v>
      </c>
      <c r="H1424" s="3" t="s">
        <v>54</v>
      </c>
      <c r="I1424" s="3" t="s">
        <v>59</v>
      </c>
      <c r="J1424" t="s">
        <v>79</v>
      </c>
      <c r="K1424" s="3" t="s">
        <v>80</v>
      </c>
      <c r="L1424" s="3" t="s">
        <v>73</v>
      </c>
      <c r="M1424" s="3">
        <v>45967.660034722219</v>
      </c>
      <c r="Q1424" t="s">
        <v>54</v>
      </c>
      <c r="R1424">
        <v>0</v>
      </c>
      <c r="T1424" t="s">
        <v>54</v>
      </c>
      <c r="U1424" t="s">
        <v>54</v>
      </c>
      <c r="V1424">
        <v>8807</v>
      </c>
      <c r="W1424" t="s">
        <v>55</v>
      </c>
      <c r="X1424" s="4"/>
      <c r="Z1424" s="3"/>
      <c r="AE1424" s="3"/>
      <c r="AK1424" s="5"/>
    </row>
    <row r="1425" spans="1:47" hidden="1" x14ac:dyDescent="0.25">
      <c r="A1425" t="s">
        <v>47</v>
      </c>
      <c r="B1425" s="1">
        <v>38218</v>
      </c>
      <c r="C1425" t="s">
        <v>48</v>
      </c>
      <c r="D1425" t="s">
        <v>436</v>
      </c>
      <c r="E1425" s="2">
        <v>45967</v>
      </c>
      <c r="F1425" t="s">
        <v>127</v>
      </c>
      <c r="G1425" t="s">
        <v>128</v>
      </c>
      <c r="H1425" s="3">
        <v>1332</v>
      </c>
      <c r="I1425" s="3">
        <v>1332</v>
      </c>
      <c r="J1425">
        <v>0</v>
      </c>
      <c r="K1425" s="3">
        <v>1531.8</v>
      </c>
      <c r="L1425" s="3">
        <v>275.2</v>
      </c>
      <c r="M1425" s="3">
        <v>107.33</v>
      </c>
      <c r="N1425" t="s">
        <v>52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126</v>
      </c>
      <c r="V1425" t="s">
        <v>56</v>
      </c>
      <c r="W1425" t="s">
        <v>129</v>
      </c>
      <c r="X1425" s="4">
        <v>0</v>
      </c>
      <c r="Y1425" t="s">
        <v>62</v>
      </c>
      <c r="Z1425" s="3"/>
      <c r="AE1425" s="3"/>
      <c r="AK1425" s="5"/>
    </row>
    <row r="1426" spans="1:47" hidden="1" x14ac:dyDescent="0.25">
      <c r="A1426" t="s">
        <v>63</v>
      </c>
      <c r="B1426" s="1">
        <v>275.2</v>
      </c>
      <c r="C1426">
        <v>0</v>
      </c>
      <c r="D1426">
        <v>0</v>
      </c>
      <c r="E1426" s="2">
        <v>0</v>
      </c>
      <c r="F1426">
        <v>0</v>
      </c>
      <c r="G1426">
        <v>800</v>
      </c>
      <c r="H1426" s="3" t="s">
        <v>54</v>
      </c>
      <c r="I1426" s="3" t="s">
        <v>59</v>
      </c>
      <c r="K1426" s="3" t="s">
        <v>91</v>
      </c>
      <c r="L1426" s="3" t="s">
        <v>91</v>
      </c>
      <c r="M1426" s="3">
        <v>45967.675173611111</v>
      </c>
      <c r="Q1426" t="s">
        <v>54</v>
      </c>
      <c r="R1426">
        <v>0</v>
      </c>
      <c r="T1426" t="s">
        <v>54</v>
      </c>
      <c r="U1426" t="s">
        <v>54</v>
      </c>
      <c r="V1426">
        <v>6379</v>
      </c>
      <c r="W1426" t="s">
        <v>55</v>
      </c>
      <c r="X1426" s="4"/>
      <c r="Z1426" s="3"/>
      <c r="AB1426" s="3"/>
      <c r="AE1426" s="3"/>
      <c r="AK1426" s="5"/>
    </row>
    <row r="1427" spans="1:47" hidden="1" x14ac:dyDescent="0.25">
      <c r="A1427" t="s">
        <v>81</v>
      </c>
      <c r="B1427" s="1">
        <v>38219</v>
      </c>
      <c r="C1427" t="s">
        <v>48</v>
      </c>
      <c r="D1427" t="s">
        <v>49</v>
      </c>
      <c r="E1427" s="2">
        <v>45968</v>
      </c>
      <c r="F1427" t="s">
        <v>138</v>
      </c>
      <c r="G1427" t="s">
        <v>139</v>
      </c>
      <c r="H1427" s="3">
        <v>19605.5</v>
      </c>
      <c r="I1427" s="3">
        <v>19605.5</v>
      </c>
      <c r="J1427">
        <v>0</v>
      </c>
      <c r="K1427" s="3">
        <v>19605.5</v>
      </c>
      <c r="L1427" s="3">
        <v>5450.18</v>
      </c>
      <c r="M1427" s="3">
        <v>1771.31</v>
      </c>
      <c r="N1427" t="s">
        <v>77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83</v>
      </c>
      <c r="W1427" t="s">
        <v>198</v>
      </c>
      <c r="X1427" s="4">
        <v>0</v>
      </c>
      <c r="Y1427" t="s">
        <v>58</v>
      </c>
      <c r="Z1427" s="3">
        <v>5450.18</v>
      </c>
      <c r="AA1427">
        <v>0</v>
      </c>
      <c r="AB1427">
        <v>0</v>
      </c>
      <c r="AC1427">
        <v>0</v>
      </c>
      <c r="AD1427">
        <v>0</v>
      </c>
      <c r="AE1427" s="3">
        <v>5890</v>
      </c>
      <c r="AF1427" t="s">
        <v>54</v>
      </c>
      <c r="AG1427" t="s">
        <v>59</v>
      </c>
      <c r="AH1427" t="s">
        <v>102</v>
      </c>
      <c r="AI1427" t="s">
        <v>80</v>
      </c>
      <c r="AJ1427" t="s">
        <v>73</v>
      </c>
      <c r="AK1427" s="5">
        <v>45971.678194444445</v>
      </c>
      <c r="AO1427" t="s">
        <v>54</v>
      </c>
      <c r="AP1427">
        <v>0</v>
      </c>
      <c r="AR1427" t="s">
        <v>54</v>
      </c>
      <c r="AS1427" t="s">
        <v>54</v>
      </c>
      <c r="AT1427">
        <v>3465</v>
      </c>
      <c r="AU1427" t="s">
        <v>55</v>
      </c>
    </row>
    <row r="1428" spans="1:47" hidden="1" x14ac:dyDescent="0.25">
      <c r="A1428" t="s">
        <v>47</v>
      </c>
      <c r="B1428" s="1">
        <v>38220</v>
      </c>
      <c r="C1428" t="s">
        <v>48</v>
      </c>
      <c r="D1428" t="s">
        <v>49</v>
      </c>
      <c r="E1428" s="2">
        <v>45968</v>
      </c>
      <c r="F1428" t="s">
        <v>68</v>
      </c>
      <c r="G1428" s="3" t="s">
        <v>69</v>
      </c>
      <c r="H1428" s="3">
        <v>6801</v>
      </c>
      <c r="I1428" s="3">
        <v>6801</v>
      </c>
      <c r="J1428">
        <v>0</v>
      </c>
      <c r="K1428" s="3">
        <v>7821.15</v>
      </c>
      <c r="L1428" s="3">
        <v>951.6</v>
      </c>
      <c r="M1428" s="3">
        <v>486.77</v>
      </c>
      <c r="N1428" t="s">
        <v>70</v>
      </c>
      <c r="O1428" t="s">
        <v>53</v>
      </c>
      <c r="P1428" t="s">
        <v>53</v>
      </c>
      <c r="Q1428" t="s">
        <v>53</v>
      </c>
      <c r="R1428" t="s">
        <v>54</v>
      </c>
      <c r="S1428" t="s">
        <v>54</v>
      </c>
      <c r="T1428" t="s">
        <v>55</v>
      </c>
      <c r="U1428">
        <v>76</v>
      </c>
      <c r="V1428" t="s">
        <v>71</v>
      </c>
      <c r="W1428" t="s">
        <v>72</v>
      </c>
      <c r="X1428" s="4">
        <v>0</v>
      </c>
      <c r="Y1428" t="s">
        <v>62</v>
      </c>
      <c r="Z1428" s="3"/>
      <c r="AE1428" s="3"/>
      <c r="AK1428" s="5"/>
    </row>
    <row r="1429" spans="1:47" hidden="1" x14ac:dyDescent="0.25">
      <c r="A1429" t="s">
        <v>63</v>
      </c>
      <c r="B1429" s="1">
        <v>0</v>
      </c>
      <c r="C1429">
        <v>0</v>
      </c>
      <c r="D1429">
        <v>0</v>
      </c>
      <c r="E1429" s="2">
        <v>0</v>
      </c>
      <c r="F1429">
        <v>951.6</v>
      </c>
      <c r="G1429">
        <v>600</v>
      </c>
      <c r="H1429" s="3" t="s">
        <v>54</v>
      </c>
      <c r="I1429" s="3" t="s">
        <v>59</v>
      </c>
      <c r="K1429" s="3" t="s">
        <v>73</v>
      </c>
      <c r="L1429" s="3" t="s">
        <v>73</v>
      </c>
      <c r="M1429" s="3">
        <v>45968.633703703701</v>
      </c>
      <c r="Q1429" t="s">
        <v>54</v>
      </c>
      <c r="R1429">
        <v>0</v>
      </c>
      <c r="T1429" t="s">
        <v>54</v>
      </c>
      <c r="U1429" t="s">
        <v>54</v>
      </c>
      <c r="V1429">
        <v>139</v>
      </c>
      <c r="W1429" t="s">
        <v>55</v>
      </c>
      <c r="X1429" s="4"/>
      <c r="Z1429" s="3"/>
      <c r="AE1429" s="3"/>
      <c r="AK1429" s="5"/>
    </row>
    <row r="1430" spans="1:47" hidden="1" x14ac:dyDescent="0.25">
      <c r="A1430" t="s">
        <v>47</v>
      </c>
      <c r="B1430" s="1">
        <v>38222</v>
      </c>
      <c r="C1430" t="s">
        <v>48</v>
      </c>
      <c r="D1430" t="s">
        <v>49</v>
      </c>
      <c r="E1430" s="2">
        <v>45968</v>
      </c>
      <c r="F1430" t="s">
        <v>68</v>
      </c>
      <c r="G1430" t="s">
        <v>69</v>
      </c>
      <c r="H1430" s="3">
        <v>1910</v>
      </c>
      <c r="I1430" s="3">
        <v>1910</v>
      </c>
      <c r="J1430">
        <v>0</v>
      </c>
      <c r="K1430" s="3">
        <v>2196.5</v>
      </c>
      <c r="L1430" s="3">
        <v>410</v>
      </c>
      <c r="M1430" s="3">
        <v>127.1</v>
      </c>
      <c r="N1430" t="s">
        <v>70</v>
      </c>
      <c r="O1430" t="s">
        <v>53</v>
      </c>
      <c r="P1430" t="s">
        <v>53</v>
      </c>
      <c r="Q1430" t="s">
        <v>53</v>
      </c>
      <c r="R1430" t="s">
        <v>54</v>
      </c>
      <c r="S1430" t="s">
        <v>54</v>
      </c>
      <c r="T1430" t="s">
        <v>55</v>
      </c>
      <c r="U1430">
        <v>76</v>
      </c>
      <c r="V1430" t="s">
        <v>71</v>
      </c>
      <c r="W1430" t="s">
        <v>72</v>
      </c>
      <c r="X1430" s="4">
        <v>0</v>
      </c>
      <c r="Y1430" t="s">
        <v>62</v>
      </c>
      <c r="Z1430" s="3"/>
      <c r="AE1430" s="3"/>
      <c r="AK1430" s="5"/>
    </row>
    <row r="1431" spans="1:47" hidden="1" x14ac:dyDescent="0.25">
      <c r="A1431" t="s">
        <v>63</v>
      </c>
      <c r="B1431" s="1">
        <v>0</v>
      </c>
      <c r="C1431">
        <v>0</v>
      </c>
      <c r="D1431">
        <v>0</v>
      </c>
      <c r="E1431" s="2">
        <v>0</v>
      </c>
      <c r="F1431">
        <v>410</v>
      </c>
      <c r="G1431">
        <v>500</v>
      </c>
      <c r="H1431" s="3" t="s">
        <v>54</v>
      </c>
      <c r="I1431" s="3" t="s">
        <v>59</v>
      </c>
      <c r="K1431" s="3" t="s">
        <v>73</v>
      </c>
      <c r="L1431" s="3" t="s">
        <v>73</v>
      </c>
      <c r="M1431" s="3">
        <v>45968.63385416667</v>
      </c>
      <c r="Q1431" t="s">
        <v>54</v>
      </c>
      <c r="R1431">
        <v>0</v>
      </c>
      <c r="T1431" t="s">
        <v>54</v>
      </c>
      <c r="U1431" t="s">
        <v>54</v>
      </c>
      <c r="V1431">
        <v>139</v>
      </c>
      <c r="W1431" t="s">
        <v>55</v>
      </c>
      <c r="X1431" s="4"/>
      <c r="Z1431" s="3"/>
      <c r="AE1431" s="3"/>
      <c r="AK1431" s="5"/>
    </row>
    <row r="1432" spans="1:47" hidden="1" x14ac:dyDescent="0.25">
      <c r="A1432" t="s">
        <v>47</v>
      </c>
      <c r="B1432" s="1">
        <v>38223</v>
      </c>
      <c r="C1432" t="s">
        <v>48</v>
      </c>
      <c r="D1432" t="s">
        <v>49</v>
      </c>
      <c r="E1432" s="2">
        <v>45968</v>
      </c>
      <c r="F1432" t="s">
        <v>68</v>
      </c>
      <c r="G1432" t="s">
        <v>69</v>
      </c>
      <c r="H1432" s="3">
        <v>2393</v>
      </c>
      <c r="I1432" s="3">
        <v>2393</v>
      </c>
      <c r="J1432">
        <v>0</v>
      </c>
      <c r="K1432" s="3">
        <v>2719.64</v>
      </c>
      <c r="L1432" s="3">
        <v>505.8</v>
      </c>
      <c r="M1432" s="3">
        <v>176.03</v>
      </c>
      <c r="N1432" t="s">
        <v>70</v>
      </c>
      <c r="O1432" t="s">
        <v>53</v>
      </c>
      <c r="P1432" t="s">
        <v>53</v>
      </c>
      <c r="Q1432" t="s">
        <v>53</v>
      </c>
      <c r="R1432" t="s">
        <v>54</v>
      </c>
      <c r="S1432" t="s">
        <v>54</v>
      </c>
      <c r="T1432" t="s">
        <v>55</v>
      </c>
      <c r="U1432">
        <v>76</v>
      </c>
      <c r="V1432" t="s">
        <v>71</v>
      </c>
      <c r="W1432" t="s">
        <v>72</v>
      </c>
      <c r="X1432" s="4">
        <v>0</v>
      </c>
      <c r="Y1432" t="s">
        <v>62</v>
      </c>
      <c r="Z1432" s="3"/>
      <c r="AE1432" s="3"/>
      <c r="AK1432" s="5"/>
    </row>
    <row r="1433" spans="1:47" hidden="1" x14ac:dyDescent="0.25">
      <c r="A1433" t="s">
        <v>63</v>
      </c>
      <c r="B1433" s="1">
        <v>219.6</v>
      </c>
      <c r="C1433">
        <v>0</v>
      </c>
      <c r="D1433">
        <v>0</v>
      </c>
      <c r="E1433" s="2">
        <v>0</v>
      </c>
      <c r="F1433">
        <v>286.2</v>
      </c>
      <c r="G1433" s="3">
        <v>1000</v>
      </c>
      <c r="H1433" s="3" t="s">
        <v>54</v>
      </c>
      <c r="I1433" s="3" t="s">
        <v>59</v>
      </c>
      <c r="K1433" s="3" t="s">
        <v>73</v>
      </c>
      <c r="L1433" s="3" t="s">
        <v>73</v>
      </c>
      <c r="M1433" s="3">
        <v>45968.634027777778</v>
      </c>
      <c r="Q1433" t="s">
        <v>54</v>
      </c>
      <c r="R1433">
        <v>0</v>
      </c>
      <c r="T1433" t="s">
        <v>54</v>
      </c>
      <c r="U1433" t="s">
        <v>54</v>
      </c>
      <c r="V1433">
        <v>139</v>
      </c>
      <c r="W1433" t="s">
        <v>55</v>
      </c>
      <c r="X1433" s="4"/>
      <c r="Z1433" s="3"/>
      <c r="AB1433" s="3"/>
      <c r="AE1433" s="3"/>
      <c r="AK1433" s="5"/>
    </row>
    <row r="1434" spans="1:47" hidden="1" x14ac:dyDescent="0.25">
      <c r="A1434" t="s">
        <v>47</v>
      </c>
      <c r="B1434" s="1">
        <v>38224</v>
      </c>
      <c r="C1434" t="s">
        <v>48</v>
      </c>
      <c r="D1434" t="s">
        <v>49</v>
      </c>
      <c r="E1434" s="2">
        <v>45968</v>
      </c>
      <c r="F1434" t="s">
        <v>68</v>
      </c>
      <c r="G1434" t="s">
        <v>69</v>
      </c>
      <c r="H1434" s="3">
        <v>5532</v>
      </c>
      <c r="I1434" s="3">
        <v>5532</v>
      </c>
      <c r="J1434">
        <v>0</v>
      </c>
      <c r="K1434" s="3">
        <v>6361.8</v>
      </c>
      <c r="L1434" s="3">
        <v>808.8</v>
      </c>
      <c r="M1434" s="3">
        <v>380.58</v>
      </c>
      <c r="N1434" t="s">
        <v>70</v>
      </c>
      <c r="O1434" t="s">
        <v>53</v>
      </c>
      <c r="P1434" t="s">
        <v>53</v>
      </c>
      <c r="Q1434" t="s">
        <v>53</v>
      </c>
      <c r="R1434" t="s">
        <v>54</v>
      </c>
      <c r="S1434" t="s">
        <v>54</v>
      </c>
      <c r="T1434" t="s">
        <v>55</v>
      </c>
      <c r="U1434">
        <v>76</v>
      </c>
      <c r="V1434" t="s">
        <v>71</v>
      </c>
      <c r="W1434" t="s">
        <v>72</v>
      </c>
      <c r="X1434" s="4">
        <v>0</v>
      </c>
      <c r="Y1434" t="s">
        <v>62</v>
      </c>
      <c r="Z1434" s="3"/>
      <c r="AB1434" s="3"/>
      <c r="AE1434" s="3"/>
      <c r="AK1434" s="5"/>
    </row>
    <row r="1435" spans="1:47" hidden="1" x14ac:dyDescent="0.25">
      <c r="A1435" t="s">
        <v>63</v>
      </c>
      <c r="B1435" s="3">
        <v>0</v>
      </c>
      <c r="C1435">
        <v>0</v>
      </c>
      <c r="D1435">
        <v>0</v>
      </c>
      <c r="E1435" s="2">
        <v>0</v>
      </c>
      <c r="F1435">
        <v>808.8</v>
      </c>
      <c r="G1435" s="3">
        <v>600</v>
      </c>
      <c r="H1435" s="3" t="s">
        <v>54</v>
      </c>
      <c r="I1435" s="3" t="s">
        <v>59</v>
      </c>
      <c r="K1435" s="3" t="s">
        <v>73</v>
      </c>
      <c r="L1435" s="3" t="s">
        <v>73</v>
      </c>
      <c r="M1435" s="3">
        <v>45968.634155092594</v>
      </c>
      <c r="Q1435" t="s">
        <v>54</v>
      </c>
      <c r="R1435">
        <v>0</v>
      </c>
      <c r="T1435" t="s">
        <v>54</v>
      </c>
      <c r="U1435" t="s">
        <v>54</v>
      </c>
      <c r="V1435">
        <v>139</v>
      </c>
      <c r="W1435" t="s">
        <v>55</v>
      </c>
      <c r="X1435" s="4"/>
      <c r="Z1435" s="3"/>
      <c r="AB1435" s="3"/>
      <c r="AE1435" s="3"/>
      <c r="AK1435" s="5"/>
    </row>
    <row r="1436" spans="1:47" hidden="1" x14ac:dyDescent="0.25">
      <c r="A1436" t="s">
        <v>47</v>
      </c>
      <c r="B1436" s="1">
        <v>38225</v>
      </c>
      <c r="C1436" t="s">
        <v>48</v>
      </c>
      <c r="D1436" t="s">
        <v>49</v>
      </c>
      <c r="E1436" s="2">
        <v>45968</v>
      </c>
      <c r="F1436" t="s">
        <v>68</v>
      </c>
      <c r="G1436" t="s">
        <v>69</v>
      </c>
      <c r="H1436" s="3">
        <v>385</v>
      </c>
      <c r="I1436" s="3">
        <v>385</v>
      </c>
      <c r="J1436">
        <v>0</v>
      </c>
      <c r="K1436" s="3">
        <v>397.51</v>
      </c>
      <c r="L1436">
        <v>58.8</v>
      </c>
      <c r="M1436" s="3">
        <v>27.64</v>
      </c>
      <c r="N1436" t="s">
        <v>70</v>
      </c>
      <c r="O1436" t="s">
        <v>53</v>
      </c>
      <c r="P1436" t="s">
        <v>53</v>
      </c>
      <c r="Q1436" t="s">
        <v>53</v>
      </c>
      <c r="R1436" t="s">
        <v>54</v>
      </c>
      <c r="S1436" t="s">
        <v>54</v>
      </c>
      <c r="T1436" t="s">
        <v>55</v>
      </c>
      <c r="U1436">
        <v>76</v>
      </c>
      <c r="V1436" t="s">
        <v>71</v>
      </c>
      <c r="W1436" t="s">
        <v>72</v>
      </c>
      <c r="X1436" s="4">
        <v>0</v>
      </c>
      <c r="Y1436" t="s">
        <v>62</v>
      </c>
    </row>
    <row r="1437" spans="1:47" hidden="1" x14ac:dyDescent="0.25">
      <c r="A1437" t="s">
        <v>63</v>
      </c>
      <c r="B1437" s="1">
        <v>0</v>
      </c>
      <c r="C1437">
        <v>0</v>
      </c>
      <c r="D1437">
        <v>0</v>
      </c>
      <c r="E1437" s="2">
        <v>0</v>
      </c>
      <c r="F1437">
        <v>58.8</v>
      </c>
      <c r="G1437">
        <v>700</v>
      </c>
      <c r="H1437" s="3" t="s">
        <v>54</v>
      </c>
      <c r="I1437" s="3" t="s">
        <v>59</v>
      </c>
      <c r="K1437" s="3" t="s">
        <v>73</v>
      </c>
      <c r="L1437" s="3" t="s">
        <v>73</v>
      </c>
      <c r="M1437" s="3">
        <v>45968.634293981479</v>
      </c>
      <c r="Q1437" t="s">
        <v>54</v>
      </c>
      <c r="R1437">
        <v>0</v>
      </c>
      <c r="T1437" t="s">
        <v>54</v>
      </c>
      <c r="U1437" t="s">
        <v>54</v>
      </c>
      <c r="V1437">
        <v>139</v>
      </c>
      <c r="W1437" t="s">
        <v>55</v>
      </c>
      <c r="X1437" s="4"/>
    </row>
    <row r="1438" spans="1:47" hidden="1" x14ac:dyDescent="0.25">
      <c r="A1438" t="s">
        <v>47</v>
      </c>
      <c r="B1438" s="1">
        <v>38226</v>
      </c>
      <c r="C1438" t="s">
        <v>48</v>
      </c>
      <c r="D1438" t="s">
        <v>49</v>
      </c>
      <c r="E1438" s="2">
        <v>45968</v>
      </c>
      <c r="F1438" t="s">
        <v>68</v>
      </c>
      <c r="G1438" s="3" t="s">
        <v>69</v>
      </c>
      <c r="H1438" s="3">
        <v>385</v>
      </c>
      <c r="I1438" s="3">
        <v>385</v>
      </c>
      <c r="J1438">
        <v>0</v>
      </c>
      <c r="K1438" s="3">
        <v>397.51</v>
      </c>
      <c r="L1438" s="3">
        <v>58.8</v>
      </c>
      <c r="M1438" s="3">
        <v>27.64</v>
      </c>
      <c r="N1438" t="s">
        <v>70</v>
      </c>
      <c r="O1438" t="s">
        <v>53</v>
      </c>
      <c r="P1438" t="s">
        <v>53</v>
      </c>
      <c r="Q1438" t="s">
        <v>53</v>
      </c>
      <c r="R1438" t="s">
        <v>54</v>
      </c>
      <c r="S1438" t="s">
        <v>54</v>
      </c>
      <c r="T1438" t="s">
        <v>55</v>
      </c>
      <c r="U1438">
        <v>76</v>
      </c>
      <c r="V1438" t="s">
        <v>71</v>
      </c>
      <c r="W1438" t="s">
        <v>72</v>
      </c>
      <c r="X1438" s="4">
        <v>0</v>
      </c>
      <c r="Y1438" t="s">
        <v>62</v>
      </c>
      <c r="Z1438" s="3"/>
      <c r="AB1438" s="3"/>
      <c r="AE1438" s="3"/>
      <c r="AK1438" s="5"/>
    </row>
    <row r="1439" spans="1:47" hidden="1" x14ac:dyDescent="0.25">
      <c r="A1439" t="s">
        <v>63</v>
      </c>
      <c r="B1439" s="1">
        <v>0</v>
      </c>
      <c r="C1439">
        <v>0</v>
      </c>
      <c r="D1439">
        <v>0</v>
      </c>
      <c r="E1439" s="2">
        <v>0</v>
      </c>
      <c r="F1439">
        <v>58.8</v>
      </c>
      <c r="G1439">
        <v>700</v>
      </c>
      <c r="H1439" s="3" t="s">
        <v>54</v>
      </c>
      <c r="I1439" s="3" t="s">
        <v>59</v>
      </c>
      <c r="K1439" s="3" t="s">
        <v>73</v>
      </c>
      <c r="L1439" s="3" t="s">
        <v>73</v>
      </c>
      <c r="M1439" s="3">
        <v>45968.634421296294</v>
      </c>
      <c r="Q1439" t="s">
        <v>54</v>
      </c>
      <c r="R1439">
        <v>0</v>
      </c>
      <c r="T1439" t="s">
        <v>54</v>
      </c>
      <c r="U1439" t="s">
        <v>54</v>
      </c>
      <c r="V1439">
        <v>139</v>
      </c>
      <c r="W1439" t="s">
        <v>55</v>
      </c>
      <c r="X1439" s="4"/>
    </row>
    <row r="1440" spans="1:47" hidden="1" x14ac:dyDescent="0.25">
      <c r="A1440" t="s">
        <v>47</v>
      </c>
      <c r="B1440" s="1">
        <v>38227</v>
      </c>
      <c r="C1440" t="s">
        <v>48</v>
      </c>
      <c r="D1440" t="s">
        <v>49</v>
      </c>
      <c r="E1440" s="2">
        <v>45968</v>
      </c>
      <c r="F1440" t="s">
        <v>92</v>
      </c>
      <c r="G1440" s="3" t="s">
        <v>93</v>
      </c>
      <c r="H1440" s="3">
        <v>2304.6</v>
      </c>
      <c r="I1440" s="3">
        <v>2304.6</v>
      </c>
      <c r="J1440">
        <v>0</v>
      </c>
      <c r="K1440" s="3">
        <v>2650.29</v>
      </c>
      <c r="L1440">
        <v>97.24</v>
      </c>
      <c r="M1440" s="3">
        <v>64.37</v>
      </c>
      <c r="N1440" t="s">
        <v>83</v>
      </c>
      <c r="O1440" t="s">
        <v>53</v>
      </c>
      <c r="P1440" t="s">
        <v>53</v>
      </c>
      <c r="Q1440" t="s">
        <v>53</v>
      </c>
      <c r="R1440" t="s">
        <v>54</v>
      </c>
      <c r="S1440" t="s">
        <v>54</v>
      </c>
      <c r="T1440" t="s">
        <v>55</v>
      </c>
      <c r="U1440">
        <v>9</v>
      </c>
      <c r="V1440" t="s">
        <v>71</v>
      </c>
      <c r="W1440" t="s">
        <v>94</v>
      </c>
      <c r="X1440" s="4">
        <v>0</v>
      </c>
      <c r="Y1440" t="s">
        <v>62</v>
      </c>
    </row>
    <row r="1441" spans="1:47" hidden="1" x14ac:dyDescent="0.25">
      <c r="A1441" t="s">
        <v>63</v>
      </c>
      <c r="B1441" s="1">
        <v>0</v>
      </c>
      <c r="C1441">
        <v>0</v>
      </c>
      <c r="D1441">
        <v>97.24</v>
      </c>
      <c r="E1441" s="2">
        <v>0</v>
      </c>
      <c r="F1441">
        <v>0</v>
      </c>
      <c r="G1441">
        <v>180</v>
      </c>
      <c r="H1441" s="3" t="s">
        <v>54</v>
      </c>
      <c r="I1441" s="3" t="s">
        <v>59</v>
      </c>
      <c r="K1441" s="3" t="s">
        <v>73</v>
      </c>
      <c r="L1441" s="3" t="s">
        <v>73</v>
      </c>
      <c r="M1441" s="3">
        <v>45968.639178240737</v>
      </c>
      <c r="Q1441" t="s">
        <v>54</v>
      </c>
      <c r="R1441">
        <v>0</v>
      </c>
      <c r="T1441" t="s">
        <v>54</v>
      </c>
      <c r="U1441" t="s">
        <v>54</v>
      </c>
      <c r="V1441">
        <v>924</v>
      </c>
      <c r="W1441" t="s">
        <v>55</v>
      </c>
      <c r="X1441" s="4"/>
      <c r="AB1441" s="3"/>
      <c r="AE1441" s="3"/>
      <c r="AK1441" s="5"/>
    </row>
    <row r="1442" spans="1:47" hidden="1" x14ac:dyDescent="0.25">
      <c r="A1442" t="s">
        <v>81</v>
      </c>
      <c r="B1442" s="1">
        <v>38228</v>
      </c>
      <c r="C1442" t="s">
        <v>48</v>
      </c>
      <c r="D1442" t="s">
        <v>49</v>
      </c>
      <c r="E1442" s="2">
        <v>45971</v>
      </c>
      <c r="F1442" t="s">
        <v>361</v>
      </c>
      <c r="G1442" t="s">
        <v>362</v>
      </c>
      <c r="H1442" s="3">
        <v>67230</v>
      </c>
      <c r="I1442" s="3">
        <v>67230</v>
      </c>
      <c r="J1442">
        <v>0</v>
      </c>
      <c r="K1442" s="3">
        <v>67230</v>
      </c>
      <c r="L1442" s="3">
        <v>18900</v>
      </c>
      <c r="M1442" s="3">
        <v>6142.5</v>
      </c>
      <c r="N1442" t="s">
        <v>97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167</v>
      </c>
      <c r="V1442" t="s">
        <v>144</v>
      </c>
      <c r="W1442" t="s">
        <v>188</v>
      </c>
      <c r="X1442" s="4">
        <v>0</v>
      </c>
      <c r="Y1442" t="s">
        <v>62</v>
      </c>
      <c r="AB1442" s="3"/>
      <c r="AE1442" s="3"/>
      <c r="AK1442" s="5"/>
    </row>
    <row r="1443" spans="1:47" hidden="1" x14ac:dyDescent="0.25">
      <c r="A1443" t="s">
        <v>63</v>
      </c>
      <c r="B1443" s="3">
        <v>18900</v>
      </c>
      <c r="C1443">
        <v>0</v>
      </c>
      <c r="D1443">
        <v>0</v>
      </c>
      <c r="E1443" s="2">
        <v>0</v>
      </c>
      <c r="F1443">
        <v>0</v>
      </c>
      <c r="G1443" s="3">
        <v>27000</v>
      </c>
      <c r="H1443" s="3" t="s">
        <v>54</v>
      </c>
      <c r="I1443" s="3" t="s">
        <v>59</v>
      </c>
      <c r="K1443" s="3" t="s">
        <v>73</v>
      </c>
      <c r="L1443" s="3" t="s">
        <v>73</v>
      </c>
      <c r="M1443" s="3">
        <v>45971.419293981482</v>
      </c>
      <c r="Q1443" t="s">
        <v>54</v>
      </c>
      <c r="R1443">
        <v>0</v>
      </c>
      <c r="T1443" t="s">
        <v>54</v>
      </c>
      <c r="U1443" t="s">
        <v>54</v>
      </c>
      <c r="V1443">
        <v>7810</v>
      </c>
      <c r="W1443" t="s">
        <v>55</v>
      </c>
      <c r="X1443" s="4"/>
      <c r="AB1443" s="3"/>
      <c r="AE1443" s="3"/>
      <c r="AK1443" s="5"/>
    </row>
    <row r="1444" spans="1:47" hidden="1" x14ac:dyDescent="0.25">
      <c r="A1444" t="s">
        <v>47</v>
      </c>
      <c r="B1444" s="1">
        <v>38229</v>
      </c>
      <c r="C1444" t="s">
        <v>48</v>
      </c>
      <c r="D1444" t="s">
        <v>49</v>
      </c>
      <c r="E1444" s="2">
        <v>45971</v>
      </c>
      <c r="F1444" t="s">
        <v>391</v>
      </c>
      <c r="G1444" t="s">
        <v>51</v>
      </c>
      <c r="H1444" s="3">
        <v>26970</v>
      </c>
      <c r="I1444" s="3">
        <v>26970</v>
      </c>
      <c r="J1444">
        <v>0</v>
      </c>
      <c r="K1444" s="3">
        <v>30351</v>
      </c>
      <c r="L1444" s="3">
        <v>4348</v>
      </c>
      <c r="M1444" s="3">
        <v>1695.72</v>
      </c>
      <c r="N1444" t="s">
        <v>52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126</v>
      </c>
      <c r="V1444" t="s">
        <v>56</v>
      </c>
      <c r="W1444" t="s">
        <v>160</v>
      </c>
      <c r="X1444" s="4">
        <v>0</v>
      </c>
      <c r="Y1444" t="s">
        <v>62</v>
      </c>
      <c r="AB1444" s="3"/>
      <c r="AE1444" s="3"/>
      <c r="AK1444" s="5"/>
    </row>
    <row r="1445" spans="1:47" hidden="1" x14ac:dyDescent="0.25">
      <c r="A1445" t="s">
        <v>63</v>
      </c>
      <c r="B1445" s="3">
        <v>4348</v>
      </c>
      <c r="C1445">
        <v>0</v>
      </c>
      <c r="D1445">
        <v>0</v>
      </c>
      <c r="E1445" s="2">
        <v>0</v>
      </c>
      <c r="F1445">
        <v>0</v>
      </c>
      <c r="G1445" s="3">
        <v>10003</v>
      </c>
      <c r="H1445" s="3" t="s">
        <v>54</v>
      </c>
      <c r="I1445" s="3" t="s">
        <v>59</v>
      </c>
      <c r="K1445" s="3" t="s">
        <v>60</v>
      </c>
      <c r="L1445" s="3" t="s">
        <v>73</v>
      </c>
      <c r="M1445" s="3">
        <v>45994.637013888889</v>
      </c>
      <c r="Q1445" t="s">
        <v>54</v>
      </c>
      <c r="R1445">
        <v>0</v>
      </c>
      <c r="T1445" t="s">
        <v>54</v>
      </c>
      <c r="U1445" t="s">
        <v>54</v>
      </c>
      <c r="V1445">
        <v>8333</v>
      </c>
      <c r="W1445" t="s">
        <v>55</v>
      </c>
      <c r="X1445" s="4"/>
      <c r="AA1445" s="3"/>
      <c r="AD1445" s="3"/>
      <c r="AE1445" s="3"/>
      <c r="AK1445" s="5"/>
    </row>
    <row r="1446" spans="1:47" hidden="1" x14ac:dyDescent="0.25">
      <c r="A1446" t="s">
        <v>47</v>
      </c>
      <c r="B1446" s="1">
        <v>38230</v>
      </c>
      <c r="C1446" t="s">
        <v>48</v>
      </c>
      <c r="D1446" t="s">
        <v>49</v>
      </c>
      <c r="E1446" s="2">
        <v>45971</v>
      </c>
      <c r="F1446" t="s">
        <v>202</v>
      </c>
      <c r="G1446" t="s">
        <v>122</v>
      </c>
      <c r="H1446" s="3">
        <v>15936.39</v>
      </c>
      <c r="I1446" s="3">
        <v>15936.39</v>
      </c>
      <c r="J1446">
        <v>0</v>
      </c>
      <c r="K1446" s="3">
        <v>18326.849999999999</v>
      </c>
      <c r="L1446" s="3">
        <v>1928.16</v>
      </c>
      <c r="M1446" s="3">
        <v>1178.53</v>
      </c>
      <c r="N1446" t="s">
        <v>75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43</v>
      </c>
      <c r="W1446" t="s">
        <v>72</v>
      </c>
      <c r="X1446" s="4">
        <v>0</v>
      </c>
      <c r="Y1446" t="s">
        <v>58</v>
      </c>
      <c r="Z1446" s="3">
        <v>0</v>
      </c>
      <c r="AA1446">
        <v>0</v>
      </c>
      <c r="AB1446" s="3">
        <v>1928.16</v>
      </c>
      <c r="AC1446">
        <v>0</v>
      </c>
      <c r="AD1446">
        <v>0</v>
      </c>
      <c r="AE1446" s="3">
        <v>1587</v>
      </c>
      <c r="AF1446" t="s">
        <v>54</v>
      </c>
      <c r="AG1446" t="s">
        <v>59</v>
      </c>
      <c r="AI1446" t="s">
        <v>73</v>
      </c>
      <c r="AJ1446" t="s">
        <v>73</v>
      </c>
      <c r="AK1446" s="5">
        <v>45971.559120370373</v>
      </c>
      <c r="AO1446" t="s">
        <v>54</v>
      </c>
      <c r="AP1446">
        <v>0</v>
      </c>
      <c r="AR1446" t="s">
        <v>54</v>
      </c>
      <c r="AS1446" t="s">
        <v>54</v>
      </c>
      <c r="AT1446">
        <v>4694</v>
      </c>
      <c r="AU1446" t="s">
        <v>55</v>
      </c>
    </row>
    <row r="1447" spans="1:47" hidden="1" x14ac:dyDescent="0.25">
      <c r="A1447" t="s">
        <v>47</v>
      </c>
      <c r="B1447" s="1">
        <v>38231</v>
      </c>
      <c r="C1447" t="s">
        <v>48</v>
      </c>
      <c r="D1447" t="s">
        <v>49</v>
      </c>
      <c r="E1447" s="2">
        <v>45971</v>
      </c>
      <c r="F1447" t="s">
        <v>202</v>
      </c>
      <c r="G1447" t="s">
        <v>122</v>
      </c>
      <c r="H1447" s="3">
        <v>14460</v>
      </c>
      <c r="I1447" s="3">
        <v>14460</v>
      </c>
      <c r="J1447">
        <v>0</v>
      </c>
      <c r="K1447" s="3">
        <v>16629</v>
      </c>
      <c r="L1447" s="3">
        <v>1782</v>
      </c>
      <c r="M1447" s="3">
        <v>1069.2</v>
      </c>
      <c r="N1447" t="s">
        <v>75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43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1782</v>
      </c>
      <c r="AC1447">
        <v>0</v>
      </c>
      <c r="AD1447">
        <v>0</v>
      </c>
      <c r="AE1447" s="3">
        <v>1500</v>
      </c>
      <c r="AF1447" t="s">
        <v>54</v>
      </c>
      <c r="AG1447" t="s">
        <v>59</v>
      </c>
      <c r="AI1447" t="s">
        <v>73</v>
      </c>
      <c r="AJ1447" t="s">
        <v>73</v>
      </c>
      <c r="AK1447" s="5">
        <v>45971.573425925926</v>
      </c>
      <c r="AO1447" t="s">
        <v>54</v>
      </c>
      <c r="AP1447">
        <v>0</v>
      </c>
      <c r="AR1447" t="s">
        <v>54</v>
      </c>
      <c r="AS1447" t="s">
        <v>54</v>
      </c>
      <c r="AT1447">
        <v>4694</v>
      </c>
      <c r="AU1447" t="s">
        <v>55</v>
      </c>
    </row>
    <row r="1448" spans="1:47" hidden="1" x14ac:dyDescent="0.25">
      <c r="A1448" t="s">
        <v>81</v>
      </c>
      <c r="B1448" s="1">
        <v>38232</v>
      </c>
      <c r="C1448" t="s">
        <v>48</v>
      </c>
      <c r="D1448" t="s">
        <v>49</v>
      </c>
      <c r="E1448" s="2">
        <v>45971</v>
      </c>
      <c r="F1448" t="s">
        <v>130</v>
      </c>
      <c r="G1448" t="s">
        <v>86</v>
      </c>
      <c r="H1448" s="3">
        <v>9340</v>
      </c>
      <c r="I1448" s="3">
        <v>9340</v>
      </c>
      <c r="J1448">
        <v>0</v>
      </c>
      <c r="K1448" s="3">
        <v>9340</v>
      </c>
      <c r="L1448" s="3">
        <v>1638</v>
      </c>
      <c r="M1448" s="3">
        <v>941.85</v>
      </c>
      <c r="N1448" t="s">
        <v>77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83</v>
      </c>
      <c r="V1448" t="s">
        <v>56</v>
      </c>
      <c r="W1448" t="s">
        <v>113</v>
      </c>
      <c r="X1448" s="4">
        <v>0</v>
      </c>
      <c r="Y1448" t="s">
        <v>58</v>
      </c>
      <c r="Z1448">
        <v>0</v>
      </c>
      <c r="AA1448">
        <v>0</v>
      </c>
      <c r="AB1448" s="3">
        <v>1638</v>
      </c>
      <c r="AC1448">
        <v>0</v>
      </c>
      <c r="AD1448" s="3">
        <v>0</v>
      </c>
      <c r="AE1448" s="3">
        <v>1000</v>
      </c>
      <c r="AF1448" t="s">
        <v>54</v>
      </c>
      <c r="AG1448" t="s">
        <v>59</v>
      </c>
      <c r="AI1448" t="s">
        <v>80</v>
      </c>
      <c r="AJ1448" t="s">
        <v>73</v>
      </c>
      <c r="AK1448" s="5">
        <v>45971.678333333337</v>
      </c>
      <c r="AO1448" t="s">
        <v>54</v>
      </c>
      <c r="AP1448">
        <v>0</v>
      </c>
      <c r="AR1448" t="s">
        <v>54</v>
      </c>
      <c r="AS1448" t="s">
        <v>54</v>
      </c>
      <c r="AT1448">
        <v>5289</v>
      </c>
      <c r="AU1448" t="s">
        <v>55</v>
      </c>
    </row>
    <row r="1449" spans="1:47" hidden="1" x14ac:dyDescent="0.25">
      <c r="A1449" t="s">
        <v>81</v>
      </c>
      <c r="B1449" s="1">
        <v>38233</v>
      </c>
      <c r="C1449" t="s">
        <v>48</v>
      </c>
      <c r="D1449" s="3" t="s">
        <v>49</v>
      </c>
      <c r="E1449" s="2">
        <v>45971</v>
      </c>
      <c r="F1449" t="s">
        <v>130</v>
      </c>
      <c r="G1449" t="s">
        <v>86</v>
      </c>
      <c r="H1449" s="3">
        <v>9340</v>
      </c>
      <c r="I1449" s="3">
        <v>9340</v>
      </c>
      <c r="J1449">
        <v>0</v>
      </c>
      <c r="K1449" s="3">
        <v>9340</v>
      </c>
      <c r="L1449" s="3">
        <v>1638</v>
      </c>
      <c r="M1449" s="3">
        <v>941.85</v>
      </c>
      <c r="N1449" t="s">
        <v>77</v>
      </c>
      <c r="O1449" t="s">
        <v>53</v>
      </c>
      <c r="P1449" t="s">
        <v>53</v>
      </c>
      <c r="Q1449" t="s">
        <v>53</v>
      </c>
      <c r="R1449" t="s">
        <v>54</v>
      </c>
      <c r="S1449" t="s">
        <v>54</v>
      </c>
      <c r="T1449" t="s">
        <v>55</v>
      </c>
      <c r="U1449">
        <v>83</v>
      </c>
      <c r="V1449" t="s">
        <v>56</v>
      </c>
      <c r="W1449" t="s">
        <v>113</v>
      </c>
      <c r="X1449" s="4">
        <v>0</v>
      </c>
      <c r="Y1449" t="s">
        <v>58</v>
      </c>
      <c r="Z1449">
        <v>0</v>
      </c>
      <c r="AA1449">
        <v>0</v>
      </c>
      <c r="AB1449" s="3">
        <v>1638</v>
      </c>
      <c r="AC1449">
        <v>0</v>
      </c>
      <c r="AD1449" s="3">
        <v>0</v>
      </c>
      <c r="AE1449" s="3">
        <v>1000</v>
      </c>
      <c r="AF1449" t="s">
        <v>54</v>
      </c>
      <c r="AG1449" t="s">
        <v>59</v>
      </c>
      <c r="AI1449" t="s">
        <v>80</v>
      </c>
      <c r="AJ1449" t="s">
        <v>73</v>
      </c>
      <c r="AK1449" s="5">
        <v>45971.678530092591</v>
      </c>
      <c r="AO1449" t="s">
        <v>54</v>
      </c>
      <c r="AP1449">
        <v>0</v>
      </c>
      <c r="AR1449" t="s">
        <v>54</v>
      </c>
      <c r="AS1449" t="s">
        <v>54</v>
      </c>
      <c r="AT1449">
        <v>5289</v>
      </c>
      <c r="AU1449" t="s">
        <v>55</v>
      </c>
    </row>
    <row r="1450" spans="1:47" hidden="1" x14ac:dyDescent="0.25">
      <c r="A1450" t="s">
        <v>47</v>
      </c>
      <c r="B1450" s="1">
        <v>38235</v>
      </c>
      <c r="C1450" t="s">
        <v>48</v>
      </c>
      <c r="D1450" t="s">
        <v>49</v>
      </c>
      <c r="E1450" s="2">
        <v>45972</v>
      </c>
      <c r="F1450" s="3" t="s">
        <v>131</v>
      </c>
      <c r="G1450" s="3" t="s">
        <v>88</v>
      </c>
      <c r="H1450" s="3">
        <v>10630</v>
      </c>
      <c r="I1450" s="3">
        <v>10630</v>
      </c>
      <c r="J1450">
        <v>0</v>
      </c>
      <c r="K1450" s="3">
        <v>12224.5</v>
      </c>
      <c r="L1450" s="3">
        <v>1685</v>
      </c>
      <c r="M1450" s="3">
        <v>876.2</v>
      </c>
      <c r="N1450" t="s">
        <v>52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126</v>
      </c>
      <c r="V1450" t="s">
        <v>56</v>
      </c>
      <c r="W1450" t="s">
        <v>132</v>
      </c>
      <c r="X1450" s="4">
        <v>0</v>
      </c>
      <c r="Y1450" t="s">
        <v>58</v>
      </c>
      <c r="Z1450">
        <v>0</v>
      </c>
      <c r="AA1450">
        <v>0</v>
      </c>
      <c r="AB1450" s="3">
        <v>0</v>
      </c>
      <c r="AC1450">
        <v>0</v>
      </c>
      <c r="AD1450" s="3">
        <v>1685</v>
      </c>
      <c r="AE1450" s="3">
        <v>1000</v>
      </c>
      <c r="AF1450" t="s">
        <v>54</v>
      </c>
      <c r="AG1450" t="s">
        <v>59</v>
      </c>
      <c r="AI1450" t="s">
        <v>91</v>
      </c>
      <c r="AJ1450" t="s">
        <v>91</v>
      </c>
      <c r="AK1450" s="5">
        <v>45972.591249999998</v>
      </c>
      <c r="AO1450" t="s">
        <v>54</v>
      </c>
      <c r="AP1450">
        <v>0</v>
      </c>
      <c r="AR1450" t="s">
        <v>54</v>
      </c>
      <c r="AS1450" t="s">
        <v>54</v>
      </c>
      <c r="AT1450">
        <v>6130</v>
      </c>
      <c r="AU1450" t="s">
        <v>55</v>
      </c>
    </row>
    <row r="1451" spans="1:47" hidden="1" x14ac:dyDescent="0.25">
      <c r="A1451" t="s">
        <v>95</v>
      </c>
      <c r="B1451" s="1">
        <v>38236</v>
      </c>
      <c r="C1451" t="s">
        <v>48</v>
      </c>
      <c r="D1451" s="3" t="s">
        <v>49</v>
      </c>
      <c r="E1451" s="2">
        <v>45972</v>
      </c>
      <c r="F1451" t="s">
        <v>283</v>
      </c>
      <c r="G1451" s="3" t="s">
        <v>213</v>
      </c>
      <c r="H1451" s="3">
        <v>10536</v>
      </c>
      <c r="I1451" s="3">
        <v>10536</v>
      </c>
      <c r="J1451">
        <v>0</v>
      </c>
      <c r="K1451" s="3">
        <v>10536</v>
      </c>
      <c r="L1451" s="3">
        <v>2190</v>
      </c>
      <c r="M1451" s="3">
        <v>854.1</v>
      </c>
      <c r="N1451" t="s">
        <v>97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167</v>
      </c>
      <c r="V1451" t="s">
        <v>144</v>
      </c>
      <c r="W1451" t="s">
        <v>284</v>
      </c>
      <c r="X1451" s="4">
        <v>0</v>
      </c>
      <c r="Y1451" t="s">
        <v>58</v>
      </c>
      <c r="Z1451" s="3">
        <v>2190</v>
      </c>
      <c r="AA1451" s="3">
        <v>0</v>
      </c>
      <c r="AB1451">
        <v>0</v>
      </c>
      <c r="AC1451">
        <v>0</v>
      </c>
      <c r="AD1451">
        <v>0</v>
      </c>
      <c r="AE1451" s="3">
        <v>6000</v>
      </c>
      <c r="AF1451" t="s">
        <v>54</v>
      </c>
      <c r="AG1451" t="s">
        <v>59</v>
      </c>
      <c r="AI1451" t="s">
        <v>91</v>
      </c>
      <c r="AJ1451" t="s">
        <v>91</v>
      </c>
      <c r="AK1451" s="5">
        <v>45972.601574074077</v>
      </c>
      <c r="AO1451" t="s">
        <v>54</v>
      </c>
      <c r="AP1451">
        <v>0</v>
      </c>
      <c r="AR1451" t="s">
        <v>54</v>
      </c>
      <c r="AS1451" t="s">
        <v>54</v>
      </c>
      <c r="AT1451">
        <v>5017</v>
      </c>
      <c r="AU1451" t="s">
        <v>55</v>
      </c>
    </row>
    <row r="1452" spans="1:47" hidden="1" x14ac:dyDescent="0.25">
      <c r="A1452" t="s">
        <v>47</v>
      </c>
      <c r="B1452" s="1">
        <v>38237</v>
      </c>
      <c r="C1452" t="s">
        <v>48</v>
      </c>
      <c r="D1452" t="s">
        <v>49</v>
      </c>
      <c r="E1452" s="2">
        <v>45972</v>
      </c>
      <c r="F1452" t="s">
        <v>278</v>
      </c>
      <c r="G1452" s="3" t="s">
        <v>51</v>
      </c>
      <c r="H1452" s="3">
        <v>7490</v>
      </c>
      <c r="I1452" s="3">
        <v>7490</v>
      </c>
      <c r="J1452">
        <v>0</v>
      </c>
      <c r="K1452" s="3">
        <v>7490</v>
      </c>
      <c r="L1452" s="3">
        <v>882</v>
      </c>
      <c r="M1452" s="3">
        <v>659.74</v>
      </c>
      <c r="N1452" t="s">
        <v>52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126</v>
      </c>
      <c r="V1452" t="s">
        <v>56</v>
      </c>
      <c r="W1452" t="s">
        <v>72</v>
      </c>
      <c r="X1452" s="4">
        <v>0</v>
      </c>
      <c r="Y1452" t="s">
        <v>58</v>
      </c>
      <c r="Z1452">
        <v>0</v>
      </c>
      <c r="AA1452">
        <v>0</v>
      </c>
      <c r="AB1452" s="3">
        <v>882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60</v>
      </c>
      <c r="AJ1452" t="s">
        <v>60</v>
      </c>
      <c r="AK1452" s="5">
        <v>45982.697696759256</v>
      </c>
      <c r="AO1452" t="s">
        <v>54</v>
      </c>
      <c r="AP1452">
        <v>0</v>
      </c>
      <c r="AR1452" t="s">
        <v>54</v>
      </c>
      <c r="AS1452" t="s">
        <v>54</v>
      </c>
      <c r="AT1452">
        <v>6418</v>
      </c>
      <c r="AU1452" t="s">
        <v>55</v>
      </c>
    </row>
    <row r="1453" spans="1:47" hidden="1" x14ac:dyDescent="0.25">
      <c r="A1453" t="s">
        <v>47</v>
      </c>
      <c r="B1453" s="1">
        <v>38238</v>
      </c>
      <c r="C1453" t="s">
        <v>48</v>
      </c>
      <c r="D1453" t="s">
        <v>49</v>
      </c>
      <c r="E1453" s="2">
        <v>45973</v>
      </c>
      <c r="F1453" t="s">
        <v>74</v>
      </c>
      <c r="G1453" t="s">
        <v>51</v>
      </c>
      <c r="H1453" s="3">
        <v>9907</v>
      </c>
      <c r="I1453" s="3">
        <v>9907</v>
      </c>
      <c r="J1453">
        <v>0</v>
      </c>
      <c r="K1453" s="3">
        <v>11393.05</v>
      </c>
      <c r="L1453" s="3">
        <v>1065.2</v>
      </c>
      <c r="M1453" s="3">
        <v>660.42</v>
      </c>
      <c r="N1453" t="s">
        <v>75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43</v>
      </c>
      <c r="W1453" t="s">
        <v>72</v>
      </c>
      <c r="X1453" s="4">
        <v>0</v>
      </c>
      <c r="Y1453" t="s">
        <v>392</v>
      </c>
    </row>
    <row r="1454" spans="1:47" hidden="1" x14ac:dyDescent="0.25">
      <c r="A1454" t="s">
        <v>197</v>
      </c>
      <c r="B1454" s="1">
        <v>0</v>
      </c>
      <c r="C1454">
        <v>0</v>
      </c>
      <c r="D1454" s="3">
        <v>1065.2</v>
      </c>
      <c r="E1454" s="2">
        <v>0</v>
      </c>
      <c r="F1454" s="3">
        <v>0</v>
      </c>
      <c r="G1454">
        <v>700</v>
      </c>
      <c r="H1454" s="3" t="s">
        <v>54</v>
      </c>
      <c r="I1454" s="3" t="s">
        <v>59</v>
      </c>
      <c r="K1454" s="3" t="s">
        <v>91</v>
      </c>
      <c r="L1454" s="3" t="s">
        <v>91</v>
      </c>
      <c r="M1454" s="3">
        <v>45973.387546296297</v>
      </c>
      <c r="Q1454" t="s">
        <v>54</v>
      </c>
      <c r="R1454">
        <v>0</v>
      </c>
      <c r="T1454" t="s">
        <v>54</v>
      </c>
      <c r="U1454" t="s">
        <v>54</v>
      </c>
      <c r="V1454">
        <v>8469</v>
      </c>
      <c r="W1454" t="s">
        <v>55</v>
      </c>
      <c r="X1454" s="4"/>
      <c r="Z1454" s="3"/>
      <c r="AE1454" s="3"/>
      <c r="AK1454" s="5"/>
    </row>
    <row r="1455" spans="1:47" hidden="1" x14ac:dyDescent="0.25">
      <c r="A1455" t="s">
        <v>81</v>
      </c>
      <c r="B1455" s="1">
        <v>38239</v>
      </c>
      <c r="C1455" t="s">
        <v>48</v>
      </c>
      <c r="D1455" t="s">
        <v>49</v>
      </c>
      <c r="E1455" s="2">
        <v>45973</v>
      </c>
      <c r="F1455" t="s">
        <v>130</v>
      </c>
      <c r="G1455" t="s">
        <v>86</v>
      </c>
      <c r="H1455" s="3">
        <v>9340</v>
      </c>
      <c r="I1455" s="3">
        <v>9340</v>
      </c>
      <c r="J1455">
        <v>0</v>
      </c>
      <c r="K1455" s="3">
        <v>9340</v>
      </c>
      <c r="L1455" s="3">
        <v>1638</v>
      </c>
      <c r="M1455" s="3">
        <v>941.85</v>
      </c>
      <c r="N1455" t="s">
        <v>77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83</v>
      </c>
      <c r="V1455" t="s">
        <v>56</v>
      </c>
      <c r="W1455" t="s">
        <v>113</v>
      </c>
      <c r="X1455" s="4">
        <v>0</v>
      </c>
      <c r="Y1455" t="s">
        <v>58</v>
      </c>
      <c r="Z1455">
        <v>0</v>
      </c>
      <c r="AA1455">
        <v>0</v>
      </c>
      <c r="AB1455" s="3">
        <v>1638</v>
      </c>
      <c r="AC1455">
        <v>0</v>
      </c>
      <c r="AD1455">
        <v>0</v>
      </c>
      <c r="AE1455" s="3">
        <v>1000</v>
      </c>
      <c r="AF1455" t="s">
        <v>54</v>
      </c>
      <c r="AG1455" t="s">
        <v>59</v>
      </c>
      <c r="AI1455" t="s">
        <v>80</v>
      </c>
      <c r="AJ1455" t="s">
        <v>73</v>
      </c>
      <c r="AK1455" s="5">
        <v>45973.441041666665</v>
      </c>
      <c r="AO1455" t="s">
        <v>54</v>
      </c>
      <c r="AP1455">
        <v>0</v>
      </c>
      <c r="AR1455" t="s">
        <v>54</v>
      </c>
      <c r="AS1455" t="s">
        <v>54</v>
      </c>
      <c r="AT1455">
        <v>5289</v>
      </c>
      <c r="AU1455" t="s">
        <v>55</v>
      </c>
    </row>
    <row r="1456" spans="1:47" hidden="1" x14ac:dyDescent="0.25">
      <c r="A1456" t="s">
        <v>47</v>
      </c>
      <c r="B1456" s="1">
        <v>38240</v>
      </c>
      <c r="C1456" t="s">
        <v>48</v>
      </c>
      <c r="D1456" t="s">
        <v>49</v>
      </c>
      <c r="E1456" s="2">
        <v>45973</v>
      </c>
      <c r="F1456" t="s">
        <v>250</v>
      </c>
      <c r="G1456" s="3" t="s">
        <v>69</v>
      </c>
      <c r="H1456" s="3">
        <v>8980</v>
      </c>
      <c r="I1456" s="3">
        <v>8980</v>
      </c>
      <c r="J1456">
        <v>0</v>
      </c>
      <c r="K1456" s="3">
        <v>10327</v>
      </c>
      <c r="L1456" s="3">
        <v>1590</v>
      </c>
      <c r="M1456" s="3">
        <v>732.99</v>
      </c>
      <c r="N1456" t="s">
        <v>83</v>
      </c>
      <c r="O1456" t="s">
        <v>53</v>
      </c>
      <c r="P1456" t="s">
        <v>53</v>
      </c>
      <c r="Q1456" t="s">
        <v>53</v>
      </c>
      <c r="R1456" t="s">
        <v>54</v>
      </c>
      <c r="S1456" t="s">
        <v>54</v>
      </c>
      <c r="T1456" t="s">
        <v>55</v>
      </c>
      <c r="U1456">
        <v>9</v>
      </c>
      <c r="V1456" t="s">
        <v>71</v>
      </c>
      <c r="W1456" t="s">
        <v>94</v>
      </c>
      <c r="X1456" s="4">
        <v>0</v>
      </c>
      <c r="Y1456" t="s">
        <v>58</v>
      </c>
      <c r="Z1456">
        <v>0</v>
      </c>
      <c r="AA1456" s="3">
        <v>1590</v>
      </c>
      <c r="AB1456">
        <v>0</v>
      </c>
      <c r="AC1456">
        <v>0</v>
      </c>
      <c r="AD1456">
        <v>0</v>
      </c>
      <c r="AE1456" s="3">
        <v>2000</v>
      </c>
      <c r="AF1456" t="s">
        <v>54</v>
      </c>
      <c r="AG1456" t="s">
        <v>59</v>
      </c>
      <c r="AI1456" t="s">
        <v>73</v>
      </c>
      <c r="AJ1456" t="s">
        <v>73</v>
      </c>
      <c r="AK1456" s="5">
        <v>45973.543888888889</v>
      </c>
      <c r="AO1456" t="s">
        <v>54</v>
      </c>
      <c r="AP1456">
        <v>0</v>
      </c>
      <c r="AR1456" t="s">
        <v>54</v>
      </c>
      <c r="AS1456" t="s">
        <v>54</v>
      </c>
      <c r="AT1456">
        <v>3723</v>
      </c>
      <c r="AU1456" t="s">
        <v>55</v>
      </c>
    </row>
    <row r="1457" spans="1:47" hidden="1" x14ac:dyDescent="0.25">
      <c r="A1457" t="s">
        <v>81</v>
      </c>
      <c r="B1457" s="1">
        <v>38241</v>
      </c>
      <c r="C1457" t="s">
        <v>48</v>
      </c>
      <c r="D1457" t="s">
        <v>49</v>
      </c>
      <c r="E1457" s="2">
        <v>45973</v>
      </c>
      <c r="F1457" t="s">
        <v>130</v>
      </c>
      <c r="G1457" t="s">
        <v>86</v>
      </c>
      <c r="H1457" s="3">
        <v>7530</v>
      </c>
      <c r="I1457" s="3">
        <v>7530</v>
      </c>
      <c r="J1457">
        <v>0</v>
      </c>
      <c r="K1457" s="3">
        <v>7530</v>
      </c>
      <c r="L1457" s="3">
        <v>1322</v>
      </c>
      <c r="M1457" s="3">
        <v>760.15</v>
      </c>
      <c r="N1457" t="s">
        <v>77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83</v>
      </c>
      <c r="V1457" t="s">
        <v>56</v>
      </c>
      <c r="W1457" t="s">
        <v>113</v>
      </c>
      <c r="X1457" s="4">
        <v>0</v>
      </c>
      <c r="Y1457" t="s">
        <v>58</v>
      </c>
      <c r="Z1457" s="3">
        <v>0</v>
      </c>
      <c r="AA1457">
        <v>0</v>
      </c>
      <c r="AB1457" s="3">
        <v>1322</v>
      </c>
      <c r="AC1457">
        <v>0</v>
      </c>
      <c r="AD1457">
        <v>0</v>
      </c>
      <c r="AE1457" s="3">
        <v>1000</v>
      </c>
      <c r="AF1457" t="s">
        <v>54</v>
      </c>
      <c r="AG1457" t="s">
        <v>59</v>
      </c>
      <c r="AI1457" t="s">
        <v>80</v>
      </c>
      <c r="AJ1457" t="s">
        <v>73</v>
      </c>
      <c r="AK1457" s="5">
        <v>45973.441192129627</v>
      </c>
      <c r="AO1457" t="s">
        <v>54</v>
      </c>
      <c r="AP1457">
        <v>0</v>
      </c>
      <c r="AR1457" t="s">
        <v>54</v>
      </c>
      <c r="AS1457" t="s">
        <v>54</v>
      </c>
      <c r="AT1457">
        <v>5289</v>
      </c>
      <c r="AU1457" t="s">
        <v>55</v>
      </c>
    </row>
    <row r="1458" spans="1:47" hidden="1" x14ac:dyDescent="0.25">
      <c r="A1458" t="s">
        <v>47</v>
      </c>
      <c r="B1458" s="1">
        <v>38242</v>
      </c>
      <c r="C1458" t="s">
        <v>48</v>
      </c>
      <c r="D1458" t="s">
        <v>49</v>
      </c>
      <c r="E1458" s="2">
        <v>45973</v>
      </c>
      <c r="F1458" t="s">
        <v>175</v>
      </c>
      <c r="G1458" s="3" t="s">
        <v>93</v>
      </c>
      <c r="H1458" s="3">
        <v>2612</v>
      </c>
      <c r="I1458" s="3">
        <v>2612</v>
      </c>
      <c r="J1458">
        <v>0</v>
      </c>
      <c r="K1458" s="3">
        <v>3003.8</v>
      </c>
      <c r="L1458" s="3">
        <v>223.3</v>
      </c>
      <c r="M1458" s="3">
        <v>138.44999999999999</v>
      </c>
      <c r="N1458" t="s">
        <v>97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167</v>
      </c>
      <c r="V1458" t="s">
        <v>98</v>
      </c>
      <c r="W1458" t="s">
        <v>106</v>
      </c>
      <c r="X1458" s="4">
        <v>0</v>
      </c>
      <c r="Y1458" t="s">
        <v>62</v>
      </c>
      <c r="Z1458" s="3"/>
      <c r="AB1458" s="3"/>
      <c r="AE1458" s="3"/>
      <c r="AK1458" s="5"/>
    </row>
    <row r="1459" spans="1:47" hidden="1" x14ac:dyDescent="0.25">
      <c r="A1459" t="s">
        <v>63</v>
      </c>
      <c r="B1459" s="1">
        <v>0</v>
      </c>
      <c r="C1459">
        <v>0</v>
      </c>
      <c r="D1459" s="3">
        <v>223.3</v>
      </c>
      <c r="E1459" s="2">
        <v>0</v>
      </c>
      <c r="F1459">
        <v>0</v>
      </c>
      <c r="G1459" s="3">
        <v>100</v>
      </c>
      <c r="H1459" s="3" t="s">
        <v>54</v>
      </c>
      <c r="I1459" s="3" t="s">
        <v>59</v>
      </c>
      <c r="J1459" t="s">
        <v>142</v>
      </c>
      <c r="K1459" s="3" t="s">
        <v>73</v>
      </c>
      <c r="L1459" s="3" t="s">
        <v>73</v>
      </c>
      <c r="M1459" s="3">
        <v>45973.439166666663</v>
      </c>
      <c r="Q1459" t="s">
        <v>54</v>
      </c>
      <c r="R1459">
        <v>0</v>
      </c>
      <c r="T1459" t="s">
        <v>54</v>
      </c>
      <c r="U1459" t="s">
        <v>54</v>
      </c>
      <c r="V1459">
        <v>5509</v>
      </c>
      <c r="W1459" t="s">
        <v>55</v>
      </c>
      <c r="X1459" s="4"/>
      <c r="Z1459" s="3"/>
      <c r="AD1459" s="3"/>
      <c r="AE1459" s="3"/>
      <c r="AK1459" s="5"/>
    </row>
    <row r="1460" spans="1:47" hidden="1" x14ac:dyDescent="0.25">
      <c r="A1460" t="s">
        <v>47</v>
      </c>
      <c r="B1460" s="1">
        <v>38244</v>
      </c>
      <c r="C1460" t="s">
        <v>48</v>
      </c>
      <c r="D1460" t="s">
        <v>49</v>
      </c>
      <c r="E1460" s="2">
        <v>45973</v>
      </c>
      <c r="F1460" t="s">
        <v>393</v>
      </c>
      <c r="G1460" s="3" t="s">
        <v>93</v>
      </c>
      <c r="H1460" s="3">
        <v>296.60000000000002</v>
      </c>
      <c r="I1460" s="3">
        <v>296.60000000000002</v>
      </c>
      <c r="J1460">
        <v>0</v>
      </c>
      <c r="K1460" s="3">
        <v>341.09</v>
      </c>
      <c r="L1460">
        <v>26.74</v>
      </c>
      <c r="M1460" s="3">
        <v>9.81</v>
      </c>
      <c r="N1460" t="s">
        <v>97</v>
      </c>
      <c r="O1460" t="s">
        <v>53</v>
      </c>
      <c r="P1460" t="s">
        <v>53</v>
      </c>
      <c r="Q1460" t="s">
        <v>53</v>
      </c>
      <c r="R1460" t="s">
        <v>54</v>
      </c>
      <c r="S1460" t="s">
        <v>54</v>
      </c>
      <c r="T1460" t="s">
        <v>55</v>
      </c>
      <c r="U1460">
        <v>167</v>
      </c>
      <c r="V1460" t="s">
        <v>144</v>
      </c>
      <c r="W1460" t="s">
        <v>113</v>
      </c>
      <c r="X1460" s="4">
        <v>0</v>
      </c>
      <c r="Y1460" t="s">
        <v>62</v>
      </c>
      <c r="AK1460" s="5"/>
    </row>
    <row r="1461" spans="1:47" hidden="1" x14ac:dyDescent="0.25">
      <c r="A1461" t="s">
        <v>63</v>
      </c>
      <c r="B1461" s="1">
        <v>26.74</v>
      </c>
      <c r="C1461">
        <v>0</v>
      </c>
      <c r="D1461">
        <v>0</v>
      </c>
      <c r="E1461" s="2">
        <v>0</v>
      </c>
      <c r="F1461">
        <v>0</v>
      </c>
      <c r="G1461">
        <v>100</v>
      </c>
      <c r="H1461" s="3" t="s">
        <v>54</v>
      </c>
      <c r="I1461" s="3" t="s">
        <v>59</v>
      </c>
      <c r="K1461" s="3" t="s">
        <v>73</v>
      </c>
      <c r="L1461" s="3" t="s">
        <v>73</v>
      </c>
      <c r="M1461" s="3">
        <v>45973.456712962965</v>
      </c>
      <c r="Q1461" t="s">
        <v>54</v>
      </c>
      <c r="R1461">
        <v>0</v>
      </c>
      <c r="T1461" t="s">
        <v>54</v>
      </c>
      <c r="U1461" t="s">
        <v>54</v>
      </c>
      <c r="V1461">
        <v>8629</v>
      </c>
      <c r="W1461" t="s">
        <v>55</v>
      </c>
      <c r="X1461" s="4"/>
    </row>
    <row r="1462" spans="1:47" hidden="1" x14ac:dyDescent="0.25">
      <c r="A1462" t="s">
        <v>81</v>
      </c>
      <c r="B1462" s="1">
        <v>38247</v>
      </c>
      <c r="C1462" t="s">
        <v>48</v>
      </c>
      <c r="D1462" t="s">
        <v>49</v>
      </c>
      <c r="E1462" s="2">
        <v>45973</v>
      </c>
      <c r="F1462" t="s">
        <v>154</v>
      </c>
      <c r="G1462" s="3" t="s">
        <v>155</v>
      </c>
      <c r="H1462" s="3">
        <v>10878</v>
      </c>
      <c r="I1462" s="3">
        <v>10878</v>
      </c>
      <c r="J1462">
        <v>0</v>
      </c>
      <c r="K1462" s="3">
        <v>10878</v>
      </c>
      <c r="L1462" s="3">
        <v>2248.15</v>
      </c>
      <c r="M1462" s="3">
        <v>876.78</v>
      </c>
      <c r="N1462" t="s">
        <v>97</v>
      </c>
      <c r="O1462" t="s">
        <v>53</v>
      </c>
      <c r="P1462" t="s">
        <v>53</v>
      </c>
      <c r="Q1462" t="s">
        <v>53</v>
      </c>
      <c r="R1462" t="s">
        <v>54</v>
      </c>
      <c r="S1462" t="s">
        <v>54</v>
      </c>
      <c r="T1462" t="s">
        <v>55</v>
      </c>
      <c r="U1462">
        <v>167</v>
      </c>
      <c r="V1462" t="s">
        <v>98</v>
      </c>
      <c r="W1462" t="s">
        <v>132</v>
      </c>
      <c r="X1462" s="4">
        <v>0</v>
      </c>
      <c r="Y1462" t="s">
        <v>197</v>
      </c>
      <c r="Z1462" s="3">
        <v>2248.15</v>
      </c>
      <c r="AA1462">
        <v>0</v>
      </c>
      <c r="AB1462">
        <v>0</v>
      </c>
      <c r="AC1462">
        <v>0</v>
      </c>
      <c r="AD1462">
        <v>0</v>
      </c>
      <c r="AE1462" s="3">
        <v>1050</v>
      </c>
      <c r="AF1462" t="s">
        <v>54</v>
      </c>
      <c r="AG1462" t="s">
        <v>59</v>
      </c>
      <c r="AI1462" t="s">
        <v>73</v>
      </c>
      <c r="AJ1462" t="s">
        <v>91</v>
      </c>
      <c r="AK1462" s="5">
        <v>45978.357592592591</v>
      </c>
      <c r="AO1462" t="s">
        <v>54</v>
      </c>
      <c r="AP1462">
        <v>0</v>
      </c>
      <c r="AR1462" t="s">
        <v>54</v>
      </c>
      <c r="AS1462" t="s">
        <v>54</v>
      </c>
      <c r="AT1462">
        <v>8561</v>
      </c>
      <c r="AU1462" t="s">
        <v>55</v>
      </c>
    </row>
    <row r="1463" spans="1:47" hidden="1" x14ac:dyDescent="0.25">
      <c r="A1463" t="s">
        <v>47</v>
      </c>
      <c r="B1463" s="1">
        <v>38248</v>
      </c>
      <c r="C1463" t="s">
        <v>48</v>
      </c>
      <c r="D1463" t="s">
        <v>49</v>
      </c>
      <c r="E1463" s="2">
        <v>45973</v>
      </c>
      <c r="F1463" s="3" t="s">
        <v>107</v>
      </c>
      <c r="G1463" s="3" t="s">
        <v>108</v>
      </c>
      <c r="H1463" s="3">
        <v>101870</v>
      </c>
      <c r="I1463" s="3">
        <v>101870</v>
      </c>
      <c r="J1463">
        <v>0</v>
      </c>
      <c r="K1463" s="3">
        <v>101870</v>
      </c>
      <c r="L1463" s="3">
        <v>12437</v>
      </c>
      <c r="M1463" s="3">
        <v>7536.82</v>
      </c>
      <c r="N1463" t="s">
        <v>83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9</v>
      </c>
      <c r="V1463" t="s">
        <v>56</v>
      </c>
      <c r="W1463" t="s">
        <v>109</v>
      </c>
      <c r="X1463" s="4">
        <v>0</v>
      </c>
      <c r="Y1463" t="s">
        <v>58</v>
      </c>
      <c r="Z1463">
        <v>0</v>
      </c>
      <c r="AA1463">
        <v>0</v>
      </c>
      <c r="AB1463" s="3">
        <v>12437</v>
      </c>
      <c r="AC1463">
        <v>0</v>
      </c>
      <c r="AD1463">
        <v>0</v>
      </c>
      <c r="AE1463" s="3">
        <v>11000</v>
      </c>
      <c r="AF1463" t="s">
        <v>54</v>
      </c>
      <c r="AG1463" t="s">
        <v>59</v>
      </c>
      <c r="AI1463" t="s">
        <v>91</v>
      </c>
      <c r="AJ1463" t="s">
        <v>91</v>
      </c>
      <c r="AK1463" s="5">
        <v>45973.493263888886</v>
      </c>
      <c r="AO1463" t="s">
        <v>54</v>
      </c>
      <c r="AP1463">
        <v>0</v>
      </c>
      <c r="AR1463" t="s">
        <v>54</v>
      </c>
      <c r="AS1463" t="s">
        <v>54</v>
      </c>
      <c r="AT1463">
        <v>3124</v>
      </c>
      <c r="AU1463" t="s">
        <v>55</v>
      </c>
    </row>
    <row r="1464" spans="1:47" hidden="1" x14ac:dyDescent="0.25">
      <c r="A1464" t="s">
        <v>47</v>
      </c>
      <c r="B1464" s="1">
        <v>38249</v>
      </c>
      <c r="C1464" t="s">
        <v>48</v>
      </c>
      <c r="D1464" s="3" t="s">
        <v>49</v>
      </c>
      <c r="E1464" s="2">
        <v>45973</v>
      </c>
      <c r="F1464" t="s">
        <v>223</v>
      </c>
      <c r="G1464" s="3" t="s">
        <v>88</v>
      </c>
      <c r="H1464" s="3">
        <v>4290</v>
      </c>
      <c r="I1464" s="3">
        <v>4290</v>
      </c>
      <c r="J1464">
        <v>0</v>
      </c>
      <c r="K1464" s="3">
        <v>4933.5</v>
      </c>
      <c r="L1464" s="3">
        <v>1200</v>
      </c>
      <c r="M1464" s="3">
        <v>390</v>
      </c>
      <c r="N1464" t="s">
        <v>52</v>
      </c>
      <c r="O1464" t="s">
        <v>53</v>
      </c>
      <c r="P1464" t="s">
        <v>53</v>
      </c>
      <c r="Q1464" t="s">
        <v>53</v>
      </c>
      <c r="R1464" t="s">
        <v>54</v>
      </c>
      <c r="S1464" t="s">
        <v>54</v>
      </c>
      <c r="T1464" t="s">
        <v>55</v>
      </c>
      <c r="U1464">
        <v>126</v>
      </c>
      <c r="V1464" t="s">
        <v>56</v>
      </c>
      <c r="W1464" t="s">
        <v>72</v>
      </c>
      <c r="X1464" s="4">
        <v>0</v>
      </c>
      <c r="Y1464" t="s">
        <v>62</v>
      </c>
    </row>
    <row r="1465" spans="1:47" hidden="1" x14ac:dyDescent="0.25">
      <c r="A1465" t="s">
        <v>63</v>
      </c>
      <c r="B1465" s="3">
        <v>1200</v>
      </c>
      <c r="C1465">
        <v>0</v>
      </c>
      <c r="D1465">
        <v>0</v>
      </c>
      <c r="E1465" s="2">
        <v>0</v>
      </c>
      <c r="F1465" s="3">
        <v>0</v>
      </c>
      <c r="G1465" s="3">
        <v>1000</v>
      </c>
      <c r="H1465" s="3" t="s">
        <v>54</v>
      </c>
      <c r="I1465" s="3" t="s">
        <v>59</v>
      </c>
      <c r="J1465" t="s">
        <v>147</v>
      </c>
      <c r="K1465" s="3" t="s">
        <v>60</v>
      </c>
      <c r="L1465" s="3" t="s">
        <v>60</v>
      </c>
      <c r="M1465" s="3">
        <v>45973.496342592596</v>
      </c>
      <c r="Q1465" t="s">
        <v>54</v>
      </c>
      <c r="R1465">
        <v>0</v>
      </c>
      <c r="T1465" t="s">
        <v>54</v>
      </c>
      <c r="U1465" t="s">
        <v>54</v>
      </c>
      <c r="V1465">
        <v>7833</v>
      </c>
      <c r="W1465" t="s">
        <v>55</v>
      </c>
      <c r="X1465" s="4"/>
      <c r="AE1465" s="3"/>
      <c r="AK1465" s="5"/>
    </row>
    <row r="1466" spans="1:47" hidden="1" x14ac:dyDescent="0.25">
      <c r="A1466" t="s">
        <v>47</v>
      </c>
      <c r="B1466" s="1">
        <v>38250</v>
      </c>
      <c r="C1466" t="s">
        <v>48</v>
      </c>
      <c r="D1466" s="3" t="s">
        <v>49</v>
      </c>
      <c r="E1466" s="2">
        <v>45973</v>
      </c>
      <c r="F1466" t="s">
        <v>394</v>
      </c>
      <c r="G1466" s="3" t="s">
        <v>88</v>
      </c>
      <c r="H1466" s="3">
        <v>11920</v>
      </c>
      <c r="I1466" s="3">
        <v>11920</v>
      </c>
      <c r="J1466">
        <v>0</v>
      </c>
      <c r="K1466" s="3">
        <v>11920</v>
      </c>
      <c r="L1466" s="3">
        <v>2468</v>
      </c>
      <c r="M1466" s="3">
        <v>962.52</v>
      </c>
      <c r="N1466" t="s">
        <v>52</v>
      </c>
      <c r="O1466" t="s">
        <v>53</v>
      </c>
      <c r="P1466" t="s">
        <v>53</v>
      </c>
      <c r="Q1466" t="s">
        <v>53</v>
      </c>
      <c r="R1466" t="s">
        <v>54</v>
      </c>
      <c r="S1466" t="s">
        <v>54</v>
      </c>
      <c r="T1466" t="s">
        <v>55</v>
      </c>
      <c r="U1466">
        <v>126</v>
      </c>
      <c r="V1466" t="s">
        <v>56</v>
      </c>
      <c r="W1466" t="s">
        <v>334</v>
      </c>
      <c r="X1466" s="4">
        <v>0</v>
      </c>
      <c r="Y1466" t="s">
        <v>62</v>
      </c>
      <c r="AD1466" s="3"/>
      <c r="AE1466" s="3"/>
      <c r="AK1466" s="5"/>
    </row>
    <row r="1467" spans="1:47" hidden="1" x14ac:dyDescent="0.25">
      <c r="A1467" t="s">
        <v>63</v>
      </c>
      <c r="B1467" s="3">
        <v>2468</v>
      </c>
      <c r="C1467">
        <v>0</v>
      </c>
      <c r="D1467">
        <v>0</v>
      </c>
      <c r="E1467" s="2">
        <v>0</v>
      </c>
      <c r="F1467">
        <v>0</v>
      </c>
      <c r="G1467" s="3">
        <v>4000</v>
      </c>
      <c r="H1467" s="3" t="s">
        <v>54</v>
      </c>
      <c r="I1467" s="3" t="s">
        <v>59</v>
      </c>
      <c r="K1467" s="3" t="s">
        <v>60</v>
      </c>
      <c r="L1467" s="3" t="s">
        <v>60</v>
      </c>
      <c r="M1467" s="3">
        <v>45973.502268518518</v>
      </c>
      <c r="Q1467" t="s">
        <v>54</v>
      </c>
      <c r="R1467">
        <v>0</v>
      </c>
      <c r="T1467" t="s">
        <v>54</v>
      </c>
      <c r="U1467" t="s">
        <v>54</v>
      </c>
      <c r="V1467">
        <v>1111</v>
      </c>
      <c r="W1467" t="s">
        <v>55</v>
      </c>
      <c r="X1467" s="4"/>
      <c r="Z1467" s="3"/>
      <c r="AB1467" s="3"/>
      <c r="AD1467" s="3"/>
      <c r="AE1467" s="3"/>
      <c r="AK1467" s="5"/>
    </row>
    <row r="1468" spans="1:47" hidden="1" x14ac:dyDescent="0.25">
      <c r="A1468" t="s">
        <v>47</v>
      </c>
      <c r="B1468" s="1">
        <v>38251</v>
      </c>
      <c r="C1468" t="s">
        <v>48</v>
      </c>
      <c r="D1468" t="s">
        <v>49</v>
      </c>
      <c r="E1468" s="2">
        <v>45973</v>
      </c>
      <c r="F1468" t="s">
        <v>395</v>
      </c>
      <c r="G1468" t="s">
        <v>69</v>
      </c>
      <c r="H1468" s="3">
        <v>15295.1</v>
      </c>
      <c r="I1468" s="3">
        <v>15295.1</v>
      </c>
      <c r="J1468">
        <v>0</v>
      </c>
      <c r="K1468" s="3">
        <v>17589.37</v>
      </c>
      <c r="L1468" s="3">
        <v>2229.16</v>
      </c>
      <c r="M1468" s="3">
        <v>1213.4100000000001</v>
      </c>
      <c r="N1468" t="s">
        <v>77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83</v>
      </c>
      <c r="W1468" t="s">
        <v>396</v>
      </c>
      <c r="X1468" s="4">
        <v>0</v>
      </c>
      <c r="Y1468" t="s">
        <v>62</v>
      </c>
      <c r="AD1468" s="3"/>
      <c r="AE1468" s="3"/>
      <c r="AK1468" s="5"/>
    </row>
    <row r="1469" spans="1:47" hidden="1" x14ac:dyDescent="0.25">
      <c r="A1469" t="s">
        <v>63</v>
      </c>
      <c r="B1469" s="1">
        <v>0</v>
      </c>
      <c r="C1469">
        <v>0</v>
      </c>
      <c r="D1469" s="3">
        <v>1578.16</v>
      </c>
      <c r="E1469" s="2">
        <v>0</v>
      </c>
      <c r="F1469">
        <v>651</v>
      </c>
      <c r="G1469" s="3">
        <v>2950</v>
      </c>
      <c r="H1469" s="3" t="s">
        <v>54</v>
      </c>
      <c r="I1469" s="3" t="s">
        <v>59</v>
      </c>
      <c r="J1469" t="s">
        <v>79</v>
      </c>
      <c r="K1469" s="3" t="s">
        <v>80</v>
      </c>
      <c r="L1469" s="3" t="s">
        <v>73</v>
      </c>
      <c r="M1469" s="3">
        <v>45973.670740740738</v>
      </c>
      <c r="Q1469" t="s">
        <v>54</v>
      </c>
      <c r="R1469">
        <v>0</v>
      </c>
      <c r="T1469" t="s">
        <v>54</v>
      </c>
      <c r="U1469" t="s">
        <v>54</v>
      </c>
      <c r="V1469">
        <v>8725</v>
      </c>
      <c r="W1469" t="s">
        <v>55</v>
      </c>
      <c r="X1469" s="4"/>
      <c r="AD1469" s="3"/>
      <c r="AE1469" s="3"/>
      <c r="AK1469" s="5"/>
    </row>
    <row r="1470" spans="1:47" hidden="1" x14ac:dyDescent="0.25">
      <c r="A1470" t="s">
        <v>47</v>
      </c>
      <c r="B1470" s="1">
        <v>38252</v>
      </c>
      <c r="C1470" t="s">
        <v>48</v>
      </c>
      <c r="D1470" t="s">
        <v>49</v>
      </c>
      <c r="E1470" s="2">
        <v>45973</v>
      </c>
      <c r="F1470" t="s">
        <v>146</v>
      </c>
      <c r="G1470" t="s">
        <v>88</v>
      </c>
      <c r="H1470" s="3">
        <v>33350</v>
      </c>
      <c r="I1470" s="3">
        <v>33350</v>
      </c>
      <c r="J1470">
        <v>0</v>
      </c>
      <c r="K1470" s="3">
        <v>38352.5</v>
      </c>
      <c r="L1470" s="3">
        <v>5057.5</v>
      </c>
      <c r="M1470" s="3">
        <v>3135.65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94</v>
      </c>
      <c r="X1470" s="4">
        <v>0</v>
      </c>
      <c r="Y1470" t="s">
        <v>62</v>
      </c>
      <c r="AD1470" s="3"/>
      <c r="AE1470" s="3"/>
      <c r="AK1470" s="5"/>
    </row>
    <row r="1471" spans="1:47" hidden="1" x14ac:dyDescent="0.25">
      <c r="A1471" t="s">
        <v>63</v>
      </c>
      <c r="B1471" s="1">
        <v>0</v>
      </c>
      <c r="C1471">
        <v>0</v>
      </c>
      <c r="D1471" s="3">
        <v>5057.5</v>
      </c>
      <c r="E1471" s="2">
        <v>0</v>
      </c>
      <c r="F1471">
        <v>0</v>
      </c>
      <c r="G1471" s="3">
        <v>2500</v>
      </c>
      <c r="H1471" s="3" t="s">
        <v>54</v>
      </c>
      <c r="I1471" s="3" t="s">
        <v>59</v>
      </c>
      <c r="K1471" s="3" t="s">
        <v>60</v>
      </c>
      <c r="L1471" s="3" t="s">
        <v>60</v>
      </c>
      <c r="M1471" s="3">
        <v>45979.611076388886</v>
      </c>
      <c r="Q1471" t="s">
        <v>54</v>
      </c>
      <c r="R1471">
        <v>0</v>
      </c>
      <c r="T1471" t="s">
        <v>54</v>
      </c>
      <c r="U1471" t="s">
        <v>54</v>
      </c>
      <c r="V1471">
        <v>8478</v>
      </c>
      <c r="W1471" t="s">
        <v>55</v>
      </c>
      <c r="X1471" s="4"/>
      <c r="AD1471" s="3"/>
      <c r="AE1471" s="3"/>
      <c r="AK1471" s="5"/>
    </row>
    <row r="1472" spans="1:47" hidden="1" x14ac:dyDescent="0.25">
      <c r="A1472" t="s">
        <v>47</v>
      </c>
      <c r="B1472" s="1">
        <v>38253</v>
      </c>
      <c r="C1472" t="s">
        <v>48</v>
      </c>
      <c r="D1472" t="s">
        <v>49</v>
      </c>
      <c r="E1472" s="2">
        <v>45974</v>
      </c>
      <c r="F1472" t="s">
        <v>100</v>
      </c>
      <c r="G1472" s="3" t="s">
        <v>93</v>
      </c>
      <c r="H1472" s="3">
        <v>79508</v>
      </c>
      <c r="I1472" s="3">
        <v>79508</v>
      </c>
      <c r="J1472">
        <v>0</v>
      </c>
      <c r="K1472" s="3">
        <v>91434.2</v>
      </c>
      <c r="L1472" s="3">
        <v>15134.2</v>
      </c>
      <c r="M1472" s="3">
        <v>6392.88</v>
      </c>
      <c r="N1472" t="s">
        <v>83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101</v>
      </c>
      <c r="X1472" s="4">
        <v>0</v>
      </c>
      <c r="Y1472" t="s">
        <v>58</v>
      </c>
      <c r="Z1472" s="3">
        <v>11936</v>
      </c>
      <c r="AA1472">
        <v>0</v>
      </c>
      <c r="AB1472" s="3">
        <v>3198.2</v>
      </c>
      <c r="AC1472">
        <v>0</v>
      </c>
      <c r="AD1472" s="3">
        <v>0</v>
      </c>
      <c r="AE1472" s="3">
        <v>10200</v>
      </c>
      <c r="AF1472" t="s">
        <v>54</v>
      </c>
      <c r="AG1472" t="s">
        <v>59</v>
      </c>
      <c r="AH1472" t="s">
        <v>102</v>
      </c>
      <c r="AI1472" t="s">
        <v>73</v>
      </c>
      <c r="AJ1472" t="s">
        <v>73</v>
      </c>
      <c r="AK1472" s="5">
        <v>45974.402766203704</v>
      </c>
      <c r="AO1472" t="s">
        <v>54</v>
      </c>
      <c r="AP1472">
        <v>0</v>
      </c>
      <c r="AR1472" t="s">
        <v>54</v>
      </c>
      <c r="AS1472" t="s">
        <v>54</v>
      </c>
      <c r="AT1472">
        <v>161</v>
      </c>
      <c r="AU1472" t="s">
        <v>55</v>
      </c>
    </row>
    <row r="1473" spans="1:47" hidden="1" x14ac:dyDescent="0.25">
      <c r="A1473" t="s">
        <v>47</v>
      </c>
      <c r="B1473" s="1">
        <v>38254</v>
      </c>
      <c r="C1473" t="s">
        <v>48</v>
      </c>
      <c r="D1473" t="s">
        <v>49</v>
      </c>
      <c r="E1473" s="2">
        <v>45974</v>
      </c>
      <c r="F1473" t="s">
        <v>397</v>
      </c>
      <c r="G1473" s="3" t="s">
        <v>86</v>
      </c>
      <c r="H1473" s="3">
        <v>3422</v>
      </c>
      <c r="I1473" s="3">
        <v>3422</v>
      </c>
      <c r="J1473">
        <v>0</v>
      </c>
      <c r="K1473" s="3">
        <v>3935.3</v>
      </c>
      <c r="L1473" s="3">
        <v>216</v>
      </c>
      <c r="M1473" s="3">
        <v>123.87</v>
      </c>
      <c r="N1473" t="s">
        <v>52</v>
      </c>
      <c r="O1473" t="s">
        <v>53</v>
      </c>
      <c r="P1473" t="s">
        <v>53</v>
      </c>
      <c r="Q1473" t="s">
        <v>53</v>
      </c>
      <c r="R1473" t="s">
        <v>54</v>
      </c>
      <c r="S1473" t="s">
        <v>54</v>
      </c>
      <c r="T1473" t="s">
        <v>55</v>
      </c>
      <c r="U1473">
        <v>126</v>
      </c>
      <c r="V1473" t="s">
        <v>56</v>
      </c>
      <c r="W1473" t="s">
        <v>72</v>
      </c>
      <c r="X1473" s="4">
        <v>0</v>
      </c>
      <c r="Y1473" t="s">
        <v>62</v>
      </c>
      <c r="AD1473" s="3"/>
      <c r="AE1473" s="3"/>
      <c r="AK1473" s="5"/>
    </row>
    <row r="1474" spans="1:47" hidden="1" x14ac:dyDescent="0.25">
      <c r="A1474" t="s">
        <v>63</v>
      </c>
      <c r="B1474" s="1">
        <v>20.399999999999999</v>
      </c>
      <c r="C1474">
        <v>0</v>
      </c>
      <c r="D1474">
        <v>195.6</v>
      </c>
      <c r="E1474" s="2">
        <v>0</v>
      </c>
      <c r="F1474">
        <v>0</v>
      </c>
      <c r="G1474">
        <v>300</v>
      </c>
      <c r="H1474" s="3" t="s">
        <v>54</v>
      </c>
      <c r="I1474" s="3" t="s">
        <v>59</v>
      </c>
      <c r="J1474" t="s">
        <v>398</v>
      </c>
      <c r="K1474" s="3" t="s">
        <v>60</v>
      </c>
      <c r="L1474" s="3" t="s">
        <v>60</v>
      </c>
      <c r="M1474" s="3">
        <v>45982.608900462961</v>
      </c>
      <c r="Q1474" t="s">
        <v>54</v>
      </c>
      <c r="R1474">
        <v>0</v>
      </c>
      <c r="T1474" t="s">
        <v>54</v>
      </c>
      <c r="U1474" t="s">
        <v>54</v>
      </c>
      <c r="V1474">
        <v>5827</v>
      </c>
      <c r="W1474" t="s">
        <v>55</v>
      </c>
      <c r="X1474" s="4"/>
      <c r="AD1474" s="3"/>
      <c r="AE1474" s="3"/>
      <c r="AK1474" s="5"/>
    </row>
    <row r="1475" spans="1:47" hidden="1" x14ac:dyDescent="0.25">
      <c r="A1475" t="s">
        <v>47</v>
      </c>
      <c r="B1475" s="1">
        <v>38255</v>
      </c>
      <c r="C1475" t="s">
        <v>48</v>
      </c>
      <c r="D1475" t="s">
        <v>49</v>
      </c>
      <c r="E1475" s="2">
        <v>45974</v>
      </c>
      <c r="F1475" t="s">
        <v>302</v>
      </c>
      <c r="G1475" s="3" t="s">
        <v>86</v>
      </c>
      <c r="H1475" s="3">
        <v>3816</v>
      </c>
      <c r="I1475" s="3">
        <v>3816</v>
      </c>
      <c r="J1475">
        <v>0</v>
      </c>
      <c r="K1475" s="3">
        <v>4388.3999999999996</v>
      </c>
      <c r="L1475" s="3">
        <v>522</v>
      </c>
      <c r="M1475" s="3">
        <v>323.64</v>
      </c>
      <c r="N1475" t="s">
        <v>52</v>
      </c>
      <c r="O1475" t="s">
        <v>53</v>
      </c>
      <c r="P1475" t="s">
        <v>53</v>
      </c>
      <c r="Q1475" t="s">
        <v>53</v>
      </c>
      <c r="R1475" t="s">
        <v>54</v>
      </c>
      <c r="S1475" t="s">
        <v>54</v>
      </c>
      <c r="T1475" t="s">
        <v>55</v>
      </c>
      <c r="U1475">
        <v>126</v>
      </c>
      <c r="V1475" t="s">
        <v>56</v>
      </c>
      <c r="W1475" t="s">
        <v>174</v>
      </c>
      <c r="X1475" s="4">
        <v>0</v>
      </c>
      <c r="Y1475" t="s">
        <v>62</v>
      </c>
      <c r="AD1475" s="3"/>
      <c r="AE1475" s="3"/>
      <c r="AK1475" s="5"/>
    </row>
    <row r="1476" spans="1:47" hidden="1" x14ac:dyDescent="0.25">
      <c r="A1476" t="s">
        <v>63</v>
      </c>
      <c r="B1476" s="1">
        <v>0</v>
      </c>
      <c r="C1476">
        <v>0</v>
      </c>
      <c r="D1476">
        <v>522</v>
      </c>
      <c r="E1476" s="2">
        <v>0</v>
      </c>
      <c r="F1476">
        <v>0</v>
      </c>
      <c r="G1476" s="3">
        <v>300</v>
      </c>
      <c r="H1476" s="3" t="s">
        <v>54</v>
      </c>
      <c r="I1476" s="3" t="s">
        <v>59</v>
      </c>
      <c r="K1476" s="3" t="s">
        <v>60</v>
      </c>
      <c r="L1476" s="3" t="s">
        <v>60</v>
      </c>
      <c r="M1476" s="3">
        <v>45974.547303240739</v>
      </c>
      <c r="Q1476" t="s">
        <v>54</v>
      </c>
      <c r="R1476">
        <v>0</v>
      </c>
      <c r="T1476" t="s">
        <v>54</v>
      </c>
      <c r="U1476" t="s">
        <v>54</v>
      </c>
      <c r="V1476">
        <v>7376</v>
      </c>
      <c r="W1476" t="s">
        <v>55</v>
      </c>
      <c r="X1476" s="4"/>
      <c r="Z1476" s="3"/>
      <c r="AD1476" s="3"/>
      <c r="AE1476" s="3"/>
      <c r="AK1476" s="5"/>
    </row>
    <row r="1477" spans="1:47" hidden="1" x14ac:dyDescent="0.25">
      <c r="A1477" t="s">
        <v>47</v>
      </c>
      <c r="B1477" s="1">
        <v>38256</v>
      </c>
      <c r="C1477" t="s">
        <v>48</v>
      </c>
      <c r="D1477" t="s">
        <v>49</v>
      </c>
      <c r="E1477" s="2">
        <v>45975</v>
      </c>
      <c r="F1477" t="s">
        <v>262</v>
      </c>
      <c r="G1477" t="s">
        <v>69</v>
      </c>
      <c r="H1477" s="3">
        <v>6132</v>
      </c>
      <c r="I1477" s="3">
        <v>6132</v>
      </c>
      <c r="J1477">
        <v>0</v>
      </c>
      <c r="K1477" s="3">
        <v>7051.8</v>
      </c>
      <c r="L1477" s="3">
        <v>993.6</v>
      </c>
      <c r="M1477" s="3">
        <v>458.05</v>
      </c>
      <c r="N1477" t="s">
        <v>83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9</v>
      </c>
      <c r="V1477" t="s">
        <v>71</v>
      </c>
      <c r="W1477" t="s">
        <v>72</v>
      </c>
      <c r="X1477" s="4">
        <v>0</v>
      </c>
      <c r="Y1477" t="s">
        <v>62</v>
      </c>
      <c r="AD1477" s="3"/>
      <c r="AE1477" s="3"/>
      <c r="AK1477" s="5"/>
    </row>
    <row r="1478" spans="1:47" hidden="1" x14ac:dyDescent="0.25">
      <c r="A1478" t="s">
        <v>63</v>
      </c>
      <c r="B1478" s="1">
        <v>0</v>
      </c>
      <c r="C1478">
        <v>993.6</v>
      </c>
      <c r="D1478">
        <v>0</v>
      </c>
      <c r="E1478" s="2">
        <v>0</v>
      </c>
      <c r="F1478">
        <v>0</v>
      </c>
      <c r="G1478" s="3">
        <v>1200</v>
      </c>
      <c r="H1478" s="3" t="s">
        <v>54</v>
      </c>
      <c r="I1478" s="3" t="s">
        <v>59</v>
      </c>
      <c r="K1478" s="3" t="s">
        <v>73</v>
      </c>
      <c r="L1478" s="3" t="s">
        <v>73</v>
      </c>
      <c r="M1478" s="3">
        <v>45978.41306712963</v>
      </c>
      <c r="Q1478" t="s">
        <v>54</v>
      </c>
      <c r="R1478">
        <v>0</v>
      </c>
      <c r="T1478" t="s">
        <v>54</v>
      </c>
      <c r="U1478" t="s">
        <v>54</v>
      </c>
      <c r="V1478">
        <v>4731</v>
      </c>
      <c r="W1478" t="s">
        <v>55</v>
      </c>
      <c r="X1478" s="4"/>
      <c r="Z1478" s="3"/>
      <c r="AD1478" s="3"/>
      <c r="AE1478" s="3"/>
      <c r="AK1478" s="5"/>
    </row>
    <row r="1479" spans="1:47" hidden="1" x14ac:dyDescent="0.25">
      <c r="A1479" t="s">
        <v>47</v>
      </c>
      <c r="B1479" s="1">
        <v>38257</v>
      </c>
      <c r="C1479" t="s">
        <v>48</v>
      </c>
      <c r="D1479" s="3" t="s">
        <v>49</v>
      </c>
      <c r="E1479" s="2">
        <v>45975</v>
      </c>
      <c r="F1479" t="s">
        <v>189</v>
      </c>
      <c r="G1479" s="3" t="s">
        <v>190</v>
      </c>
      <c r="H1479" s="3">
        <v>4968</v>
      </c>
      <c r="I1479" s="3">
        <v>4968</v>
      </c>
      <c r="J1479">
        <v>0</v>
      </c>
      <c r="K1479" s="3">
        <v>4968</v>
      </c>
      <c r="L1479" s="3">
        <v>1024.2</v>
      </c>
      <c r="M1479" s="3">
        <v>375.88</v>
      </c>
      <c r="N1479" t="s">
        <v>52</v>
      </c>
      <c r="O1479" t="s">
        <v>53</v>
      </c>
      <c r="P1479" t="s">
        <v>53</v>
      </c>
      <c r="Q1479" t="s">
        <v>53</v>
      </c>
      <c r="R1479" t="s">
        <v>54</v>
      </c>
      <c r="S1479" t="s">
        <v>54</v>
      </c>
      <c r="T1479" t="s">
        <v>55</v>
      </c>
      <c r="U1479">
        <v>126</v>
      </c>
      <c r="W1479" t="s">
        <v>94</v>
      </c>
      <c r="X1479" s="4"/>
      <c r="Y1479" t="s">
        <v>62</v>
      </c>
      <c r="AK1479" s="5"/>
    </row>
    <row r="1480" spans="1:47" hidden="1" x14ac:dyDescent="0.25">
      <c r="A1480" t="s">
        <v>63</v>
      </c>
      <c r="B1480" s="1">
        <v>1024.2</v>
      </c>
      <c r="C1480">
        <v>0</v>
      </c>
      <c r="D1480">
        <v>0</v>
      </c>
      <c r="E1480" s="2">
        <v>0</v>
      </c>
      <c r="F1480">
        <v>0</v>
      </c>
      <c r="G1480" s="3">
        <v>1800</v>
      </c>
      <c r="H1480" s="3"/>
      <c r="I1480" s="3"/>
      <c r="K1480" s="3"/>
      <c r="L1480" s="3" t="s">
        <v>73</v>
      </c>
      <c r="M1480" s="3">
        <v>45975.634780092594</v>
      </c>
      <c r="Q1480" t="s">
        <v>54</v>
      </c>
      <c r="R1480">
        <v>0</v>
      </c>
      <c r="T1480" t="s">
        <v>54</v>
      </c>
      <c r="U1480" t="s">
        <v>54</v>
      </c>
      <c r="V1480">
        <v>8240</v>
      </c>
      <c r="W1480" t="s">
        <v>246</v>
      </c>
      <c r="X1480" s="4"/>
      <c r="AE1480" s="3"/>
      <c r="AK1480" s="5"/>
    </row>
    <row r="1481" spans="1:47" hidden="1" x14ac:dyDescent="0.25">
      <c r="A1481" t="s">
        <v>47</v>
      </c>
      <c r="B1481" s="1">
        <v>38258</v>
      </c>
      <c r="C1481" t="s">
        <v>48</v>
      </c>
      <c r="D1481" t="s">
        <v>49</v>
      </c>
      <c r="E1481" s="2">
        <v>45978</v>
      </c>
      <c r="F1481" t="s">
        <v>50</v>
      </c>
      <c r="G1481" s="3" t="s">
        <v>51</v>
      </c>
      <c r="H1481" s="3">
        <v>5276</v>
      </c>
      <c r="I1481" s="3">
        <v>5276</v>
      </c>
      <c r="J1481">
        <v>0</v>
      </c>
      <c r="K1481" s="3">
        <v>6067.4</v>
      </c>
      <c r="L1481" s="3">
        <v>1029.5999999999999</v>
      </c>
      <c r="M1481" s="3">
        <v>401.54</v>
      </c>
      <c r="N1481" t="s">
        <v>52</v>
      </c>
      <c r="O1481" t="s">
        <v>53</v>
      </c>
      <c r="P1481" t="s">
        <v>53</v>
      </c>
      <c r="Q1481" t="s">
        <v>53</v>
      </c>
      <c r="R1481" t="s">
        <v>54</v>
      </c>
      <c r="S1481" t="s">
        <v>54</v>
      </c>
      <c r="T1481" t="s">
        <v>55</v>
      </c>
      <c r="U1481">
        <v>126</v>
      </c>
      <c r="V1481" t="s">
        <v>56</v>
      </c>
      <c r="W1481" t="s">
        <v>57</v>
      </c>
      <c r="X1481" s="4">
        <v>0</v>
      </c>
      <c r="Y1481" t="s">
        <v>58</v>
      </c>
      <c r="Z1481" s="3">
        <v>1029.5999999999999</v>
      </c>
      <c r="AA1481">
        <v>0</v>
      </c>
      <c r="AB1481">
        <v>0</v>
      </c>
      <c r="AC1481">
        <v>0</v>
      </c>
      <c r="AD1481">
        <v>0</v>
      </c>
      <c r="AE1481">
        <v>400</v>
      </c>
      <c r="AF1481" t="s">
        <v>54</v>
      </c>
      <c r="AG1481" t="s">
        <v>59</v>
      </c>
      <c r="AI1481" t="s">
        <v>73</v>
      </c>
      <c r="AJ1481" t="s">
        <v>73</v>
      </c>
      <c r="AK1481" s="5">
        <v>45978.641458333332</v>
      </c>
      <c r="AO1481" t="s">
        <v>54</v>
      </c>
      <c r="AP1481">
        <v>0</v>
      </c>
      <c r="AR1481" t="s">
        <v>54</v>
      </c>
      <c r="AS1481" t="s">
        <v>54</v>
      </c>
      <c r="AT1481">
        <v>6611</v>
      </c>
      <c r="AU1481" t="s">
        <v>55</v>
      </c>
    </row>
    <row r="1482" spans="1:47" hidden="1" x14ac:dyDescent="0.25">
      <c r="A1482" t="s">
        <v>47</v>
      </c>
      <c r="B1482" s="1">
        <v>38259</v>
      </c>
      <c r="C1482" t="s">
        <v>48</v>
      </c>
      <c r="D1482" t="s">
        <v>49</v>
      </c>
      <c r="E1482" s="2">
        <v>45978</v>
      </c>
      <c r="F1482" t="s">
        <v>157</v>
      </c>
      <c r="G1482" t="s">
        <v>108</v>
      </c>
      <c r="H1482" s="3">
        <v>25999</v>
      </c>
      <c r="I1482" s="3">
        <v>25999</v>
      </c>
      <c r="J1482">
        <v>0</v>
      </c>
      <c r="K1482" s="3">
        <v>29898.85</v>
      </c>
      <c r="L1482" s="3">
        <v>3846.8</v>
      </c>
      <c r="M1482" s="3">
        <v>1903</v>
      </c>
      <c r="N1482" t="s">
        <v>77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83</v>
      </c>
      <c r="W1482" t="s">
        <v>158</v>
      </c>
      <c r="X1482" s="4">
        <v>0</v>
      </c>
      <c r="Y1482" t="s">
        <v>58</v>
      </c>
      <c r="Z1482">
        <v>0</v>
      </c>
      <c r="AA1482">
        <v>0</v>
      </c>
      <c r="AB1482">
        <v>904.8</v>
      </c>
      <c r="AC1482">
        <v>0</v>
      </c>
      <c r="AD1482" s="3">
        <v>2942</v>
      </c>
      <c r="AE1482" s="3">
        <v>6100</v>
      </c>
      <c r="AF1482" t="s">
        <v>54</v>
      </c>
      <c r="AG1482" t="s">
        <v>59</v>
      </c>
      <c r="AI1482" t="s">
        <v>80</v>
      </c>
      <c r="AJ1482" t="s">
        <v>73</v>
      </c>
      <c r="AK1482" s="5">
        <v>45978.645960648151</v>
      </c>
      <c r="AO1482" t="s">
        <v>54</v>
      </c>
      <c r="AP1482">
        <v>0</v>
      </c>
      <c r="AR1482" t="s">
        <v>54</v>
      </c>
      <c r="AS1482" t="s">
        <v>54</v>
      </c>
      <c r="AT1482">
        <v>4386</v>
      </c>
      <c r="AU1482" t="s">
        <v>55</v>
      </c>
    </row>
    <row r="1483" spans="1:47" hidden="1" x14ac:dyDescent="0.25">
      <c r="A1483" t="s">
        <v>47</v>
      </c>
      <c r="B1483" s="1">
        <v>38260</v>
      </c>
      <c r="C1483" t="s">
        <v>48</v>
      </c>
      <c r="D1483" t="s">
        <v>49</v>
      </c>
      <c r="E1483" s="2">
        <v>45978</v>
      </c>
      <c r="F1483" t="s">
        <v>61</v>
      </c>
      <c r="G1483" s="3" t="s">
        <v>51</v>
      </c>
      <c r="H1483" s="3">
        <v>17439.3</v>
      </c>
      <c r="I1483" s="3">
        <v>17439.3</v>
      </c>
      <c r="J1483">
        <v>0</v>
      </c>
      <c r="K1483" s="3">
        <v>20055.189999999999</v>
      </c>
      <c r="L1483" s="3">
        <v>2198.3000000000002</v>
      </c>
      <c r="M1483" s="3">
        <v>1264.51</v>
      </c>
      <c r="N1483" t="s">
        <v>52</v>
      </c>
      <c r="O1483" t="s">
        <v>53</v>
      </c>
      <c r="P1483" t="s">
        <v>53</v>
      </c>
      <c r="Q1483" t="s">
        <v>53</v>
      </c>
      <c r="R1483" t="s">
        <v>54</v>
      </c>
      <c r="S1483" t="s">
        <v>54</v>
      </c>
      <c r="T1483" t="s">
        <v>55</v>
      </c>
      <c r="U1483">
        <v>126</v>
      </c>
      <c r="V1483" t="s">
        <v>56</v>
      </c>
      <c r="W1483" t="s">
        <v>57</v>
      </c>
      <c r="X1483" s="4">
        <v>0</v>
      </c>
      <c r="Y1483" t="s">
        <v>62</v>
      </c>
    </row>
    <row r="1484" spans="1:47" hidden="1" x14ac:dyDescent="0.25">
      <c r="A1484" t="s">
        <v>63</v>
      </c>
      <c r="B1484" s="1">
        <v>447.4</v>
      </c>
      <c r="C1484">
        <v>0</v>
      </c>
      <c r="D1484" s="3">
        <v>1750.9</v>
      </c>
      <c r="E1484" s="2">
        <v>0</v>
      </c>
      <c r="F1484">
        <v>0</v>
      </c>
      <c r="G1484" s="3">
        <v>3400</v>
      </c>
      <c r="H1484" t="s">
        <v>54</v>
      </c>
      <c r="I1484" t="s">
        <v>59</v>
      </c>
      <c r="J1484" t="s">
        <v>64</v>
      </c>
      <c r="K1484" t="s">
        <v>73</v>
      </c>
      <c r="L1484" t="s">
        <v>73</v>
      </c>
      <c r="M1484" s="3">
        <v>45978.641608796293</v>
      </c>
      <c r="Q1484" t="s">
        <v>54</v>
      </c>
      <c r="R1484">
        <v>0</v>
      </c>
      <c r="T1484" t="s">
        <v>54</v>
      </c>
      <c r="U1484" t="s">
        <v>54</v>
      </c>
      <c r="V1484">
        <v>7006</v>
      </c>
      <c r="W1484" t="s">
        <v>55</v>
      </c>
      <c r="X1484" s="4"/>
      <c r="AE1484" s="3"/>
      <c r="AK1484" s="5"/>
    </row>
    <row r="1485" spans="1:47" hidden="1" x14ac:dyDescent="0.25">
      <c r="A1485" t="s">
        <v>81</v>
      </c>
      <c r="B1485" s="1">
        <v>38261</v>
      </c>
      <c r="C1485" t="s">
        <v>48</v>
      </c>
      <c r="D1485" t="s">
        <v>49</v>
      </c>
      <c r="E1485" s="2">
        <v>45978</v>
      </c>
      <c r="F1485" t="s">
        <v>274</v>
      </c>
      <c r="G1485" t="s">
        <v>155</v>
      </c>
      <c r="H1485" s="3">
        <v>14900</v>
      </c>
      <c r="I1485" s="3">
        <v>14900</v>
      </c>
      <c r="J1485">
        <v>0</v>
      </c>
      <c r="K1485" s="3">
        <v>14900</v>
      </c>
      <c r="L1485" s="3">
        <v>3754</v>
      </c>
      <c r="M1485" s="3">
        <v>1088.6600000000001</v>
      </c>
      <c r="N1485" t="s">
        <v>97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167</v>
      </c>
      <c r="V1485" t="s">
        <v>144</v>
      </c>
      <c r="W1485" t="s">
        <v>129</v>
      </c>
      <c r="X1485" s="4">
        <v>0</v>
      </c>
      <c r="Y1485" t="s">
        <v>62</v>
      </c>
      <c r="AK1485" s="5"/>
    </row>
    <row r="1486" spans="1:47" hidden="1" x14ac:dyDescent="0.25">
      <c r="A1486" t="s">
        <v>63</v>
      </c>
      <c r="B1486" s="3">
        <v>3754</v>
      </c>
      <c r="C1486">
        <v>0</v>
      </c>
      <c r="D1486" s="3">
        <v>0</v>
      </c>
      <c r="E1486" s="2">
        <v>0</v>
      </c>
      <c r="F1486">
        <v>0</v>
      </c>
      <c r="G1486" s="3">
        <v>8000</v>
      </c>
      <c r="H1486" s="3" t="s">
        <v>54</v>
      </c>
      <c r="I1486" s="3" t="s">
        <v>59</v>
      </c>
      <c r="J1486" t="s">
        <v>235</v>
      </c>
      <c r="K1486" s="3" t="s">
        <v>73</v>
      </c>
      <c r="L1486" t="s">
        <v>73</v>
      </c>
      <c r="M1486" s="3">
        <v>45978.724618055552</v>
      </c>
      <c r="Q1486" t="s">
        <v>54</v>
      </c>
      <c r="R1486">
        <v>0</v>
      </c>
      <c r="T1486" t="s">
        <v>54</v>
      </c>
      <c r="U1486" t="s">
        <v>54</v>
      </c>
      <c r="V1486">
        <v>6012</v>
      </c>
      <c r="W1486" t="s">
        <v>55</v>
      </c>
      <c r="X1486" s="4"/>
      <c r="AK1486" s="5"/>
    </row>
    <row r="1487" spans="1:47" hidden="1" x14ac:dyDescent="0.25">
      <c r="A1487" t="s">
        <v>81</v>
      </c>
      <c r="B1487" s="1">
        <v>38262</v>
      </c>
      <c r="C1487" t="s">
        <v>48</v>
      </c>
      <c r="D1487" t="s">
        <v>49</v>
      </c>
      <c r="E1487" s="2">
        <v>45978</v>
      </c>
      <c r="F1487" t="s">
        <v>274</v>
      </c>
      <c r="G1487" t="s">
        <v>155</v>
      </c>
      <c r="H1487" s="3">
        <v>20855</v>
      </c>
      <c r="I1487" s="3">
        <v>20855</v>
      </c>
      <c r="J1487">
        <v>0</v>
      </c>
      <c r="K1487" s="3">
        <v>20855</v>
      </c>
      <c r="L1487" s="3">
        <v>5253.5</v>
      </c>
      <c r="M1487" s="3">
        <v>1523.52</v>
      </c>
      <c r="N1487" t="s">
        <v>97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167</v>
      </c>
      <c r="V1487" t="s">
        <v>144</v>
      </c>
      <c r="W1487" t="s">
        <v>129</v>
      </c>
      <c r="X1487" s="4">
        <v>0</v>
      </c>
      <c r="Y1487" t="s">
        <v>62</v>
      </c>
      <c r="AD1487" s="3"/>
      <c r="AE1487" s="3"/>
      <c r="AK1487" s="5"/>
    </row>
    <row r="1488" spans="1:47" hidden="1" x14ac:dyDescent="0.25">
      <c r="A1488" t="s">
        <v>63</v>
      </c>
      <c r="B1488" s="3">
        <v>5253.5</v>
      </c>
      <c r="C1488">
        <v>0</v>
      </c>
      <c r="D1488">
        <v>0</v>
      </c>
      <c r="E1488" s="2">
        <v>0</v>
      </c>
      <c r="F1488">
        <v>0</v>
      </c>
      <c r="G1488" s="3">
        <v>11000</v>
      </c>
      <c r="H1488" s="3" t="s">
        <v>54</v>
      </c>
      <c r="I1488" s="3" t="s">
        <v>59</v>
      </c>
      <c r="J1488" t="s">
        <v>235</v>
      </c>
      <c r="K1488" s="3" t="s">
        <v>73</v>
      </c>
      <c r="L1488" s="3" t="s">
        <v>73</v>
      </c>
      <c r="M1488" s="3">
        <v>45978.724849537037</v>
      </c>
      <c r="Q1488" t="s">
        <v>54</v>
      </c>
      <c r="R1488">
        <v>0</v>
      </c>
      <c r="T1488" t="s">
        <v>54</v>
      </c>
      <c r="U1488" t="s">
        <v>54</v>
      </c>
      <c r="V1488">
        <v>6012</v>
      </c>
      <c r="W1488" t="s">
        <v>55</v>
      </c>
      <c r="X1488" s="4"/>
      <c r="Z1488" s="3"/>
      <c r="AE1488" s="3"/>
      <c r="AK1488" s="5"/>
    </row>
    <row r="1489" spans="1:47" hidden="1" x14ac:dyDescent="0.25">
      <c r="A1489" t="s">
        <v>47</v>
      </c>
      <c r="B1489" s="1">
        <v>38263</v>
      </c>
      <c r="C1489" t="s">
        <v>48</v>
      </c>
      <c r="D1489" t="s">
        <v>49</v>
      </c>
      <c r="E1489" s="2">
        <v>45978</v>
      </c>
      <c r="F1489" t="s">
        <v>100</v>
      </c>
      <c r="G1489" t="s">
        <v>93</v>
      </c>
      <c r="H1489" s="3">
        <v>737</v>
      </c>
      <c r="I1489" s="3">
        <v>737</v>
      </c>
      <c r="J1489">
        <v>0</v>
      </c>
      <c r="K1489" s="3">
        <v>847.55</v>
      </c>
      <c r="L1489" s="3">
        <v>168.3</v>
      </c>
      <c r="M1489" s="3">
        <v>58.91</v>
      </c>
      <c r="N1489" t="s">
        <v>83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9</v>
      </c>
      <c r="V1489" t="s">
        <v>71</v>
      </c>
      <c r="W1489" t="s">
        <v>101</v>
      </c>
      <c r="X1489" s="4">
        <v>0</v>
      </c>
      <c r="Y1489" t="s">
        <v>58</v>
      </c>
      <c r="Z1489" s="3">
        <v>168.3</v>
      </c>
      <c r="AA1489">
        <v>0</v>
      </c>
      <c r="AB1489">
        <v>0</v>
      </c>
      <c r="AC1489">
        <v>0</v>
      </c>
      <c r="AD1489">
        <v>0</v>
      </c>
      <c r="AE1489" s="3">
        <v>1100</v>
      </c>
      <c r="AF1489" t="s">
        <v>54</v>
      </c>
      <c r="AG1489" t="s">
        <v>59</v>
      </c>
      <c r="AH1489" t="s">
        <v>102</v>
      </c>
      <c r="AI1489" t="s">
        <v>73</v>
      </c>
      <c r="AJ1489" t="s">
        <v>73</v>
      </c>
      <c r="AK1489" s="5">
        <v>45978.724328703705</v>
      </c>
      <c r="AO1489" t="s">
        <v>54</v>
      </c>
      <c r="AP1489">
        <v>0</v>
      </c>
      <c r="AR1489" t="s">
        <v>54</v>
      </c>
      <c r="AS1489" t="s">
        <v>54</v>
      </c>
      <c r="AT1489">
        <v>161</v>
      </c>
      <c r="AU1489" t="s">
        <v>55</v>
      </c>
    </row>
    <row r="1490" spans="1:47" hidden="1" x14ac:dyDescent="0.25">
      <c r="A1490" t="s">
        <v>81</v>
      </c>
      <c r="B1490" s="1">
        <v>38264</v>
      </c>
      <c r="C1490" t="s">
        <v>48</v>
      </c>
      <c r="D1490" s="3" t="s">
        <v>49</v>
      </c>
      <c r="E1490" s="2">
        <v>45979</v>
      </c>
      <c r="F1490" t="s">
        <v>399</v>
      </c>
      <c r="G1490" s="3" t="s">
        <v>69</v>
      </c>
      <c r="H1490" s="3">
        <v>21200</v>
      </c>
      <c r="I1490" s="3">
        <v>21200</v>
      </c>
      <c r="J1490">
        <v>0</v>
      </c>
      <c r="K1490" s="3">
        <v>21200</v>
      </c>
      <c r="L1490" s="3">
        <v>3475</v>
      </c>
      <c r="M1490" s="3">
        <v>2067.63</v>
      </c>
      <c r="N1490" t="s">
        <v>52</v>
      </c>
      <c r="O1490" t="s">
        <v>53</v>
      </c>
      <c r="P1490" t="s">
        <v>53</v>
      </c>
      <c r="Q1490" t="s">
        <v>53</v>
      </c>
      <c r="R1490" t="s">
        <v>54</v>
      </c>
      <c r="S1490" t="s">
        <v>54</v>
      </c>
      <c r="T1490" t="s">
        <v>55</v>
      </c>
      <c r="U1490">
        <v>126</v>
      </c>
      <c r="V1490" t="s">
        <v>56</v>
      </c>
      <c r="W1490" t="s">
        <v>113</v>
      </c>
      <c r="X1490" s="4">
        <v>0</v>
      </c>
      <c r="Y1490" t="s">
        <v>62</v>
      </c>
      <c r="AB1490" s="3"/>
      <c r="AE1490" s="3"/>
      <c r="AK1490" s="5"/>
    </row>
    <row r="1491" spans="1:47" hidden="1" x14ac:dyDescent="0.25">
      <c r="A1491" t="s">
        <v>63</v>
      </c>
      <c r="B1491" s="1">
        <v>0</v>
      </c>
      <c r="C1491">
        <v>0</v>
      </c>
      <c r="D1491" s="3">
        <v>3475</v>
      </c>
      <c r="E1491" s="2">
        <v>0</v>
      </c>
      <c r="F1491">
        <v>0</v>
      </c>
      <c r="G1491" s="3">
        <v>5000</v>
      </c>
      <c r="H1491" s="3" t="s">
        <v>54</v>
      </c>
      <c r="I1491" s="3" t="s">
        <v>59</v>
      </c>
      <c r="K1491" s="3" t="s">
        <v>60</v>
      </c>
      <c r="L1491" s="3" t="s">
        <v>60</v>
      </c>
      <c r="M1491" s="3">
        <v>45979.519884259258</v>
      </c>
      <c r="Q1491" t="s">
        <v>54</v>
      </c>
      <c r="R1491">
        <v>0</v>
      </c>
      <c r="T1491" t="s">
        <v>54</v>
      </c>
      <c r="U1491" t="s">
        <v>54</v>
      </c>
      <c r="V1491">
        <v>8701</v>
      </c>
      <c r="W1491" t="s">
        <v>55</v>
      </c>
      <c r="X1491" s="4"/>
      <c r="AK1491" s="5"/>
    </row>
    <row r="1492" spans="1:47" hidden="1" x14ac:dyDescent="0.25">
      <c r="A1492" t="s">
        <v>81</v>
      </c>
      <c r="B1492" s="1">
        <v>38265</v>
      </c>
      <c r="C1492" t="s">
        <v>48</v>
      </c>
      <c r="D1492" s="3" t="s">
        <v>49</v>
      </c>
      <c r="E1492" s="2">
        <v>45979</v>
      </c>
      <c r="F1492" t="s">
        <v>405</v>
      </c>
      <c r="G1492" s="3" t="s">
        <v>88</v>
      </c>
      <c r="H1492" s="3">
        <v>5150</v>
      </c>
      <c r="I1492" s="3">
        <v>5150</v>
      </c>
      <c r="J1492">
        <v>0</v>
      </c>
      <c r="K1492" s="3">
        <v>5150</v>
      </c>
      <c r="L1492">
        <v>802</v>
      </c>
      <c r="M1492" s="3">
        <v>481.2</v>
      </c>
      <c r="N1492" t="s">
        <v>52</v>
      </c>
      <c r="O1492" t="s">
        <v>53</v>
      </c>
      <c r="P1492" t="s">
        <v>53</v>
      </c>
      <c r="Q1492" t="s">
        <v>53</v>
      </c>
      <c r="R1492" t="s">
        <v>54</v>
      </c>
      <c r="S1492" t="s">
        <v>54</v>
      </c>
      <c r="T1492" t="s">
        <v>55</v>
      </c>
      <c r="U1492">
        <v>126</v>
      </c>
      <c r="V1492" t="s">
        <v>56</v>
      </c>
      <c r="W1492" t="s">
        <v>406</v>
      </c>
      <c r="X1492" s="4">
        <v>0</v>
      </c>
      <c r="Y1492" t="s">
        <v>58</v>
      </c>
      <c r="Z1492">
        <v>0</v>
      </c>
      <c r="AA1492">
        <v>0</v>
      </c>
      <c r="AB1492">
        <v>802</v>
      </c>
      <c r="AC1492">
        <v>0</v>
      </c>
      <c r="AD1492">
        <v>0</v>
      </c>
      <c r="AE1492" s="3">
        <v>1000</v>
      </c>
      <c r="AF1492" t="s">
        <v>54</v>
      </c>
      <c r="AG1492" t="s">
        <v>59</v>
      </c>
      <c r="AH1492" t="s">
        <v>147</v>
      </c>
      <c r="AI1492" t="s">
        <v>60</v>
      </c>
      <c r="AJ1492" t="s">
        <v>60</v>
      </c>
      <c r="AK1492" s="5">
        <v>45982.705046296294</v>
      </c>
      <c r="AO1492" t="s">
        <v>54</v>
      </c>
      <c r="AP1492">
        <v>0</v>
      </c>
      <c r="AR1492" t="s">
        <v>54</v>
      </c>
      <c r="AS1492" t="s">
        <v>54</v>
      </c>
      <c r="AT1492">
        <v>5603</v>
      </c>
      <c r="AU1492" t="s">
        <v>55</v>
      </c>
    </row>
    <row r="1493" spans="1:47" hidden="1" x14ac:dyDescent="0.25">
      <c r="A1493" t="s">
        <v>81</v>
      </c>
      <c r="B1493" s="1">
        <v>38266</v>
      </c>
      <c r="C1493" t="s">
        <v>48</v>
      </c>
      <c r="D1493" t="s">
        <v>49</v>
      </c>
      <c r="E1493" s="2">
        <v>45979</v>
      </c>
      <c r="F1493" t="s">
        <v>405</v>
      </c>
      <c r="G1493" t="s">
        <v>88</v>
      </c>
      <c r="H1493" s="3">
        <v>5150</v>
      </c>
      <c r="I1493" s="3">
        <v>5150</v>
      </c>
      <c r="J1493">
        <v>0</v>
      </c>
      <c r="K1493" s="3">
        <v>5150</v>
      </c>
      <c r="L1493" s="3">
        <v>802</v>
      </c>
      <c r="M1493" s="3">
        <v>481.2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406</v>
      </c>
      <c r="X1493" s="4">
        <v>0</v>
      </c>
      <c r="Y1493" t="s">
        <v>58</v>
      </c>
      <c r="Z1493">
        <v>0</v>
      </c>
      <c r="AA1493">
        <v>0</v>
      </c>
      <c r="AB1493">
        <v>802</v>
      </c>
      <c r="AC1493">
        <v>0</v>
      </c>
      <c r="AD1493">
        <v>0</v>
      </c>
      <c r="AE1493" s="3">
        <v>1000</v>
      </c>
      <c r="AF1493" t="s">
        <v>54</v>
      </c>
      <c r="AG1493" t="s">
        <v>59</v>
      </c>
      <c r="AH1493" t="s">
        <v>147</v>
      </c>
      <c r="AI1493" t="s">
        <v>60</v>
      </c>
      <c r="AJ1493" t="s">
        <v>60</v>
      </c>
      <c r="AK1493" s="5">
        <v>45982.705393518518</v>
      </c>
      <c r="AO1493" t="s">
        <v>54</v>
      </c>
      <c r="AP1493">
        <v>0</v>
      </c>
      <c r="AR1493" t="s">
        <v>54</v>
      </c>
      <c r="AS1493" t="s">
        <v>54</v>
      </c>
      <c r="AT1493">
        <v>5603</v>
      </c>
      <c r="AU1493" t="s">
        <v>55</v>
      </c>
    </row>
    <row r="1494" spans="1:47" hidden="1" x14ac:dyDescent="0.25">
      <c r="A1494" t="s">
        <v>47</v>
      </c>
      <c r="B1494" s="1">
        <v>38267</v>
      </c>
      <c r="C1494" t="s">
        <v>48</v>
      </c>
      <c r="D1494" s="3" t="s">
        <v>49</v>
      </c>
      <c r="E1494" s="2">
        <v>45979</v>
      </c>
      <c r="F1494" t="s">
        <v>146</v>
      </c>
      <c r="G1494" s="3" t="s">
        <v>88</v>
      </c>
      <c r="H1494" s="3">
        <v>33350</v>
      </c>
      <c r="I1494" s="3">
        <v>33350</v>
      </c>
      <c r="J1494">
        <v>0</v>
      </c>
      <c r="K1494" s="3">
        <v>38352.5</v>
      </c>
      <c r="L1494" s="3">
        <v>5057.5</v>
      </c>
      <c r="M1494" s="3">
        <v>3135.65</v>
      </c>
      <c r="N1494" t="s">
        <v>52</v>
      </c>
      <c r="O1494" t="s">
        <v>53</v>
      </c>
      <c r="P1494" t="s">
        <v>53</v>
      </c>
      <c r="Q1494" t="s">
        <v>53</v>
      </c>
      <c r="R1494" t="s">
        <v>54</v>
      </c>
      <c r="S1494" t="s">
        <v>54</v>
      </c>
      <c r="T1494" t="s">
        <v>55</v>
      </c>
      <c r="U1494">
        <v>126</v>
      </c>
      <c r="V1494" t="s">
        <v>56</v>
      </c>
      <c r="W1494" t="s">
        <v>94</v>
      </c>
      <c r="X1494" s="4">
        <v>0</v>
      </c>
      <c r="Y1494" t="s">
        <v>62</v>
      </c>
      <c r="Z1494" s="3"/>
      <c r="AE1494" s="3"/>
      <c r="AK1494" s="5"/>
    </row>
    <row r="1495" spans="1:47" hidden="1" x14ac:dyDescent="0.25">
      <c r="A1495" t="s">
        <v>63</v>
      </c>
      <c r="B1495" s="1">
        <v>0</v>
      </c>
      <c r="C1495">
        <v>0</v>
      </c>
      <c r="D1495" s="3">
        <v>5057.5</v>
      </c>
      <c r="E1495" s="2">
        <v>0</v>
      </c>
      <c r="F1495">
        <v>0</v>
      </c>
      <c r="G1495" s="3">
        <v>2500</v>
      </c>
      <c r="H1495" s="3" t="s">
        <v>54</v>
      </c>
      <c r="I1495" s="3" t="s">
        <v>59</v>
      </c>
      <c r="J1495" t="s">
        <v>147</v>
      </c>
      <c r="K1495" s="3" t="s">
        <v>60</v>
      </c>
      <c r="L1495" s="3" t="s">
        <v>60</v>
      </c>
      <c r="M1495" s="3">
        <v>45979.60701388889</v>
      </c>
      <c r="Q1495" t="s">
        <v>54</v>
      </c>
      <c r="R1495">
        <v>0</v>
      </c>
      <c r="T1495" t="s">
        <v>54</v>
      </c>
      <c r="U1495" t="s">
        <v>54</v>
      </c>
      <c r="V1495">
        <v>8478</v>
      </c>
      <c r="W1495" t="s">
        <v>55</v>
      </c>
      <c r="X1495" s="4"/>
      <c r="Z1495" s="3"/>
      <c r="AE1495" s="3"/>
      <c r="AK1495" s="5"/>
    </row>
    <row r="1496" spans="1:47" hidden="1" x14ac:dyDescent="0.25">
      <c r="A1496" t="s">
        <v>47</v>
      </c>
      <c r="B1496" s="1">
        <v>38268</v>
      </c>
      <c r="C1496" t="s">
        <v>48</v>
      </c>
      <c r="D1496" t="s">
        <v>49</v>
      </c>
      <c r="E1496" s="2">
        <v>45979</v>
      </c>
      <c r="F1496" t="s">
        <v>146</v>
      </c>
      <c r="G1496" s="3" t="s">
        <v>88</v>
      </c>
      <c r="H1496" s="3">
        <v>33350</v>
      </c>
      <c r="I1496" s="3">
        <v>33350</v>
      </c>
      <c r="J1496">
        <v>0</v>
      </c>
      <c r="K1496" s="3">
        <v>38352.5</v>
      </c>
      <c r="L1496" s="3">
        <v>5077.5</v>
      </c>
      <c r="M1496" s="3">
        <v>3148.05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94</v>
      </c>
      <c r="X1496" s="4">
        <v>0</v>
      </c>
      <c r="Y1496" t="s">
        <v>62</v>
      </c>
      <c r="Z1496" s="3"/>
      <c r="AE1496" s="3"/>
      <c r="AK1496" s="5"/>
    </row>
    <row r="1497" spans="1:47" hidden="1" x14ac:dyDescent="0.25">
      <c r="A1497" t="s">
        <v>63</v>
      </c>
      <c r="B1497" s="1">
        <v>0</v>
      </c>
      <c r="C1497">
        <v>0</v>
      </c>
      <c r="D1497" s="3">
        <v>5077.5</v>
      </c>
      <c r="E1497" s="2">
        <v>0</v>
      </c>
      <c r="F1497">
        <v>0</v>
      </c>
      <c r="G1497" s="3">
        <v>2500</v>
      </c>
      <c r="H1497" s="3" t="s">
        <v>54</v>
      </c>
      <c r="I1497" s="3" t="s">
        <v>59</v>
      </c>
      <c r="J1497" t="s">
        <v>147</v>
      </c>
      <c r="K1497" s="3" t="s">
        <v>60</v>
      </c>
      <c r="L1497" s="3" t="s">
        <v>60</v>
      </c>
      <c r="M1497" s="3">
        <v>45979.613078703704</v>
      </c>
      <c r="Q1497" t="s">
        <v>54</v>
      </c>
      <c r="R1497">
        <v>0</v>
      </c>
      <c r="T1497" t="s">
        <v>54</v>
      </c>
      <c r="U1497" t="s">
        <v>54</v>
      </c>
      <c r="V1497">
        <v>8478</v>
      </c>
      <c r="W1497" t="s">
        <v>55</v>
      </c>
      <c r="X1497" s="4"/>
    </row>
    <row r="1498" spans="1:47" hidden="1" x14ac:dyDescent="0.25">
      <c r="A1498" t="s">
        <v>47</v>
      </c>
      <c r="B1498" s="1">
        <v>38269</v>
      </c>
      <c r="C1498" t="s">
        <v>48</v>
      </c>
      <c r="D1498" t="s">
        <v>49</v>
      </c>
      <c r="E1498" s="2">
        <v>45979</v>
      </c>
      <c r="F1498" t="s">
        <v>146</v>
      </c>
      <c r="G1498" s="3" t="s">
        <v>88</v>
      </c>
      <c r="H1498" s="3">
        <v>33350</v>
      </c>
      <c r="I1498" s="3">
        <v>33350</v>
      </c>
      <c r="J1498">
        <v>0</v>
      </c>
      <c r="K1498" s="3">
        <v>38352.5</v>
      </c>
      <c r="L1498" s="3">
        <v>5057.5</v>
      </c>
      <c r="M1498" s="3">
        <v>3135.65</v>
      </c>
      <c r="N1498" t="s">
        <v>52</v>
      </c>
      <c r="O1498" t="s">
        <v>53</v>
      </c>
      <c r="P1498" t="s">
        <v>53</v>
      </c>
      <c r="Q1498" t="s">
        <v>53</v>
      </c>
      <c r="R1498" t="s">
        <v>54</v>
      </c>
      <c r="S1498" t="s">
        <v>54</v>
      </c>
      <c r="T1498" t="s">
        <v>55</v>
      </c>
      <c r="U1498">
        <v>126</v>
      </c>
      <c r="V1498" t="s">
        <v>56</v>
      </c>
      <c r="W1498" t="s">
        <v>94</v>
      </c>
      <c r="X1498" s="4">
        <v>0</v>
      </c>
      <c r="Y1498" t="s">
        <v>62</v>
      </c>
    </row>
    <row r="1499" spans="1:47" hidden="1" x14ac:dyDescent="0.25">
      <c r="A1499" t="s">
        <v>63</v>
      </c>
      <c r="B1499" s="1">
        <v>0</v>
      </c>
      <c r="C1499">
        <v>0</v>
      </c>
      <c r="D1499" s="3">
        <v>5057.5</v>
      </c>
      <c r="E1499" s="2">
        <v>0</v>
      </c>
      <c r="F1499">
        <v>0</v>
      </c>
      <c r="G1499" s="3">
        <v>2500</v>
      </c>
      <c r="H1499" s="3" t="s">
        <v>54</v>
      </c>
      <c r="I1499" s="3" t="s">
        <v>59</v>
      </c>
      <c r="J1499" t="s">
        <v>147</v>
      </c>
      <c r="K1499" s="3" t="s">
        <v>60</v>
      </c>
      <c r="L1499" s="3" t="s">
        <v>60</v>
      </c>
      <c r="M1499" s="3">
        <v>45979.61519675926</v>
      </c>
      <c r="Q1499" t="s">
        <v>54</v>
      </c>
      <c r="R1499">
        <v>0</v>
      </c>
      <c r="T1499" t="s">
        <v>54</v>
      </c>
      <c r="U1499" t="s">
        <v>54</v>
      </c>
      <c r="V1499">
        <v>8478</v>
      </c>
      <c r="W1499" t="s">
        <v>55</v>
      </c>
      <c r="X1499" s="4"/>
      <c r="AE1499" s="3"/>
      <c r="AK1499" s="5"/>
    </row>
    <row r="1500" spans="1:47" hidden="1" x14ac:dyDescent="0.25">
      <c r="A1500" t="s">
        <v>47</v>
      </c>
      <c r="B1500" s="1">
        <v>38270</v>
      </c>
      <c r="C1500" t="s">
        <v>48</v>
      </c>
      <c r="D1500" t="s">
        <v>49</v>
      </c>
      <c r="E1500" s="2">
        <v>45980</v>
      </c>
      <c r="F1500" t="s">
        <v>110</v>
      </c>
      <c r="G1500" s="3" t="s">
        <v>69</v>
      </c>
      <c r="H1500" s="3">
        <v>15300</v>
      </c>
      <c r="I1500" s="3">
        <v>15300</v>
      </c>
      <c r="J1500">
        <v>0</v>
      </c>
      <c r="K1500" s="3">
        <v>17595</v>
      </c>
      <c r="L1500" s="3">
        <v>3492</v>
      </c>
      <c r="M1500" s="3">
        <v>1361.88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94</v>
      </c>
      <c r="X1500" s="4">
        <v>0</v>
      </c>
      <c r="Y1500" t="s">
        <v>58</v>
      </c>
      <c r="Z1500" s="3">
        <v>3492</v>
      </c>
      <c r="AA1500">
        <v>0</v>
      </c>
      <c r="AB1500">
        <v>0</v>
      </c>
      <c r="AC1500">
        <v>0</v>
      </c>
      <c r="AD1500">
        <v>0</v>
      </c>
      <c r="AE1500" s="3">
        <v>3000</v>
      </c>
      <c r="AF1500" t="s">
        <v>54</v>
      </c>
      <c r="AG1500" t="s">
        <v>59</v>
      </c>
      <c r="AI1500" t="s">
        <v>60</v>
      </c>
      <c r="AJ1500" t="s">
        <v>60</v>
      </c>
      <c r="AK1500" s="5">
        <v>45980.5546875</v>
      </c>
      <c r="AO1500" t="s">
        <v>54</v>
      </c>
      <c r="AP1500">
        <v>0</v>
      </c>
      <c r="AR1500" t="s">
        <v>54</v>
      </c>
      <c r="AS1500" t="s">
        <v>54</v>
      </c>
      <c r="AT1500">
        <v>1877</v>
      </c>
      <c r="AU1500" t="s">
        <v>55</v>
      </c>
    </row>
    <row r="1501" spans="1:47" hidden="1" x14ac:dyDescent="0.25">
      <c r="A1501" t="s">
        <v>47</v>
      </c>
      <c r="B1501" s="1">
        <v>38271</v>
      </c>
      <c r="C1501" t="s">
        <v>48</v>
      </c>
      <c r="D1501" t="s">
        <v>49</v>
      </c>
      <c r="E1501" s="2">
        <v>45980</v>
      </c>
      <c r="F1501" t="s">
        <v>110</v>
      </c>
      <c r="G1501" s="3" t="s">
        <v>69</v>
      </c>
      <c r="H1501" s="3">
        <v>5100</v>
      </c>
      <c r="I1501" s="3">
        <v>5100</v>
      </c>
      <c r="J1501">
        <v>0</v>
      </c>
      <c r="K1501" s="3">
        <v>5865</v>
      </c>
      <c r="L1501" s="3">
        <v>1164</v>
      </c>
      <c r="M1501" s="3">
        <v>453.96</v>
      </c>
      <c r="N1501" t="s">
        <v>52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126</v>
      </c>
      <c r="V1501" t="s">
        <v>56</v>
      </c>
      <c r="W1501" t="s">
        <v>94</v>
      </c>
      <c r="X1501" s="4">
        <v>0</v>
      </c>
      <c r="Y1501" t="s">
        <v>58</v>
      </c>
      <c r="Z1501" s="3">
        <v>1164</v>
      </c>
      <c r="AA1501">
        <v>0</v>
      </c>
      <c r="AB1501" s="3">
        <v>0</v>
      </c>
      <c r="AC1501">
        <v>0</v>
      </c>
      <c r="AD1501">
        <v>0</v>
      </c>
      <c r="AE1501" s="3">
        <v>1000</v>
      </c>
      <c r="AF1501" t="s">
        <v>54</v>
      </c>
      <c r="AG1501" t="s">
        <v>59</v>
      </c>
      <c r="AI1501" t="s">
        <v>60</v>
      </c>
      <c r="AJ1501" t="s">
        <v>91</v>
      </c>
      <c r="AK1501" s="5">
        <v>45985.324143518519</v>
      </c>
      <c r="AO1501" t="s">
        <v>54</v>
      </c>
      <c r="AP1501">
        <v>0</v>
      </c>
      <c r="AR1501" t="s">
        <v>54</v>
      </c>
      <c r="AS1501" t="s">
        <v>54</v>
      </c>
      <c r="AT1501">
        <v>1877</v>
      </c>
      <c r="AU1501" t="s">
        <v>55</v>
      </c>
    </row>
    <row r="1502" spans="1:47" hidden="1" x14ac:dyDescent="0.25">
      <c r="A1502" t="s">
        <v>47</v>
      </c>
      <c r="B1502" s="1">
        <v>38272</v>
      </c>
      <c r="C1502" t="s">
        <v>48</v>
      </c>
      <c r="D1502" t="s">
        <v>49</v>
      </c>
      <c r="E1502" s="2">
        <v>45980</v>
      </c>
      <c r="F1502" t="s">
        <v>302</v>
      </c>
      <c r="G1502" s="3" t="s">
        <v>86</v>
      </c>
      <c r="H1502" s="3">
        <v>6600</v>
      </c>
      <c r="I1502" s="3">
        <v>6600</v>
      </c>
      <c r="J1502">
        <v>0</v>
      </c>
      <c r="K1502" s="3">
        <v>7590</v>
      </c>
      <c r="L1502" s="3">
        <v>903</v>
      </c>
      <c r="M1502" s="3">
        <v>559.86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174</v>
      </c>
      <c r="X1502" s="4">
        <v>0</v>
      </c>
      <c r="Y1502" t="s">
        <v>62</v>
      </c>
      <c r="Z1502" s="3"/>
      <c r="AB1502" s="3"/>
      <c r="AE1502" s="3"/>
      <c r="AK1502" s="5"/>
    </row>
    <row r="1503" spans="1:47" hidden="1" x14ac:dyDescent="0.25">
      <c r="A1503" t="s">
        <v>63</v>
      </c>
      <c r="B1503" s="1">
        <v>0</v>
      </c>
      <c r="C1503">
        <v>0</v>
      </c>
      <c r="D1503">
        <v>903</v>
      </c>
      <c r="E1503" s="2">
        <v>0</v>
      </c>
      <c r="F1503">
        <v>0</v>
      </c>
      <c r="G1503">
        <v>600</v>
      </c>
      <c r="H1503" s="3" t="s">
        <v>54</v>
      </c>
      <c r="I1503" s="3" t="s">
        <v>59</v>
      </c>
      <c r="K1503" s="3" t="s">
        <v>60</v>
      </c>
      <c r="L1503" s="3" t="s">
        <v>60</v>
      </c>
      <c r="M1503" s="3">
        <v>45982.474780092591</v>
      </c>
      <c r="Q1503" t="s">
        <v>54</v>
      </c>
      <c r="R1503">
        <v>0</v>
      </c>
      <c r="T1503" t="s">
        <v>54</v>
      </c>
      <c r="U1503" t="s">
        <v>54</v>
      </c>
      <c r="V1503">
        <v>7376</v>
      </c>
      <c r="W1503" t="s">
        <v>55</v>
      </c>
      <c r="X1503" s="4"/>
      <c r="AK1503" s="5"/>
    </row>
    <row r="1504" spans="1:47" hidden="1" x14ac:dyDescent="0.25">
      <c r="A1504" t="s">
        <v>81</v>
      </c>
      <c r="B1504" s="1">
        <v>38274</v>
      </c>
      <c r="C1504" t="s">
        <v>48</v>
      </c>
      <c r="D1504" t="s">
        <v>436</v>
      </c>
      <c r="E1504" s="2">
        <v>45980</v>
      </c>
      <c r="F1504" t="s">
        <v>274</v>
      </c>
      <c r="G1504" s="3" t="s">
        <v>155</v>
      </c>
      <c r="H1504" s="3">
        <v>2230</v>
      </c>
      <c r="I1504" s="3">
        <v>2230</v>
      </c>
      <c r="J1504">
        <v>0</v>
      </c>
      <c r="K1504" s="3">
        <v>2230</v>
      </c>
      <c r="L1504">
        <v>561</v>
      </c>
      <c r="M1504" s="3">
        <v>162.69</v>
      </c>
      <c r="N1504" t="s">
        <v>97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167</v>
      </c>
      <c r="V1504" t="s">
        <v>144</v>
      </c>
      <c r="W1504" t="s">
        <v>129</v>
      </c>
      <c r="X1504" s="4">
        <v>0</v>
      </c>
      <c r="Y1504" t="s">
        <v>62</v>
      </c>
      <c r="AK1504" s="5"/>
    </row>
    <row r="1505" spans="1:47" hidden="1" x14ac:dyDescent="0.25">
      <c r="A1505" t="s">
        <v>63</v>
      </c>
      <c r="B1505" s="1">
        <v>561</v>
      </c>
      <c r="C1505">
        <v>0</v>
      </c>
      <c r="D1505">
        <v>0</v>
      </c>
      <c r="E1505" s="2">
        <v>0</v>
      </c>
      <c r="F1505">
        <v>0</v>
      </c>
      <c r="G1505" s="3">
        <v>1000</v>
      </c>
      <c r="H1505" s="3" t="s">
        <v>54</v>
      </c>
      <c r="I1505" s="3" t="s">
        <v>59</v>
      </c>
      <c r="J1505" t="s">
        <v>235</v>
      </c>
      <c r="K1505" s="3" t="s">
        <v>91</v>
      </c>
      <c r="L1505" s="3" t="s">
        <v>91</v>
      </c>
      <c r="M1505" s="3">
        <v>45980.604409722226</v>
      </c>
      <c r="Q1505" t="s">
        <v>54</v>
      </c>
      <c r="R1505">
        <v>0</v>
      </c>
      <c r="T1505" t="s">
        <v>54</v>
      </c>
      <c r="U1505" t="s">
        <v>54</v>
      </c>
      <c r="V1505">
        <v>6012</v>
      </c>
      <c r="W1505" t="s">
        <v>55</v>
      </c>
      <c r="X1505" s="4"/>
      <c r="AE1505" s="3"/>
      <c r="AK1505" s="5"/>
    </row>
    <row r="1506" spans="1:47" hidden="1" x14ac:dyDescent="0.25">
      <c r="A1506" t="s">
        <v>81</v>
      </c>
      <c r="B1506" s="1">
        <v>38275</v>
      </c>
      <c r="C1506" t="s">
        <v>48</v>
      </c>
      <c r="D1506" s="3" t="s">
        <v>49</v>
      </c>
      <c r="E1506" s="2">
        <v>45980</v>
      </c>
      <c r="F1506" t="s">
        <v>333</v>
      </c>
      <c r="G1506" s="3" t="s">
        <v>69</v>
      </c>
      <c r="H1506" s="3">
        <v>3763.2</v>
      </c>
      <c r="I1506" s="3">
        <v>3763.2</v>
      </c>
      <c r="J1506">
        <v>0</v>
      </c>
      <c r="K1506" s="3">
        <v>3763.2</v>
      </c>
      <c r="L1506">
        <v>638.4</v>
      </c>
      <c r="M1506" s="3">
        <v>300.05</v>
      </c>
      <c r="N1506" t="s">
        <v>77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83</v>
      </c>
      <c r="W1506" t="s">
        <v>132</v>
      </c>
      <c r="X1506" s="4">
        <v>0</v>
      </c>
      <c r="Y1506" t="s">
        <v>58</v>
      </c>
      <c r="Z1506">
        <v>0</v>
      </c>
      <c r="AA1506">
        <v>0</v>
      </c>
      <c r="AB1506">
        <v>0</v>
      </c>
      <c r="AC1506">
        <v>0</v>
      </c>
      <c r="AD1506">
        <v>638.4</v>
      </c>
      <c r="AE1506" s="3">
        <v>1680</v>
      </c>
      <c r="AF1506" t="s">
        <v>54</v>
      </c>
      <c r="AG1506" t="s">
        <v>59</v>
      </c>
      <c r="AI1506" t="s">
        <v>80</v>
      </c>
      <c r="AJ1506" t="s">
        <v>73</v>
      </c>
      <c r="AK1506" s="5">
        <v>45980.620925925927</v>
      </c>
      <c r="AO1506" t="s">
        <v>54</v>
      </c>
      <c r="AP1506">
        <v>0</v>
      </c>
      <c r="AR1506" t="s">
        <v>54</v>
      </c>
      <c r="AS1506" t="s">
        <v>54</v>
      </c>
      <c r="AT1506">
        <v>4097</v>
      </c>
      <c r="AU1506" t="s">
        <v>55</v>
      </c>
    </row>
    <row r="1507" spans="1:47" hidden="1" x14ac:dyDescent="0.25">
      <c r="A1507" t="s">
        <v>95</v>
      </c>
      <c r="B1507" s="1">
        <v>38276</v>
      </c>
      <c r="C1507" t="s">
        <v>48</v>
      </c>
      <c r="D1507" t="s">
        <v>49</v>
      </c>
      <c r="E1507" s="2">
        <v>45980</v>
      </c>
      <c r="F1507" t="s">
        <v>159</v>
      </c>
      <c r="G1507" t="s">
        <v>66</v>
      </c>
      <c r="H1507" s="3">
        <v>135.1</v>
      </c>
      <c r="I1507" s="3">
        <v>135.1</v>
      </c>
      <c r="J1507">
        <v>0</v>
      </c>
      <c r="K1507" s="3">
        <v>135.1</v>
      </c>
      <c r="L1507" s="3">
        <v>37.1</v>
      </c>
      <c r="M1507" s="3">
        <v>10.76</v>
      </c>
      <c r="N1507" t="s">
        <v>52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126</v>
      </c>
      <c r="V1507" t="s">
        <v>56</v>
      </c>
      <c r="W1507" t="s">
        <v>160</v>
      </c>
      <c r="X1507" s="4">
        <v>0</v>
      </c>
      <c r="Z1507">
        <v>37.1</v>
      </c>
      <c r="AA1507">
        <v>0</v>
      </c>
      <c r="AB1507">
        <v>0</v>
      </c>
      <c r="AC1507">
        <v>0</v>
      </c>
      <c r="AD1507">
        <v>0</v>
      </c>
      <c r="AE1507" s="3">
        <v>350</v>
      </c>
      <c r="AF1507" t="s">
        <v>54</v>
      </c>
      <c r="AG1507" t="s">
        <v>59</v>
      </c>
      <c r="AI1507" t="s">
        <v>91</v>
      </c>
      <c r="AJ1507" t="s">
        <v>91</v>
      </c>
      <c r="AK1507" s="5">
        <v>45980.635798611111</v>
      </c>
      <c r="AO1507" t="s">
        <v>54</v>
      </c>
      <c r="AP1507">
        <v>0</v>
      </c>
      <c r="AR1507" t="s">
        <v>54</v>
      </c>
      <c r="AS1507" t="s">
        <v>54</v>
      </c>
      <c r="AT1507">
        <v>5486</v>
      </c>
      <c r="AU1507" t="s">
        <v>55</v>
      </c>
    </row>
    <row r="1508" spans="1:47" hidden="1" x14ac:dyDescent="0.25">
      <c r="A1508" t="s">
        <v>47</v>
      </c>
      <c r="B1508" s="1">
        <v>38277</v>
      </c>
      <c r="C1508" t="s">
        <v>48</v>
      </c>
      <c r="D1508" t="s">
        <v>49</v>
      </c>
      <c r="E1508" s="2">
        <v>45980</v>
      </c>
      <c r="F1508" s="3" t="s">
        <v>157</v>
      </c>
      <c r="G1508" s="3" t="s">
        <v>108</v>
      </c>
      <c r="H1508" s="3">
        <v>206176</v>
      </c>
      <c r="I1508" s="3">
        <v>206176</v>
      </c>
      <c r="J1508">
        <v>0</v>
      </c>
      <c r="K1508" s="3">
        <v>237102.4</v>
      </c>
      <c r="L1508" s="3">
        <v>28120.1</v>
      </c>
      <c r="M1508" s="3">
        <v>16864</v>
      </c>
      <c r="N1508" t="s">
        <v>77</v>
      </c>
      <c r="O1508" t="s">
        <v>53</v>
      </c>
      <c r="P1508" t="s">
        <v>53</v>
      </c>
      <c r="Q1508" t="s">
        <v>53</v>
      </c>
      <c r="R1508" t="s">
        <v>54</v>
      </c>
      <c r="S1508" t="s">
        <v>54</v>
      </c>
      <c r="T1508" t="s">
        <v>55</v>
      </c>
      <c r="U1508">
        <v>83</v>
      </c>
      <c r="W1508" t="s">
        <v>158</v>
      </c>
      <c r="X1508" s="4">
        <v>0</v>
      </c>
      <c r="Y1508" t="s">
        <v>58</v>
      </c>
      <c r="Z1508">
        <v>0</v>
      </c>
      <c r="AA1508">
        <v>0</v>
      </c>
      <c r="AB1508" s="3">
        <v>28058.1</v>
      </c>
      <c r="AC1508">
        <v>0</v>
      </c>
      <c r="AD1508">
        <v>62</v>
      </c>
      <c r="AE1508" s="3">
        <v>9750</v>
      </c>
      <c r="AF1508" t="s">
        <v>54</v>
      </c>
      <c r="AG1508" t="s">
        <v>59</v>
      </c>
      <c r="AI1508" t="s">
        <v>80</v>
      </c>
      <c r="AJ1508" t="s">
        <v>91</v>
      </c>
      <c r="AK1508" s="5">
        <v>45982.324884259258</v>
      </c>
      <c r="AO1508" t="s">
        <v>54</v>
      </c>
      <c r="AP1508">
        <v>0</v>
      </c>
      <c r="AR1508" t="s">
        <v>54</v>
      </c>
      <c r="AS1508" t="s">
        <v>54</v>
      </c>
      <c r="AT1508">
        <v>4386</v>
      </c>
      <c r="AU1508" t="s">
        <v>55</v>
      </c>
    </row>
    <row r="1509" spans="1:47" hidden="1" x14ac:dyDescent="0.25">
      <c r="A1509" t="s">
        <v>81</v>
      </c>
      <c r="B1509" s="1">
        <v>38278</v>
      </c>
      <c r="C1509" t="s">
        <v>48</v>
      </c>
      <c r="D1509" t="s">
        <v>49</v>
      </c>
      <c r="E1509" s="2">
        <v>45981</v>
      </c>
      <c r="F1509" t="s">
        <v>159</v>
      </c>
      <c r="G1509" t="s">
        <v>66</v>
      </c>
      <c r="H1509" s="3">
        <v>16762</v>
      </c>
      <c r="I1509" s="3">
        <v>16762</v>
      </c>
      <c r="J1509">
        <v>0</v>
      </c>
      <c r="K1509" s="3">
        <v>16762</v>
      </c>
      <c r="L1509" s="3">
        <v>4685.55</v>
      </c>
      <c r="M1509" s="3">
        <v>1358.82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151</v>
      </c>
      <c r="X1509" s="4">
        <v>0</v>
      </c>
      <c r="Z1509" s="3">
        <v>4685.55</v>
      </c>
      <c r="AA1509">
        <v>0</v>
      </c>
      <c r="AB1509">
        <v>0</v>
      </c>
      <c r="AC1509">
        <v>0</v>
      </c>
      <c r="AD1509">
        <v>0</v>
      </c>
      <c r="AE1509" s="3">
        <v>28150</v>
      </c>
      <c r="AF1509" t="s">
        <v>54</v>
      </c>
      <c r="AG1509" t="s">
        <v>59</v>
      </c>
      <c r="AI1509" t="s">
        <v>60</v>
      </c>
      <c r="AJ1509" t="s">
        <v>91</v>
      </c>
      <c r="AK1509" s="5">
        <v>45982.323599537034</v>
      </c>
      <c r="AO1509" t="s">
        <v>54</v>
      </c>
      <c r="AP1509">
        <v>0</v>
      </c>
      <c r="AR1509" t="s">
        <v>54</v>
      </c>
      <c r="AS1509" t="s">
        <v>54</v>
      </c>
      <c r="AT1509">
        <v>5486</v>
      </c>
      <c r="AU1509" t="s">
        <v>55</v>
      </c>
    </row>
    <row r="1510" spans="1:47" hidden="1" x14ac:dyDescent="0.25">
      <c r="A1510" t="s">
        <v>47</v>
      </c>
      <c r="B1510" s="1">
        <v>38279</v>
      </c>
      <c r="C1510" t="s">
        <v>48</v>
      </c>
      <c r="D1510" t="s">
        <v>49</v>
      </c>
      <c r="E1510" s="2">
        <v>45982</v>
      </c>
      <c r="F1510" t="s">
        <v>202</v>
      </c>
      <c r="G1510" s="3" t="s">
        <v>122</v>
      </c>
      <c r="H1510" s="3">
        <v>4723.2</v>
      </c>
      <c r="I1510" s="3">
        <v>4723.2</v>
      </c>
      <c r="J1510">
        <v>0</v>
      </c>
      <c r="K1510" s="3">
        <v>5431.68</v>
      </c>
      <c r="L1510">
        <v>403.2</v>
      </c>
      <c r="M1510" s="3">
        <v>331.83</v>
      </c>
      <c r="N1510" t="s">
        <v>75</v>
      </c>
      <c r="O1510" t="s">
        <v>53</v>
      </c>
      <c r="P1510" t="s">
        <v>53</v>
      </c>
      <c r="Q1510" t="s">
        <v>53</v>
      </c>
      <c r="R1510" t="s">
        <v>54</v>
      </c>
      <c r="S1510" t="s">
        <v>54</v>
      </c>
      <c r="T1510" t="s">
        <v>55</v>
      </c>
      <c r="U1510">
        <v>43</v>
      </c>
      <c r="W1510" t="s">
        <v>72</v>
      </c>
      <c r="X1510" s="4">
        <v>0</v>
      </c>
      <c r="Y1510" t="s">
        <v>58</v>
      </c>
      <c r="Z1510">
        <v>0</v>
      </c>
      <c r="AA1510">
        <v>0</v>
      </c>
      <c r="AB1510">
        <v>403.2</v>
      </c>
      <c r="AC1510">
        <v>0</v>
      </c>
      <c r="AD1510">
        <v>0</v>
      </c>
      <c r="AE1510">
        <v>120</v>
      </c>
      <c r="AF1510" t="s">
        <v>54</v>
      </c>
      <c r="AG1510" t="s">
        <v>59</v>
      </c>
      <c r="AI1510" t="s">
        <v>91</v>
      </c>
      <c r="AJ1510" t="s">
        <v>91</v>
      </c>
      <c r="AK1510" s="5">
        <v>45982.322708333333</v>
      </c>
      <c r="AO1510" t="s">
        <v>54</v>
      </c>
      <c r="AP1510">
        <v>0</v>
      </c>
      <c r="AR1510" t="s">
        <v>54</v>
      </c>
      <c r="AS1510" t="s">
        <v>54</v>
      </c>
      <c r="AT1510">
        <v>4694</v>
      </c>
      <c r="AU1510" t="s">
        <v>55</v>
      </c>
    </row>
    <row r="1511" spans="1:47" hidden="1" x14ac:dyDescent="0.25">
      <c r="A1511" t="s">
        <v>47</v>
      </c>
      <c r="B1511" s="1">
        <v>38280</v>
      </c>
      <c r="C1511" t="s">
        <v>48</v>
      </c>
      <c r="D1511" t="s">
        <v>49</v>
      </c>
      <c r="E1511" s="2">
        <v>45982</v>
      </c>
      <c r="F1511" t="s">
        <v>124</v>
      </c>
      <c r="G1511" t="s">
        <v>88</v>
      </c>
      <c r="H1511" s="3">
        <v>310</v>
      </c>
      <c r="I1511" s="3">
        <v>310</v>
      </c>
      <c r="J1511">
        <v>0</v>
      </c>
      <c r="K1511" s="3">
        <v>356.5</v>
      </c>
      <c r="L1511" s="3">
        <v>77.5</v>
      </c>
      <c r="M1511" s="3">
        <v>25.58</v>
      </c>
      <c r="N1511" t="s">
        <v>83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9</v>
      </c>
      <c r="V1511" t="s">
        <v>71</v>
      </c>
      <c r="W1511" t="s">
        <v>94</v>
      </c>
      <c r="X1511" s="4">
        <v>0</v>
      </c>
      <c r="Y1511" t="s">
        <v>58</v>
      </c>
      <c r="Z1511">
        <v>0</v>
      </c>
      <c r="AA1511">
        <v>77.5</v>
      </c>
      <c r="AB1511">
        <v>0</v>
      </c>
      <c r="AC1511">
        <v>0</v>
      </c>
      <c r="AD1511">
        <v>0</v>
      </c>
      <c r="AE1511">
        <v>500</v>
      </c>
      <c r="AF1511" t="s">
        <v>54</v>
      </c>
      <c r="AG1511" t="s">
        <v>59</v>
      </c>
      <c r="AI1511" t="s">
        <v>73</v>
      </c>
      <c r="AJ1511" t="s">
        <v>73</v>
      </c>
      <c r="AK1511" s="5">
        <v>45982.360775462963</v>
      </c>
      <c r="AO1511" t="s">
        <v>54</v>
      </c>
      <c r="AP1511">
        <v>0</v>
      </c>
      <c r="AR1511" t="s">
        <v>54</v>
      </c>
      <c r="AS1511" t="s">
        <v>54</v>
      </c>
      <c r="AT1511">
        <v>3204</v>
      </c>
      <c r="AU1511" t="s">
        <v>55</v>
      </c>
    </row>
    <row r="1512" spans="1:47" hidden="1" x14ac:dyDescent="0.25">
      <c r="A1512" t="s">
        <v>47</v>
      </c>
      <c r="B1512" s="1">
        <v>38281</v>
      </c>
      <c r="C1512" t="s">
        <v>48</v>
      </c>
      <c r="D1512" t="s">
        <v>49</v>
      </c>
      <c r="E1512" s="2">
        <v>45982</v>
      </c>
      <c r="F1512" t="s">
        <v>100</v>
      </c>
      <c r="G1512" s="3" t="s">
        <v>93</v>
      </c>
      <c r="H1512" s="3">
        <v>2410</v>
      </c>
      <c r="I1512" s="3">
        <v>2410</v>
      </c>
      <c r="J1512">
        <v>0</v>
      </c>
      <c r="K1512" s="3">
        <v>2771.5</v>
      </c>
      <c r="L1512" s="3">
        <v>599</v>
      </c>
      <c r="M1512" s="3">
        <v>203.66</v>
      </c>
      <c r="N1512" t="s">
        <v>83</v>
      </c>
      <c r="O1512" t="s">
        <v>53</v>
      </c>
      <c r="P1512" t="s">
        <v>53</v>
      </c>
      <c r="Q1512" t="s">
        <v>53</v>
      </c>
      <c r="R1512" t="s">
        <v>54</v>
      </c>
      <c r="S1512" t="s">
        <v>54</v>
      </c>
      <c r="T1512" t="s">
        <v>55</v>
      </c>
      <c r="U1512">
        <v>9</v>
      </c>
      <c r="V1512" t="s">
        <v>71</v>
      </c>
      <c r="W1512" t="s">
        <v>101</v>
      </c>
      <c r="X1512" s="4">
        <v>0</v>
      </c>
      <c r="Y1512" t="s">
        <v>58</v>
      </c>
      <c r="Z1512">
        <v>599</v>
      </c>
      <c r="AA1512">
        <v>0</v>
      </c>
      <c r="AB1512" s="3">
        <v>0</v>
      </c>
      <c r="AC1512">
        <v>0</v>
      </c>
      <c r="AD1512">
        <v>0</v>
      </c>
      <c r="AE1512" s="3">
        <v>1000</v>
      </c>
      <c r="AF1512" t="s">
        <v>54</v>
      </c>
      <c r="AG1512" t="s">
        <v>59</v>
      </c>
      <c r="AH1512" t="s">
        <v>102</v>
      </c>
      <c r="AI1512" t="s">
        <v>73</v>
      </c>
      <c r="AJ1512" t="s">
        <v>73</v>
      </c>
      <c r="AK1512" s="5">
        <v>45982.399641203701</v>
      </c>
      <c r="AO1512" t="s">
        <v>54</v>
      </c>
      <c r="AP1512">
        <v>0</v>
      </c>
      <c r="AR1512" t="s">
        <v>54</v>
      </c>
      <c r="AS1512" t="s">
        <v>54</v>
      </c>
      <c r="AT1512">
        <v>161</v>
      </c>
      <c r="AU1512" t="s">
        <v>55</v>
      </c>
    </row>
    <row r="1513" spans="1:47" hidden="1" x14ac:dyDescent="0.25">
      <c r="A1513" t="s">
        <v>95</v>
      </c>
      <c r="B1513" s="1">
        <v>38282</v>
      </c>
      <c r="C1513" t="s">
        <v>48</v>
      </c>
      <c r="D1513" t="s">
        <v>436</v>
      </c>
      <c r="E1513" s="2">
        <v>45982</v>
      </c>
      <c r="F1513" t="s">
        <v>159</v>
      </c>
      <c r="G1513" t="s">
        <v>66</v>
      </c>
      <c r="H1513" s="3">
        <v>2160</v>
      </c>
      <c r="I1513" s="3">
        <v>2160</v>
      </c>
      <c r="J1513">
        <v>0</v>
      </c>
      <c r="K1513" s="3">
        <v>2160</v>
      </c>
      <c r="L1513" s="3">
        <v>578.4</v>
      </c>
      <c r="M1513" s="3">
        <v>167.74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141</v>
      </c>
      <c r="X1513" s="4">
        <v>0</v>
      </c>
      <c r="Z1513">
        <v>578.4</v>
      </c>
      <c r="AA1513">
        <v>0</v>
      </c>
      <c r="AB1513" s="3">
        <v>0</v>
      </c>
      <c r="AC1513">
        <v>0</v>
      </c>
      <c r="AD1513">
        <v>0</v>
      </c>
      <c r="AE1513" s="3">
        <v>2400</v>
      </c>
      <c r="AF1513" t="s">
        <v>54</v>
      </c>
      <c r="AG1513" t="s">
        <v>59</v>
      </c>
      <c r="AI1513" t="s">
        <v>91</v>
      </c>
      <c r="AJ1513" t="s">
        <v>91</v>
      </c>
      <c r="AK1513" s="5">
        <v>45982.592199074075</v>
      </c>
      <c r="AO1513" t="s">
        <v>54</v>
      </c>
      <c r="AP1513">
        <v>0</v>
      </c>
      <c r="AR1513" t="s">
        <v>54</v>
      </c>
      <c r="AS1513" t="s">
        <v>54</v>
      </c>
      <c r="AT1513">
        <v>5486</v>
      </c>
      <c r="AU1513" t="s">
        <v>55</v>
      </c>
    </row>
    <row r="1514" spans="1:47" hidden="1" x14ac:dyDescent="0.25">
      <c r="A1514" t="s">
        <v>47</v>
      </c>
      <c r="B1514" s="1">
        <v>38283</v>
      </c>
      <c r="C1514" t="s">
        <v>48</v>
      </c>
      <c r="D1514" t="s">
        <v>49</v>
      </c>
      <c r="E1514" s="2">
        <v>45985</v>
      </c>
      <c r="F1514" s="3" t="s">
        <v>202</v>
      </c>
      <c r="G1514" s="3" t="s">
        <v>122</v>
      </c>
      <c r="H1514" s="3">
        <v>2031.3</v>
      </c>
      <c r="I1514" s="3">
        <v>2031.3</v>
      </c>
      <c r="J1514">
        <v>0</v>
      </c>
      <c r="K1514" s="3">
        <v>2335.9899999999998</v>
      </c>
      <c r="L1514">
        <v>185.76</v>
      </c>
      <c r="M1514" s="3">
        <v>138.94999999999999</v>
      </c>
      <c r="N1514" t="s">
        <v>75</v>
      </c>
      <c r="O1514" t="s">
        <v>53</v>
      </c>
      <c r="P1514" t="s">
        <v>53</v>
      </c>
      <c r="Q1514" t="s">
        <v>53</v>
      </c>
      <c r="R1514" t="s">
        <v>54</v>
      </c>
      <c r="S1514" t="s">
        <v>54</v>
      </c>
      <c r="T1514" t="s">
        <v>55</v>
      </c>
      <c r="U1514">
        <v>43</v>
      </c>
      <c r="W1514" t="s">
        <v>72</v>
      </c>
      <c r="X1514" s="4">
        <v>0</v>
      </c>
      <c r="Y1514" t="s">
        <v>58</v>
      </c>
      <c r="Z1514">
        <v>0</v>
      </c>
      <c r="AA1514">
        <v>0</v>
      </c>
      <c r="AB1514">
        <v>185.76</v>
      </c>
      <c r="AC1514">
        <v>0</v>
      </c>
      <c r="AD1514">
        <v>0</v>
      </c>
      <c r="AE1514">
        <v>90</v>
      </c>
      <c r="AF1514" t="s">
        <v>54</v>
      </c>
      <c r="AG1514" t="s">
        <v>59</v>
      </c>
      <c r="AI1514" t="s">
        <v>73</v>
      </c>
      <c r="AJ1514" t="s">
        <v>73</v>
      </c>
      <c r="AK1514" s="5">
        <v>45985.478437500002</v>
      </c>
      <c r="AO1514" t="s">
        <v>54</v>
      </c>
      <c r="AP1514">
        <v>0</v>
      </c>
      <c r="AR1514" t="s">
        <v>54</v>
      </c>
      <c r="AS1514" t="s">
        <v>54</v>
      </c>
      <c r="AT1514">
        <v>4694</v>
      </c>
      <c r="AU1514" t="s">
        <v>55</v>
      </c>
    </row>
    <row r="1515" spans="1:47" hidden="1" x14ac:dyDescent="0.25">
      <c r="A1515" t="s">
        <v>47</v>
      </c>
      <c r="B1515" s="1">
        <v>38284</v>
      </c>
      <c r="C1515" t="s">
        <v>48</v>
      </c>
      <c r="D1515" t="s">
        <v>49</v>
      </c>
      <c r="E1515" s="2">
        <v>45985</v>
      </c>
      <c r="F1515" t="s">
        <v>239</v>
      </c>
      <c r="G1515" t="s">
        <v>240</v>
      </c>
      <c r="H1515" s="3">
        <v>14917</v>
      </c>
      <c r="I1515" s="3">
        <v>14917</v>
      </c>
      <c r="J1515">
        <v>0</v>
      </c>
      <c r="K1515" s="3">
        <v>14917</v>
      </c>
      <c r="L1515" s="3">
        <v>2851</v>
      </c>
      <c r="M1515" s="3">
        <v>1153.02</v>
      </c>
      <c r="N1515" t="s">
        <v>83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hidden="1" x14ac:dyDescent="0.25">
      <c r="A1516" t="s">
        <v>58</v>
      </c>
      <c r="B1516" s="3">
        <v>1558</v>
      </c>
      <c r="C1516">
        <v>0</v>
      </c>
      <c r="D1516">
        <v>0</v>
      </c>
      <c r="E1516" s="2">
        <v>0</v>
      </c>
      <c r="F1516" s="3">
        <v>1293</v>
      </c>
      <c r="G1516" s="3">
        <v>6500</v>
      </c>
      <c r="H1516" t="s">
        <v>54</v>
      </c>
      <c r="I1516" t="s">
        <v>59</v>
      </c>
      <c r="K1516" t="s">
        <v>73</v>
      </c>
      <c r="L1516" t="s">
        <v>91</v>
      </c>
      <c r="M1516" s="3">
        <v>45986.632847222223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  <c r="X1516" s="4"/>
    </row>
    <row r="1517" spans="1:47" hidden="1" x14ac:dyDescent="0.25">
      <c r="A1517" t="s">
        <v>47</v>
      </c>
      <c r="B1517" s="1">
        <v>38285</v>
      </c>
      <c r="C1517" t="s">
        <v>48</v>
      </c>
      <c r="D1517" t="s">
        <v>49</v>
      </c>
      <c r="E1517" s="2">
        <v>45985</v>
      </c>
      <c r="F1517" t="s">
        <v>127</v>
      </c>
      <c r="G1517" t="s">
        <v>128</v>
      </c>
      <c r="H1517" s="3">
        <v>5625.56</v>
      </c>
      <c r="I1517" s="3">
        <v>5625.56</v>
      </c>
      <c r="J1517">
        <v>0</v>
      </c>
      <c r="K1517" s="3">
        <v>6469.39</v>
      </c>
      <c r="L1517" s="3">
        <v>1218.81</v>
      </c>
      <c r="M1517" s="3">
        <v>462.56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141</v>
      </c>
      <c r="X1517" s="4">
        <v>0</v>
      </c>
      <c r="Y1517" t="s">
        <v>62</v>
      </c>
      <c r="AB1517" s="3"/>
      <c r="AE1517" s="3"/>
      <c r="AK1517" s="5"/>
    </row>
    <row r="1518" spans="1:47" hidden="1" x14ac:dyDescent="0.25">
      <c r="A1518" t="s">
        <v>63</v>
      </c>
      <c r="B1518" s="3">
        <v>1081.19</v>
      </c>
      <c r="C1518">
        <v>0</v>
      </c>
      <c r="D1518">
        <v>0</v>
      </c>
      <c r="E1518" s="2">
        <v>0</v>
      </c>
      <c r="F1518">
        <v>137.62</v>
      </c>
      <c r="G1518" s="3">
        <v>2638</v>
      </c>
      <c r="H1518" s="3" t="s">
        <v>54</v>
      </c>
      <c r="I1518" s="3" t="s">
        <v>59</v>
      </c>
      <c r="K1518" s="3" t="s">
        <v>60</v>
      </c>
      <c r="L1518" s="3" t="s">
        <v>60</v>
      </c>
      <c r="M1518" s="3">
        <v>45985.640416666669</v>
      </c>
      <c r="Q1518" t="s">
        <v>54</v>
      </c>
      <c r="R1518">
        <v>0</v>
      </c>
      <c r="T1518" t="s">
        <v>54</v>
      </c>
      <c r="U1518" t="s">
        <v>54</v>
      </c>
      <c r="V1518">
        <v>6379</v>
      </c>
      <c r="W1518" t="s">
        <v>55</v>
      </c>
      <c r="X1518" s="4"/>
    </row>
    <row r="1519" spans="1:47" hidden="1" x14ac:dyDescent="0.25">
      <c r="A1519" t="s">
        <v>47</v>
      </c>
      <c r="B1519" s="1">
        <v>38286</v>
      </c>
      <c r="C1519" t="s">
        <v>48</v>
      </c>
      <c r="D1519" s="3" t="s">
        <v>49</v>
      </c>
      <c r="E1519" s="2">
        <v>45985</v>
      </c>
      <c r="F1519" t="s">
        <v>127</v>
      </c>
      <c r="G1519" s="3" t="s">
        <v>128</v>
      </c>
      <c r="H1519" s="3">
        <v>18898.88</v>
      </c>
      <c r="I1519" s="3">
        <v>18898.88</v>
      </c>
      <c r="J1519">
        <v>0</v>
      </c>
      <c r="K1519" s="3">
        <v>21733.71</v>
      </c>
      <c r="L1519" s="3">
        <v>3827.19</v>
      </c>
      <c r="M1519" s="3">
        <v>1516</v>
      </c>
      <c r="N1519" t="s">
        <v>52</v>
      </c>
      <c r="O1519" t="s">
        <v>53</v>
      </c>
      <c r="P1519" t="s">
        <v>53</v>
      </c>
      <c r="Q1519" t="s">
        <v>53</v>
      </c>
      <c r="R1519" t="s">
        <v>54</v>
      </c>
      <c r="S1519" t="s">
        <v>54</v>
      </c>
      <c r="T1519" t="s">
        <v>55</v>
      </c>
      <c r="U1519">
        <v>126</v>
      </c>
      <c r="V1519" t="s">
        <v>56</v>
      </c>
      <c r="W1519" t="s">
        <v>141</v>
      </c>
      <c r="X1519" s="4">
        <v>0</v>
      </c>
      <c r="Y1519" t="s">
        <v>62</v>
      </c>
    </row>
    <row r="1520" spans="1:47" hidden="1" x14ac:dyDescent="0.25">
      <c r="A1520" t="s">
        <v>63</v>
      </c>
      <c r="B1520" s="3">
        <v>3720.81</v>
      </c>
      <c r="C1520">
        <v>0</v>
      </c>
      <c r="D1520">
        <v>0</v>
      </c>
      <c r="E1520" s="2">
        <v>0</v>
      </c>
      <c r="F1520">
        <v>106.38</v>
      </c>
      <c r="G1520" s="3">
        <v>6362</v>
      </c>
      <c r="H1520" s="3" t="s">
        <v>54</v>
      </c>
      <c r="I1520" s="3" t="s">
        <v>59</v>
      </c>
      <c r="K1520" s="3" t="s">
        <v>60</v>
      </c>
      <c r="L1520" s="3" t="s">
        <v>60</v>
      </c>
      <c r="M1520" s="3">
        <v>45985.643437500003</v>
      </c>
      <c r="Q1520" t="s">
        <v>54</v>
      </c>
      <c r="R1520">
        <v>0</v>
      </c>
      <c r="T1520" t="s">
        <v>54</v>
      </c>
      <c r="U1520" t="s">
        <v>54</v>
      </c>
      <c r="V1520">
        <v>6379</v>
      </c>
      <c r="W1520" t="s">
        <v>55</v>
      </c>
      <c r="X1520" s="4"/>
      <c r="AB1520" s="3"/>
      <c r="AE1520" s="3"/>
      <c r="AK1520" s="5"/>
    </row>
    <row r="1521" spans="1:47" hidden="1" x14ac:dyDescent="0.25">
      <c r="A1521" t="s">
        <v>81</v>
      </c>
      <c r="B1521" s="1">
        <v>38288</v>
      </c>
      <c r="C1521" t="s">
        <v>48</v>
      </c>
      <c r="D1521" s="3" t="s">
        <v>49</v>
      </c>
      <c r="E1521" s="2">
        <v>45985</v>
      </c>
      <c r="F1521" t="s">
        <v>291</v>
      </c>
      <c r="G1521" s="3" t="s">
        <v>213</v>
      </c>
      <c r="H1521" s="3">
        <v>10380</v>
      </c>
      <c r="I1521" s="3">
        <v>10380</v>
      </c>
      <c r="J1521">
        <v>0</v>
      </c>
      <c r="K1521" s="3">
        <v>10380</v>
      </c>
      <c r="L1521" s="3">
        <v>1833</v>
      </c>
      <c r="M1521" s="3">
        <v>861.51</v>
      </c>
      <c r="N1521" t="s">
        <v>52</v>
      </c>
      <c r="O1521" t="s">
        <v>53</v>
      </c>
      <c r="P1521" t="s">
        <v>53</v>
      </c>
      <c r="Q1521" t="s">
        <v>53</v>
      </c>
      <c r="R1521" t="s">
        <v>54</v>
      </c>
      <c r="S1521" t="s">
        <v>54</v>
      </c>
      <c r="T1521" t="s">
        <v>55</v>
      </c>
      <c r="U1521">
        <v>126</v>
      </c>
      <c r="V1521" t="s">
        <v>56</v>
      </c>
      <c r="W1521" t="s">
        <v>89</v>
      </c>
      <c r="X1521" s="4">
        <v>0</v>
      </c>
      <c r="Y1521" t="s">
        <v>62</v>
      </c>
    </row>
    <row r="1522" spans="1:47" hidden="1" x14ac:dyDescent="0.25">
      <c r="A1522" t="s">
        <v>63</v>
      </c>
      <c r="B1522" s="1">
        <v>0</v>
      </c>
      <c r="C1522">
        <v>0</v>
      </c>
      <c r="D1522">
        <v>0</v>
      </c>
      <c r="E1522" s="2">
        <v>0</v>
      </c>
      <c r="F1522" s="3">
        <v>1833</v>
      </c>
      <c r="G1522" s="3">
        <v>3000</v>
      </c>
      <c r="H1522" s="3" t="s">
        <v>54</v>
      </c>
      <c r="I1522" s="3" t="s">
        <v>59</v>
      </c>
      <c r="J1522" t="s">
        <v>292</v>
      </c>
      <c r="K1522" s="3" t="s">
        <v>60</v>
      </c>
      <c r="L1522" s="3" t="s">
        <v>60</v>
      </c>
      <c r="M1522" s="3">
        <v>45985.67291666667</v>
      </c>
      <c r="Q1522" t="s">
        <v>54</v>
      </c>
      <c r="R1522">
        <v>0</v>
      </c>
      <c r="T1522" t="s">
        <v>54</v>
      </c>
      <c r="U1522" t="s">
        <v>54</v>
      </c>
      <c r="V1522">
        <v>5293</v>
      </c>
      <c r="W1522" t="s">
        <v>55</v>
      </c>
      <c r="X1522" s="4"/>
      <c r="Z1522" s="3"/>
      <c r="AE1522" s="3"/>
      <c r="AK1522" s="5"/>
    </row>
    <row r="1523" spans="1:47" hidden="1" x14ac:dyDescent="0.25">
      <c r="A1523" t="s">
        <v>47</v>
      </c>
      <c r="B1523" s="1">
        <v>38289</v>
      </c>
      <c r="C1523" t="s">
        <v>48</v>
      </c>
      <c r="D1523" t="s">
        <v>49</v>
      </c>
      <c r="E1523" s="2">
        <v>45986</v>
      </c>
      <c r="F1523" t="s">
        <v>239</v>
      </c>
      <c r="G1523" s="3" t="s">
        <v>240</v>
      </c>
      <c r="H1523" s="3">
        <v>8055</v>
      </c>
      <c r="I1523" s="3">
        <v>8055</v>
      </c>
      <c r="J1523">
        <v>0</v>
      </c>
      <c r="K1523" s="3">
        <v>8055</v>
      </c>
      <c r="L1523" s="3">
        <v>1293</v>
      </c>
      <c r="M1523" s="3">
        <v>607.71</v>
      </c>
      <c r="N1523" t="s">
        <v>83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9</v>
      </c>
      <c r="V1523" t="s">
        <v>71</v>
      </c>
      <c r="W1523">
        <v>0</v>
      </c>
      <c r="X1523" s="4">
        <v>0</v>
      </c>
      <c r="Y1523" t="s">
        <v>62</v>
      </c>
      <c r="AA1523" s="3"/>
      <c r="AE1523" s="3"/>
      <c r="AK1523" s="5"/>
    </row>
    <row r="1524" spans="1:47" hidden="1" x14ac:dyDescent="0.25">
      <c r="A1524" t="s">
        <v>58</v>
      </c>
      <c r="B1524" s="1">
        <v>0</v>
      </c>
      <c r="C1524">
        <v>0</v>
      </c>
      <c r="D1524">
        <v>0</v>
      </c>
      <c r="E1524" s="2">
        <v>0</v>
      </c>
      <c r="F1524" s="3">
        <v>1293</v>
      </c>
      <c r="G1524" s="3">
        <v>1500</v>
      </c>
      <c r="H1524" s="3" t="s">
        <v>54</v>
      </c>
      <c r="I1524" s="3" t="s">
        <v>59</v>
      </c>
      <c r="K1524" s="3" t="s">
        <v>73</v>
      </c>
      <c r="L1524" t="s">
        <v>73</v>
      </c>
      <c r="M1524" s="3">
        <v>45986.428657407407</v>
      </c>
      <c r="Q1524" t="s">
        <v>54</v>
      </c>
      <c r="R1524">
        <v>0</v>
      </c>
      <c r="T1524" t="s">
        <v>54</v>
      </c>
      <c r="U1524" t="s">
        <v>54</v>
      </c>
      <c r="V1524">
        <v>2581</v>
      </c>
      <c r="W1524" t="s">
        <v>55</v>
      </c>
      <c r="X1524" s="4"/>
    </row>
    <row r="1525" spans="1:47" hidden="1" x14ac:dyDescent="0.25">
      <c r="A1525" t="s">
        <v>81</v>
      </c>
      <c r="B1525" s="1">
        <v>38290</v>
      </c>
      <c r="C1525" t="s">
        <v>48</v>
      </c>
      <c r="D1525" t="s">
        <v>49</v>
      </c>
      <c r="E1525" s="2">
        <v>45986</v>
      </c>
      <c r="F1525" t="s">
        <v>162</v>
      </c>
      <c r="G1525" s="3" t="s">
        <v>69</v>
      </c>
      <c r="H1525" s="3">
        <v>9160</v>
      </c>
      <c r="I1525" s="3">
        <v>9160</v>
      </c>
      <c r="J1525">
        <v>0</v>
      </c>
      <c r="K1525" s="3">
        <v>9160</v>
      </c>
      <c r="L1525" s="3">
        <v>1610</v>
      </c>
      <c r="M1525" s="3">
        <v>925.75</v>
      </c>
      <c r="N1525" t="s">
        <v>52</v>
      </c>
      <c r="O1525" t="s">
        <v>53</v>
      </c>
      <c r="P1525" t="s">
        <v>53</v>
      </c>
      <c r="Q1525" t="s">
        <v>53</v>
      </c>
      <c r="R1525" t="s">
        <v>54</v>
      </c>
      <c r="S1525" t="s">
        <v>54</v>
      </c>
      <c r="T1525" t="s">
        <v>55</v>
      </c>
      <c r="U1525">
        <v>126</v>
      </c>
      <c r="V1525" t="s">
        <v>56</v>
      </c>
      <c r="W1525" t="s">
        <v>151</v>
      </c>
      <c r="X1525" s="4">
        <v>0</v>
      </c>
      <c r="Y1525" t="s">
        <v>58</v>
      </c>
      <c r="Z1525">
        <v>0</v>
      </c>
      <c r="AA1525">
        <v>0</v>
      </c>
      <c r="AB1525" s="3">
        <v>1610</v>
      </c>
      <c r="AC1525">
        <v>0</v>
      </c>
      <c r="AD1525">
        <v>0</v>
      </c>
      <c r="AE1525" s="3">
        <v>2000</v>
      </c>
      <c r="AF1525" t="s">
        <v>54</v>
      </c>
      <c r="AG1525" t="s">
        <v>59</v>
      </c>
      <c r="AI1525" t="s">
        <v>60</v>
      </c>
      <c r="AJ1525" t="s">
        <v>60</v>
      </c>
      <c r="AK1525" s="5">
        <v>45986.41337962963</v>
      </c>
      <c r="AO1525" t="s">
        <v>54</v>
      </c>
      <c r="AP1525">
        <v>0</v>
      </c>
      <c r="AR1525" t="s">
        <v>54</v>
      </c>
      <c r="AS1525" t="s">
        <v>54</v>
      </c>
      <c r="AT1525">
        <v>322</v>
      </c>
      <c r="AU1525" t="s">
        <v>55</v>
      </c>
    </row>
    <row r="1526" spans="1:47" hidden="1" x14ac:dyDescent="0.25">
      <c r="A1526" t="s">
        <v>47</v>
      </c>
      <c r="B1526" s="1">
        <v>38291</v>
      </c>
      <c r="C1526" t="s">
        <v>48</v>
      </c>
      <c r="D1526" t="s">
        <v>49</v>
      </c>
      <c r="E1526" s="2">
        <v>45986</v>
      </c>
      <c r="F1526" t="s">
        <v>146</v>
      </c>
      <c r="G1526" s="3" t="s">
        <v>88</v>
      </c>
      <c r="H1526" s="3">
        <v>33350</v>
      </c>
      <c r="I1526" s="3">
        <v>33350</v>
      </c>
      <c r="J1526">
        <v>0</v>
      </c>
      <c r="K1526" s="3">
        <v>38352.5</v>
      </c>
      <c r="L1526" s="3">
        <v>5057.5</v>
      </c>
      <c r="M1526" s="3">
        <v>3135.65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94</v>
      </c>
      <c r="X1526" s="4">
        <v>0</v>
      </c>
      <c r="Y1526" t="s">
        <v>62</v>
      </c>
    </row>
    <row r="1527" spans="1:47" hidden="1" x14ac:dyDescent="0.25">
      <c r="A1527" t="s">
        <v>63</v>
      </c>
      <c r="B1527" s="1">
        <v>0</v>
      </c>
      <c r="C1527">
        <v>0</v>
      </c>
      <c r="D1527" s="3">
        <v>5057.5</v>
      </c>
      <c r="E1527" s="2">
        <v>0</v>
      </c>
      <c r="F1527">
        <v>0</v>
      </c>
      <c r="G1527" s="3">
        <v>2500</v>
      </c>
      <c r="H1527" s="3" t="s">
        <v>54</v>
      </c>
      <c r="I1527" s="3" t="s">
        <v>59</v>
      </c>
      <c r="J1527" t="s">
        <v>147</v>
      </c>
      <c r="K1527" s="3" t="s">
        <v>60</v>
      </c>
      <c r="L1527" s="3" t="s">
        <v>60</v>
      </c>
      <c r="M1527" s="3">
        <v>45986.419606481482</v>
      </c>
      <c r="Q1527" t="s">
        <v>54</v>
      </c>
      <c r="R1527">
        <v>0</v>
      </c>
      <c r="T1527" t="s">
        <v>54</v>
      </c>
      <c r="U1527" t="s">
        <v>54</v>
      </c>
      <c r="V1527">
        <v>8478</v>
      </c>
      <c r="W1527" t="s">
        <v>55</v>
      </c>
      <c r="X1527" s="4"/>
    </row>
    <row r="1528" spans="1:47" hidden="1" x14ac:dyDescent="0.25">
      <c r="A1528" t="s">
        <v>47</v>
      </c>
      <c r="B1528" s="1">
        <v>38292</v>
      </c>
      <c r="C1528" t="s">
        <v>48</v>
      </c>
      <c r="D1528" s="3" t="s">
        <v>49</v>
      </c>
      <c r="E1528" s="2">
        <v>45986</v>
      </c>
      <c r="F1528" t="s">
        <v>146</v>
      </c>
      <c r="G1528" s="3" t="s">
        <v>88</v>
      </c>
      <c r="H1528" s="3">
        <v>33350</v>
      </c>
      <c r="I1528" s="3">
        <v>33350</v>
      </c>
      <c r="J1528">
        <v>0</v>
      </c>
      <c r="K1528" s="3">
        <v>38352.5</v>
      </c>
      <c r="L1528" s="3">
        <v>5057.5</v>
      </c>
      <c r="M1528" s="3">
        <v>3135.65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94</v>
      </c>
      <c r="X1528" s="4">
        <v>0</v>
      </c>
      <c r="Y1528" t="s">
        <v>62</v>
      </c>
      <c r="AA1528" s="3"/>
      <c r="AE1528" s="3"/>
      <c r="AK1528" s="5"/>
    </row>
    <row r="1529" spans="1:47" hidden="1" x14ac:dyDescent="0.25">
      <c r="A1529" t="s">
        <v>63</v>
      </c>
      <c r="B1529" s="1">
        <v>0</v>
      </c>
      <c r="C1529">
        <v>0</v>
      </c>
      <c r="D1529" s="3">
        <v>5057.5</v>
      </c>
      <c r="E1529" s="2">
        <v>0</v>
      </c>
      <c r="F1529">
        <v>0</v>
      </c>
      <c r="G1529" s="3">
        <v>2500</v>
      </c>
      <c r="H1529" s="3" t="s">
        <v>54</v>
      </c>
      <c r="I1529" s="3" t="s">
        <v>59</v>
      </c>
      <c r="J1529" t="s">
        <v>147</v>
      </c>
      <c r="K1529" s="3" t="s">
        <v>60</v>
      </c>
      <c r="L1529" s="3" t="s">
        <v>60</v>
      </c>
      <c r="M1529" s="3">
        <v>45986.421168981484</v>
      </c>
      <c r="Q1529" t="s">
        <v>54</v>
      </c>
      <c r="R1529">
        <v>0</v>
      </c>
      <c r="T1529" t="s">
        <v>54</v>
      </c>
      <c r="U1529" t="s">
        <v>54</v>
      </c>
      <c r="V1529">
        <v>8478</v>
      </c>
      <c r="W1529" t="s">
        <v>55</v>
      </c>
      <c r="X1529" s="4"/>
      <c r="AE1529" s="3"/>
      <c r="AK1529" s="5"/>
    </row>
    <row r="1530" spans="1:47" hidden="1" x14ac:dyDescent="0.25">
      <c r="A1530" t="s">
        <v>47</v>
      </c>
      <c r="B1530" s="1">
        <v>38293</v>
      </c>
      <c r="C1530" t="s">
        <v>48</v>
      </c>
      <c r="D1530" t="s">
        <v>49</v>
      </c>
      <c r="E1530" s="2">
        <v>45986</v>
      </c>
      <c r="F1530" t="s">
        <v>110</v>
      </c>
      <c r="G1530" s="3" t="s">
        <v>69</v>
      </c>
      <c r="H1530" s="3">
        <v>12195</v>
      </c>
      <c r="I1530" s="3">
        <v>12195</v>
      </c>
      <c r="J1530">
        <v>0</v>
      </c>
      <c r="K1530" s="3">
        <v>14024.25</v>
      </c>
      <c r="L1530" s="3">
        <v>2616</v>
      </c>
      <c r="M1530" s="3">
        <v>1013.62</v>
      </c>
      <c r="N1530" t="s">
        <v>52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126</v>
      </c>
      <c r="V1530" t="s">
        <v>56</v>
      </c>
      <c r="W1530" t="s">
        <v>94</v>
      </c>
      <c r="X1530" s="4">
        <v>0</v>
      </c>
      <c r="Y1530" t="s">
        <v>58</v>
      </c>
      <c r="Z1530" s="3">
        <v>2616</v>
      </c>
      <c r="AA1530">
        <v>0</v>
      </c>
      <c r="AB1530" s="3">
        <v>0</v>
      </c>
      <c r="AC1530">
        <v>0</v>
      </c>
      <c r="AD1530">
        <v>0</v>
      </c>
      <c r="AE1530" s="3">
        <v>3500</v>
      </c>
      <c r="AF1530" t="s">
        <v>54</v>
      </c>
      <c r="AG1530" t="s">
        <v>59</v>
      </c>
      <c r="AI1530" t="s">
        <v>60</v>
      </c>
      <c r="AJ1530" t="s">
        <v>60</v>
      </c>
      <c r="AK1530" s="5">
        <v>45986.455659722225</v>
      </c>
      <c r="AO1530" t="s">
        <v>54</v>
      </c>
      <c r="AP1530">
        <v>0</v>
      </c>
      <c r="AR1530" t="s">
        <v>54</v>
      </c>
      <c r="AS1530" t="s">
        <v>54</v>
      </c>
      <c r="AT1530">
        <v>1877</v>
      </c>
      <c r="AU1530" t="s">
        <v>55</v>
      </c>
    </row>
    <row r="1531" spans="1:47" hidden="1" x14ac:dyDescent="0.25">
      <c r="A1531" t="s">
        <v>47</v>
      </c>
      <c r="B1531" s="1">
        <v>38294</v>
      </c>
      <c r="C1531" t="s">
        <v>48</v>
      </c>
      <c r="D1531" t="s">
        <v>49</v>
      </c>
      <c r="E1531" s="2">
        <v>45986</v>
      </c>
      <c r="F1531" t="s">
        <v>212</v>
      </c>
      <c r="G1531" t="s">
        <v>88</v>
      </c>
      <c r="H1531" s="3">
        <v>7085</v>
      </c>
      <c r="I1531" s="3">
        <v>7085</v>
      </c>
      <c r="J1531">
        <v>0</v>
      </c>
      <c r="K1531" s="3">
        <v>8147.75</v>
      </c>
      <c r="L1531" s="3">
        <v>1178.5</v>
      </c>
      <c r="M1531" s="3">
        <v>543.29</v>
      </c>
      <c r="N1531" t="s">
        <v>52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126</v>
      </c>
      <c r="V1531" t="s">
        <v>56</v>
      </c>
      <c r="W1531" t="s">
        <v>94</v>
      </c>
      <c r="X1531" s="4">
        <v>0</v>
      </c>
      <c r="Y1531" t="s">
        <v>58</v>
      </c>
      <c r="Z1531" s="3">
        <v>0</v>
      </c>
      <c r="AA1531" s="3">
        <v>1178.5</v>
      </c>
      <c r="AB1531">
        <v>0</v>
      </c>
      <c r="AC1531">
        <v>0</v>
      </c>
      <c r="AD1531">
        <v>0</v>
      </c>
      <c r="AE1531" s="3">
        <v>500</v>
      </c>
      <c r="AF1531" t="s">
        <v>54</v>
      </c>
      <c r="AG1531" t="s">
        <v>59</v>
      </c>
      <c r="AI1531" t="s">
        <v>60</v>
      </c>
      <c r="AJ1531" t="s">
        <v>60</v>
      </c>
      <c r="AK1531" s="5">
        <v>45986.461273148147</v>
      </c>
      <c r="AO1531" t="s">
        <v>54</v>
      </c>
      <c r="AP1531">
        <v>0</v>
      </c>
      <c r="AR1531" t="s">
        <v>54</v>
      </c>
      <c r="AS1531" t="s">
        <v>54</v>
      </c>
      <c r="AT1531">
        <v>6614</v>
      </c>
      <c r="AU1531" t="s">
        <v>55</v>
      </c>
    </row>
    <row r="1532" spans="1:47" hidden="1" x14ac:dyDescent="0.25">
      <c r="A1532" t="s">
        <v>95</v>
      </c>
      <c r="B1532" s="1">
        <v>38295</v>
      </c>
      <c r="C1532" t="s">
        <v>48</v>
      </c>
      <c r="D1532" t="s">
        <v>49</v>
      </c>
      <c r="E1532" s="2">
        <v>45986</v>
      </c>
      <c r="F1532" t="s">
        <v>307</v>
      </c>
      <c r="G1532" s="3" t="s">
        <v>93</v>
      </c>
      <c r="H1532" s="3">
        <v>4375</v>
      </c>
      <c r="I1532" s="3">
        <v>4375</v>
      </c>
      <c r="J1532">
        <v>0</v>
      </c>
      <c r="K1532" s="3">
        <v>4375</v>
      </c>
      <c r="L1532" s="3">
        <v>651.5</v>
      </c>
      <c r="M1532" s="3">
        <v>365.68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V1532" t="s">
        <v>56</v>
      </c>
      <c r="W1532" t="s">
        <v>72</v>
      </c>
      <c r="X1532" s="4">
        <v>0</v>
      </c>
      <c r="Y1532" t="s">
        <v>62</v>
      </c>
    </row>
    <row r="1533" spans="1:47" hidden="1" x14ac:dyDescent="0.25">
      <c r="A1533" t="s">
        <v>63</v>
      </c>
      <c r="B1533" s="1">
        <v>72</v>
      </c>
      <c r="C1533">
        <v>0</v>
      </c>
      <c r="D1533">
        <v>579.5</v>
      </c>
      <c r="E1533" s="2">
        <v>0</v>
      </c>
      <c r="F1533">
        <v>0</v>
      </c>
      <c r="G1533" s="3">
        <v>1000</v>
      </c>
      <c r="H1533" s="3" t="s">
        <v>54</v>
      </c>
      <c r="I1533" s="3" t="s">
        <v>59</v>
      </c>
      <c r="K1533" s="3" t="s">
        <v>60</v>
      </c>
      <c r="L1533" t="s">
        <v>60</v>
      </c>
      <c r="M1533" s="3">
        <v>45986.485729166663</v>
      </c>
      <c r="Q1533" t="s">
        <v>54</v>
      </c>
      <c r="R1533">
        <v>0</v>
      </c>
      <c r="T1533" t="s">
        <v>54</v>
      </c>
      <c r="U1533" t="s">
        <v>54</v>
      </c>
      <c r="V1533">
        <v>8463</v>
      </c>
      <c r="W1533" t="s">
        <v>55</v>
      </c>
      <c r="X1533" s="4"/>
    </row>
    <row r="1534" spans="1:47" hidden="1" x14ac:dyDescent="0.25">
      <c r="A1534" t="s">
        <v>81</v>
      </c>
      <c r="B1534" s="1">
        <v>38296</v>
      </c>
      <c r="C1534" t="s">
        <v>48</v>
      </c>
      <c r="D1534" t="s">
        <v>49</v>
      </c>
      <c r="E1534" s="2">
        <v>45987</v>
      </c>
      <c r="F1534" t="s">
        <v>297</v>
      </c>
      <c r="G1534" s="3" t="s">
        <v>66</v>
      </c>
      <c r="H1534" s="3">
        <v>3537</v>
      </c>
      <c r="I1534" s="3">
        <v>3537</v>
      </c>
      <c r="J1534">
        <v>0</v>
      </c>
      <c r="K1534" s="3">
        <v>3537</v>
      </c>
      <c r="L1534" s="3">
        <v>624.6</v>
      </c>
      <c r="M1534" s="3">
        <v>279.82</v>
      </c>
      <c r="N1534" t="s">
        <v>52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126</v>
      </c>
      <c r="V1534" t="s">
        <v>56</v>
      </c>
      <c r="W1534" t="s">
        <v>287</v>
      </c>
      <c r="X1534" s="4">
        <v>0</v>
      </c>
      <c r="Y1534" t="s">
        <v>62</v>
      </c>
      <c r="AA1534" s="3"/>
      <c r="AE1534" s="3"/>
      <c r="AK1534" s="5"/>
    </row>
    <row r="1535" spans="1:47" hidden="1" x14ac:dyDescent="0.25">
      <c r="A1535" t="s">
        <v>63</v>
      </c>
      <c r="B1535" s="1">
        <v>624.6</v>
      </c>
      <c r="C1535">
        <v>0</v>
      </c>
      <c r="D1535">
        <v>0</v>
      </c>
      <c r="E1535" s="2">
        <v>0</v>
      </c>
      <c r="F1535">
        <v>0</v>
      </c>
      <c r="G1535">
        <v>900</v>
      </c>
      <c r="H1535" s="3" t="s">
        <v>54</v>
      </c>
      <c r="I1535" s="3" t="s">
        <v>59</v>
      </c>
      <c r="K1535" s="3" t="s">
        <v>60</v>
      </c>
      <c r="L1535" t="s">
        <v>60</v>
      </c>
      <c r="M1535" s="3">
        <v>45987.652685185189</v>
      </c>
      <c r="Q1535" t="s">
        <v>54</v>
      </c>
      <c r="R1535">
        <v>0</v>
      </c>
      <c r="T1535" t="s">
        <v>54</v>
      </c>
      <c r="U1535" t="s">
        <v>54</v>
      </c>
      <c r="V1535">
        <v>1017</v>
      </c>
      <c r="W1535" t="s">
        <v>55</v>
      </c>
      <c r="X1535" s="4"/>
      <c r="AK1535" s="5"/>
    </row>
    <row r="1536" spans="1:47" hidden="1" x14ac:dyDescent="0.25">
      <c r="A1536" t="s">
        <v>134</v>
      </c>
      <c r="B1536" s="1">
        <v>38297</v>
      </c>
      <c r="C1536" t="s">
        <v>48</v>
      </c>
      <c r="D1536" t="s">
        <v>49</v>
      </c>
      <c r="E1536" s="2">
        <v>45987</v>
      </c>
      <c r="F1536" t="s">
        <v>238</v>
      </c>
      <c r="G1536" s="3" t="s">
        <v>237</v>
      </c>
      <c r="H1536" s="3">
        <v>6495</v>
      </c>
      <c r="I1536" s="3">
        <v>6495</v>
      </c>
      <c r="J1536">
        <v>0</v>
      </c>
      <c r="K1536" s="3">
        <v>6495</v>
      </c>
      <c r="L1536" s="3">
        <v>1014</v>
      </c>
      <c r="M1536" s="3">
        <v>527.29</v>
      </c>
      <c r="N1536" t="s">
        <v>52</v>
      </c>
      <c r="O1536" t="s">
        <v>53</v>
      </c>
      <c r="P1536" t="s">
        <v>53</v>
      </c>
      <c r="Q1536" t="s">
        <v>53</v>
      </c>
      <c r="R1536" t="s">
        <v>54</v>
      </c>
      <c r="S1536" t="s">
        <v>54</v>
      </c>
      <c r="T1536" t="s">
        <v>55</v>
      </c>
      <c r="U1536">
        <v>126</v>
      </c>
      <c r="V1536" t="s">
        <v>56</v>
      </c>
      <c r="W1536" t="s">
        <v>160</v>
      </c>
      <c r="X1536" s="4">
        <v>0</v>
      </c>
      <c r="Y1536" t="s">
        <v>58</v>
      </c>
      <c r="Z1536" s="3">
        <v>0</v>
      </c>
      <c r="AA1536" s="3">
        <v>1014</v>
      </c>
      <c r="AB1536" s="3">
        <v>0</v>
      </c>
      <c r="AC1536">
        <v>0</v>
      </c>
      <c r="AD1536">
        <v>0</v>
      </c>
      <c r="AE1536" s="3">
        <v>1500</v>
      </c>
      <c r="AF1536" t="s">
        <v>54</v>
      </c>
      <c r="AG1536" t="s">
        <v>59</v>
      </c>
      <c r="AI1536" t="s">
        <v>60</v>
      </c>
      <c r="AJ1536" t="s">
        <v>60</v>
      </c>
      <c r="AK1536" s="5">
        <v>45987.542395833334</v>
      </c>
      <c r="AO1536" t="s">
        <v>54</v>
      </c>
      <c r="AP1536">
        <v>0</v>
      </c>
      <c r="AR1536" t="s">
        <v>54</v>
      </c>
      <c r="AS1536" t="s">
        <v>54</v>
      </c>
      <c r="AT1536">
        <v>5418</v>
      </c>
      <c r="AU1536" t="s">
        <v>55</v>
      </c>
    </row>
    <row r="1537" spans="1:47" hidden="1" x14ac:dyDescent="0.25">
      <c r="A1537" t="s">
        <v>47</v>
      </c>
      <c r="B1537" s="1">
        <v>38299</v>
      </c>
      <c r="C1537" t="s">
        <v>48</v>
      </c>
      <c r="D1537" t="s">
        <v>49</v>
      </c>
      <c r="E1537" s="2">
        <v>45988</v>
      </c>
      <c r="F1537" t="s">
        <v>107</v>
      </c>
      <c r="G1537" t="s">
        <v>108</v>
      </c>
      <c r="H1537" s="3">
        <v>2690</v>
      </c>
      <c r="I1537" s="3">
        <v>2690</v>
      </c>
      <c r="J1537">
        <v>0</v>
      </c>
      <c r="K1537" s="3">
        <v>2690</v>
      </c>
      <c r="L1537" s="3">
        <v>339</v>
      </c>
      <c r="M1537" s="3">
        <v>210.18</v>
      </c>
      <c r="N1537" t="s">
        <v>83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9</v>
      </c>
      <c r="V1537" t="s">
        <v>56</v>
      </c>
      <c r="W1537" t="s">
        <v>109</v>
      </c>
      <c r="X1537" s="4">
        <v>0</v>
      </c>
      <c r="Y1537" t="s">
        <v>58</v>
      </c>
      <c r="Z1537">
        <v>0</v>
      </c>
      <c r="AA1537">
        <v>0</v>
      </c>
      <c r="AB1537">
        <v>339</v>
      </c>
      <c r="AC1537">
        <v>0</v>
      </c>
      <c r="AD1537" s="3">
        <v>0</v>
      </c>
      <c r="AE1537" s="3">
        <v>1000</v>
      </c>
      <c r="AF1537" t="s">
        <v>54</v>
      </c>
      <c r="AG1537" t="s">
        <v>59</v>
      </c>
      <c r="AI1537" t="s">
        <v>91</v>
      </c>
      <c r="AJ1537" t="s">
        <v>91</v>
      </c>
      <c r="AK1537" s="5">
        <v>45988.387164351851</v>
      </c>
      <c r="AO1537" t="s">
        <v>54</v>
      </c>
      <c r="AP1537">
        <v>0</v>
      </c>
      <c r="AR1537" t="s">
        <v>54</v>
      </c>
      <c r="AS1537" t="s">
        <v>54</v>
      </c>
      <c r="AT1537">
        <v>3124</v>
      </c>
      <c r="AU1537" t="s">
        <v>55</v>
      </c>
    </row>
    <row r="1538" spans="1:47" hidden="1" x14ac:dyDescent="0.25">
      <c r="A1538" t="s">
        <v>47</v>
      </c>
      <c r="B1538" s="1">
        <v>38300</v>
      </c>
      <c r="C1538" t="s">
        <v>48</v>
      </c>
      <c r="D1538" t="s">
        <v>49</v>
      </c>
      <c r="E1538" s="2">
        <v>45988</v>
      </c>
      <c r="F1538" t="s">
        <v>107</v>
      </c>
      <c r="G1538" s="3" t="s">
        <v>108</v>
      </c>
      <c r="H1538" s="3">
        <v>8480</v>
      </c>
      <c r="I1538" s="3">
        <v>8480</v>
      </c>
      <c r="J1538">
        <v>0</v>
      </c>
      <c r="K1538" s="3">
        <v>8480</v>
      </c>
      <c r="L1538" s="3">
        <v>1092</v>
      </c>
      <c r="M1538" s="3">
        <v>677.04</v>
      </c>
      <c r="N1538" t="s">
        <v>83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109</v>
      </c>
      <c r="X1538" s="4">
        <v>0</v>
      </c>
      <c r="Y1538" t="s">
        <v>58</v>
      </c>
      <c r="Z1538">
        <v>0</v>
      </c>
      <c r="AA1538">
        <v>0</v>
      </c>
      <c r="AB1538" s="3">
        <v>1092</v>
      </c>
      <c r="AC1538">
        <v>0</v>
      </c>
      <c r="AD1538">
        <v>0</v>
      </c>
      <c r="AE1538" s="3">
        <v>1000</v>
      </c>
      <c r="AF1538" t="s">
        <v>54</v>
      </c>
      <c r="AG1538" t="s">
        <v>59</v>
      </c>
      <c r="AI1538" t="s">
        <v>91</v>
      </c>
      <c r="AJ1538" t="s">
        <v>91</v>
      </c>
      <c r="AK1538" s="5">
        <v>45988.388159722221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hidden="1" x14ac:dyDescent="0.25">
      <c r="A1539" t="s">
        <v>47</v>
      </c>
      <c r="B1539" s="1">
        <v>38301</v>
      </c>
      <c r="C1539" t="s">
        <v>48</v>
      </c>
      <c r="D1539" t="s">
        <v>49</v>
      </c>
      <c r="E1539" s="2">
        <v>45988</v>
      </c>
      <c r="F1539" t="s">
        <v>100</v>
      </c>
      <c r="G1539" t="s">
        <v>93</v>
      </c>
      <c r="H1539" s="3">
        <v>31990</v>
      </c>
      <c r="I1539" s="3">
        <v>31990</v>
      </c>
      <c r="J1539">
        <v>0</v>
      </c>
      <c r="K1539" s="3">
        <v>36788.5</v>
      </c>
      <c r="L1539" s="3">
        <v>7194</v>
      </c>
      <c r="M1539" s="3">
        <v>2637.6</v>
      </c>
      <c r="N1539" t="s">
        <v>83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101</v>
      </c>
      <c r="X1539" s="4">
        <v>0</v>
      </c>
      <c r="Y1539" t="s">
        <v>58</v>
      </c>
      <c r="Z1539" s="3">
        <v>7194</v>
      </c>
      <c r="AA1539">
        <v>0</v>
      </c>
      <c r="AB1539">
        <v>0</v>
      </c>
      <c r="AC1539">
        <v>0</v>
      </c>
      <c r="AD1539">
        <v>0</v>
      </c>
      <c r="AE1539" s="3">
        <v>4000</v>
      </c>
      <c r="AF1539" t="s">
        <v>54</v>
      </c>
      <c r="AG1539" t="s">
        <v>59</v>
      </c>
      <c r="AH1539" t="s">
        <v>102</v>
      </c>
      <c r="AI1539" t="s">
        <v>73</v>
      </c>
      <c r="AJ1539" t="s">
        <v>73</v>
      </c>
      <c r="AK1539" s="5">
        <v>45988.392152777778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hidden="1" x14ac:dyDescent="0.25">
      <c r="A1540" t="s">
        <v>81</v>
      </c>
      <c r="B1540" s="1">
        <v>38302</v>
      </c>
      <c r="C1540" t="s">
        <v>48</v>
      </c>
      <c r="D1540" t="s">
        <v>49</v>
      </c>
      <c r="E1540" s="2">
        <v>45988</v>
      </c>
      <c r="F1540" t="s">
        <v>380</v>
      </c>
      <c r="G1540" t="s">
        <v>136</v>
      </c>
      <c r="H1540" s="3">
        <v>5179</v>
      </c>
      <c r="I1540" s="3">
        <v>5179</v>
      </c>
      <c r="J1540">
        <v>0</v>
      </c>
      <c r="K1540" s="3">
        <v>5179</v>
      </c>
      <c r="L1540" s="3">
        <v>657.4</v>
      </c>
      <c r="M1540" s="3">
        <v>458.78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W1540" t="s">
        <v>115</v>
      </c>
      <c r="X1540" s="4"/>
      <c r="Y1540" t="s">
        <v>62</v>
      </c>
      <c r="Z1540" s="3"/>
      <c r="AE1540" s="3"/>
      <c r="AK1540" s="5"/>
    </row>
    <row r="1541" spans="1:47" hidden="1" x14ac:dyDescent="0.25">
      <c r="A1541" t="s">
        <v>63</v>
      </c>
      <c r="B1541" s="1">
        <v>0</v>
      </c>
      <c r="C1541">
        <v>0</v>
      </c>
      <c r="D1541">
        <v>657.4</v>
      </c>
      <c r="E1541" s="2">
        <v>0</v>
      </c>
      <c r="F1541">
        <v>0</v>
      </c>
      <c r="G1541" s="3">
        <v>1100</v>
      </c>
      <c r="H1541" s="3"/>
      <c r="I1541" s="3"/>
      <c r="K1541" s="3"/>
      <c r="L1541" s="3" t="s">
        <v>60</v>
      </c>
      <c r="M1541" s="3">
        <v>45989.436319444445</v>
      </c>
      <c r="Q1541" t="s">
        <v>54</v>
      </c>
      <c r="R1541">
        <v>0</v>
      </c>
      <c r="T1541" t="s">
        <v>54</v>
      </c>
      <c r="U1541" t="s">
        <v>54</v>
      </c>
      <c r="V1541">
        <v>7986</v>
      </c>
      <c r="W1541" t="s">
        <v>246</v>
      </c>
      <c r="X1541" s="4"/>
      <c r="Z1541" s="3"/>
      <c r="AB1541" s="3"/>
      <c r="AE1541" s="3"/>
      <c r="AK1541" s="5"/>
    </row>
    <row r="1542" spans="1:47" hidden="1" x14ac:dyDescent="0.25">
      <c r="A1542" t="s">
        <v>47</v>
      </c>
      <c r="B1542" s="1">
        <v>38303</v>
      </c>
      <c r="C1542" t="s">
        <v>48</v>
      </c>
      <c r="D1542" t="s">
        <v>49</v>
      </c>
      <c r="E1542" s="2">
        <v>45988</v>
      </c>
      <c r="F1542" t="s">
        <v>100</v>
      </c>
      <c r="G1542" t="s">
        <v>93</v>
      </c>
      <c r="H1542" s="3">
        <v>2410</v>
      </c>
      <c r="I1542" s="3">
        <v>2410</v>
      </c>
      <c r="J1542">
        <v>0</v>
      </c>
      <c r="K1542" s="3">
        <v>2771.5</v>
      </c>
      <c r="L1542" s="3">
        <v>599</v>
      </c>
      <c r="M1542" s="3">
        <v>203.66</v>
      </c>
      <c r="N1542" t="s">
        <v>83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9</v>
      </c>
      <c r="V1542" t="s">
        <v>71</v>
      </c>
      <c r="W1542" t="s">
        <v>101</v>
      </c>
      <c r="X1542" s="4">
        <v>0</v>
      </c>
      <c r="Y1542" t="s">
        <v>58</v>
      </c>
      <c r="Z1542" s="3">
        <v>599</v>
      </c>
      <c r="AA1542">
        <v>0</v>
      </c>
      <c r="AB1542">
        <v>0</v>
      </c>
      <c r="AC1542">
        <v>0</v>
      </c>
      <c r="AD1542" s="3">
        <v>0</v>
      </c>
      <c r="AE1542" s="3">
        <v>1000</v>
      </c>
      <c r="AF1542" t="s">
        <v>54</v>
      </c>
      <c r="AG1542" t="s">
        <v>59</v>
      </c>
      <c r="AH1542" t="s">
        <v>102</v>
      </c>
      <c r="AI1542" t="s">
        <v>91</v>
      </c>
      <c r="AJ1542" t="s">
        <v>91</v>
      </c>
      <c r="AK1542" s="5">
        <v>45988.575682870367</v>
      </c>
      <c r="AO1542" t="s">
        <v>54</v>
      </c>
      <c r="AP1542">
        <v>0</v>
      </c>
      <c r="AR1542" t="s">
        <v>54</v>
      </c>
      <c r="AS1542" t="s">
        <v>54</v>
      </c>
      <c r="AT1542">
        <v>161</v>
      </c>
      <c r="AU1542" t="s">
        <v>55</v>
      </c>
    </row>
    <row r="1543" spans="1:47" hidden="1" x14ac:dyDescent="0.25">
      <c r="A1543" t="s">
        <v>47</v>
      </c>
      <c r="B1543" s="1">
        <v>38304</v>
      </c>
      <c r="C1543" t="s">
        <v>48</v>
      </c>
      <c r="D1543" t="s">
        <v>49</v>
      </c>
      <c r="E1543" s="2">
        <v>45988</v>
      </c>
      <c r="F1543" t="s">
        <v>400</v>
      </c>
      <c r="G1543" t="s">
        <v>66</v>
      </c>
      <c r="H1543" s="3">
        <v>132</v>
      </c>
      <c r="I1543" s="3">
        <v>132</v>
      </c>
      <c r="J1543">
        <v>0</v>
      </c>
      <c r="K1543" s="3">
        <v>151.80000000000001</v>
      </c>
      <c r="L1543" s="3">
        <v>21.49</v>
      </c>
      <c r="M1543" s="3">
        <v>9.0299999999999994</v>
      </c>
      <c r="N1543" t="s">
        <v>97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167</v>
      </c>
      <c r="V1543" t="s">
        <v>98</v>
      </c>
      <c r="W1543" t="s">
        <v>113</v>
      </c>
      <c r="X1543" s="4">
        <v>0</v>
      </c>
      <c r="Y1543" t="s">
        <v>62</v>
      </c>
      <c r="Z1543" s="3"/>
      <c r="AE1543" s="3"/>
      <c r="AK1543" s="5"/>
    </row>
    <row r="1544" spans="1:47" hidden="1" x14ac:dyDescent="0.25">
      <c r="A1544" t="s">
        <v>63</v>
      </c>
      <c r="B1544" s="1">
        <v>21.49</v>
      </c>
      <c r="C1544">
        <v>0</v>
      </c>
      <c r="D1544" s="3">
        <v>0</v>
      </c>
      <c r="E1544" s="2">
        <v>0</v>
      </c>
      <c r="F1544">
        <v>0</v>
      </c>
      <c r="G1544" s="3">
        <v>22</v>
      </c>
      <c r="H1544" s="3" t="s">
        <v>54</v>
      </c>
      <c r="I1544" s="3" t="s">
        <v>193</v>
      </c>
      <c r="J1544" t="s">
        <v>79</v>
      </c>
      <c r="K1544" s="3" t="s">
        <v>98</v>
      </c>
      <c r="L1544" s="3" t="s">
        <v>91</v>
      </c>
      <c r="M1544" s="3">
        <v>45988.611168981479</v>
      </c>
      <c r="P1544" t="s">
        <v>66</v>
      </c>
      <c r="Q1544" t="s">
        <v>54</v>
      </c>
      <c r="R1544">
        <v>0</v>
      </c>
      <c r="T1544" t="s">
        <v>54</v>
      </c>
      <c r="U1544" t="s">
        <v>54</v>
      </c>
      <c r="V1544">
        <v>8816</v>
      </c>
      <c r="W1544" t="s">
        <v>55</v>
      </c>
      <c r="X1544" s="4"/>
      <c r="AB1544" s="3"/>
      <c r="AE1544" s="3"/>
      <c r="AK1544" s="5"/>
    </row>
    <row r="1545" spans="1:47" hidden="1" x14ac:dyDescent="0.25">
      <c r="A1545" t="s">
        <v>81</v>
      </c>
      <c r="B1545" s="1">
        <v>38305</v>
      </c>
      <c r="C1545" t="s">
        <v>48</v>
      </c>
      <c r="D1545" t="s">
        <v>49</v>
      </c>
      <c r="E1545" s="2">
        <v>45988</v>
      </c>
      <c r="F1545" t="s">
        <v>143</v>
      </c>
      <c r="G1545" t="s">
        <v>66</v>
      </c>
      <c r="H1545" s="3">
        <v>22850</v>
      </c>
      <c r="I1545" s="3">
        <v>22850</v>
      </c>
      <c r="J1545">
        <v>0</v>
      </c>
      <c r="K1545" s="3">
        <v>22850</v>
      </c>
      <c r="L1545" s="3">
        <v>4268</v>
      </c>
      <c r="M1545" s="3">
        <v>2005.96</v>
      </c>
      <c r="N1545" t="s">
        <v>97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167</v>
      </c>
      <c r="V1545" t="s">
        <v>144</v>
      </c>
      <c r="W1545" t="s">
        <v>145</v>
      </c>
      <c r="X1545" s="4">
        <v>0</v>
      </c>
      <c r="Y1545" t="s">
        <v>58</v>
      </c>
      <c r="Z1545" s="3">
        <v>0</v>
      </c>
      <c r="AA1545">
        <v>0</v>
      </c>
      <c r="AB1545">
        <v>0</v>
      </c>
      <c r="AC1545">
        <v>0</v>
      </c>
      <c r="AD1545" s="3">
        <v>4268</v>
      </c>
      <c r="AE1545" s="3">
        <v>7000</v>
      </c>
      <c r="AF1545" t="s">
        <v>54</v>
      </c>
      <c r="AG1545" t="s">
        <v>59</v>
      </c>
      <c r="AI1545" t="s">
        <v>73</v>
      </c>
      <c r="AJ1545" t="s">
        <v>73</v>
      </c>
      <c r="AK1545" s="5">
        <v>45988.682824074072</v>
      </c>
      <c r="AO1545" t="s">
        <v>54</v>
      </c>
      <c r="AP1545">
        <v>0</v>
      </c>
      <c r="AR1545" t="s">
        <v>54</v>
      </c>
      <c r="AS1545" t="s">
        <v>54</v>
      </c>
      <c r="AT1545">
        <v>1301</v>
      </c>
      <c r="AU1545" t="s">
        <v>55</v>
      </c>
    </row>
    <row r="1546" spans="1:47" hidden="1" x14ac:dyDescent="0.25">
      <c r="A1546" t="s">
        <v>47</v>
      </c>
      <c r="B1546" s="1">
        <v>38306</v>
      </c>
      <c r="C1546" t="s">
        <v>48</v>
      </c>
      <c r="D1546" t="s">
        <v>49</v>
      </c>
      <c r="E1546" s="2">
        <v>45988</v>
      </c>
      <c r="F1546" t="s">
        <v>107</v>
      </c>
      <c r="G1546" s="3" t="s">
        <v>108</v>
      </c>
      <c r="H1546" s="3">
        <v>16960</v>
      </c>
      <c r="I1546" s="3">
        <v>16960</v>
      </c>
      <c r="J1546">
        <v>0</v>
      </c>
      <c r="K1546" s="3">
        <v>16960</v>
      </c>
      <c r="L1546" s="3">
        <v>2184</v>
      </c>
      <c r="M1546" s="3">
        <v>1354.08</v>
      </c>
      <c r="N1546" t="s">
        <v>83</v>
      </c>
      <c r="O1546" t="s">
        <v>53</v>
      </c>
      <c r="P1546" t="s">
        <v>53</v>
      </c>
      <c r="Q1546" t="s">
        <v>53</v>
      </c>
      <c r="R1546" t="s">
        <v>54</v>
      </c>
      <c r="S1546" t="s">
        <v>54</v>
      </c>
      <c r="T1546" t="s">
        <v>55</v>
      </c>
      <c r="U1546">
        <v>9</v>
      </c>
      <c r="V1546" t="s">
        <v>56</v>
      </c>
      <c r="W1546" t="s">
        <v>109</v>
      </c>
      <c r="X1546" s="4">
        <v>0</v>
      </c>
      <c r="Y1546" t="s">
        <v>58</v>
      </c>
      <c r="Z1546" s="3">
        <v>0</v>
      </c>
      <c r="AA1546">
        <v>0</v>
      </c>
      <c r="AB1546" s="3">
        <v>2184</v>
      </c>
      <c r="AC1546">
        <v>0</v>
      </c>
      <c r="AD1546">
        <v>0</v>
      </c>
      <c r="AE1546" s="3">
        <v>2000</v>
      </c>
      <c r="AF1546" t="s">
        <v>54</v>
      </c>
      <c r="AG1546" t="s">
        <v>59</v>
      </c>
      <c r="AI1546" t="s">
        <v>91</v>
      </c>
      <c r="AJ1546" t="s">
        <v>91</v>
      </c>
      <c r="AK1546" s="5">
        <v>45988.750023148146</v>
      </c>
      <c r="AO1546" t="s">
        <v>54</v>
      </c>
      <c r="AP1546">
        <v>0</v>
      </c>
      <c r="AR1546" t="s">
        <v>54</v>
      </c>
      <c r="AS1546" t="s">
        <v>54</v>
      </c>
      <c r="AT1546">
        <v>3124</v>
      </c>
      <c r="AU1546" t="s">
        <v>55</v>
      </c>
    </row>
    <row r="1547" spans="1:47" hidden="1" x14ac:dyDescent="0.25">
      <c r="A1547" t="s">
        <v>47</v>
      </c>
      <c r="B1547" s="1">
        <v>38307</v>
      </c>
      <c r="C1547" t="s">
        <v>48</v>
      </c>
      <c r="D1547" t="s">
        <v>49</v>
      </c>
      <c r="E1547" s="2">
        <v>45989</v>
      </c>
      <c r="F1547" t="s">
        <v>100</v>
      </c>
      <c r="G1547" t="s">
        <v>93</v>
      </c>
      <c r="H1547" s="3">
        <v>4919</v>
      </c>
      <c r="I1547" s="3">
        <v>4919</v>
      </c>
      <c r="J1547">
        <v>0</v>
      </c>
      <c r="K1547" s="3">
        <v>5656.85</v>
      </c>
      <c r="L1547" s="3">
        <v>881.1</v>
      </c>
      <c r="M1547" s="3">
        <v>465.14</v>
      </c>
      <c r="N1547" t="s">
        <v>83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9</v>
      </c>
      <c r="V1547" t="s">
        <v>71</v>
      </c>
      <c r="W1547" t="s">
        <v>101</v>
      </c>
      <c r="X1547" s="4">
        <v>0</v>
      </c>
      <c r="Y1547" t="s">
        <v>58</v>
      </c>
      <c r="Z1547">
        <v>199.5</v>
      </c>
      <c r="AA1547">
        <v>0</v>
      </c>
      <c r="AB1547">
        <v>681.6</v>
      </c>
      <c r="AC1547">
        <v>0</v>
      </c>
      <c r="AD1547">
        <v>0</v>
      </c>
      <c r="AE1547">
        <v>200</v>
      </c>
      <c r="AF1547" t="s">
        <v>54</v>
      </c>
      <c r="AG1547" t="s">
        <v>59</v>
      </c>
      <c r="AH1547" t="s">
        <v>102</v>
      </c>
      <c r="AI1547" t="s">
        <v>91</v>
      </c>
      <c r="AJ1547" t="s">
        <v>91</v>
      </c>
      <c r="AK1547" s="5">
        <v>45989.391956018517</v>
      </c>
      <c r="AO1547" t="s">
        <v>54</v>
      </c>
      <c r="AP1547">
        <v>0</v>
      </c>
      <c r="AR1547" t="s">
        <v>54</v>
      </c>
      <c r="AS1547" t="s">
        <v>54</v>
      </c>
      <c r="AT1547">
        <v>161</v>
      </c>
      <c r="AU1547" t="s">
        <v>55</v>
      </c>
    </row>
    <row r="1548" spans="1:47" hidden="1" x14ac:dyDescent="0.25">
      <c r="A1548" t="s">
        <v>81</v>
      </c>
      <c r="B1548" s="1">
        <v>38308</v>
      </c>
      <c r="C1548" t="s">
        <v>48</v>
      </c>
      <c r="D1548" t="s">
        <v>49</v>
      </c>
      <c r="E1548" s="2">
        <v>45989</v>
      </c>
      <c r="F1548" t="s">
        <v>331</v>
      </c>
      <c r="G1548" s="3" t="s">
        <v>136</v>
      </c>
      <c r="H1548" s="3">
        <v>9678</v>
      </c>
      <c r="I1548" s="3">
        <v>9678</v>
      </c>
      <c r="J1548">
        <v>0</v>
      </c>
      <c r="K1548" s="3">
        <v>9678</v>
      </c>
      <c r="L1548" s="3">
        <v>1836</v>
      </c>
      <c r="M1548" s="3">
        <v>673.82</v>
      </c>
      <c r="N1548" t="s">
        <v>52</v>
      </c>
      <c r="O1548" t="s">
        <v>53</v>
      </c>
      <c r="P1548" t="s">
        <v>53</v>
      </c>
      <c r="Q1548" t="s">
        <v>53</v>
      </c>
      <c r="R1548" t="s">
        <v>54</v>
      </c>
      <c r="S1548" t="s">
        <v>54</v>
      </c>
      <c r="T1548" t="s">
        <v>55</v>
      </c>
      <c r="U1548">
        <v>126</v>
      </c>
      <c r="V1548" t="s">
        <v>56</v>
      </c>
      <c r="W1548" t="s">
        <v>160</v>
      </c>
      <c r="X1548" s="4">
        <v>0</v>
      </c>
      <c r="Y1548" t="s">
        <v>58</v>
      </c>
      <c r="Z1548" s="3">
        <v>1836</v>
      </c>
      <c r="AA1548">
        <v>0</v>
      </c>
      <c r="AB1548">
        <v>0</v>
      </c>
      <c r="AC1548">
        <v>0</v>
      </c>
      <c r="AD1548">
        <v>0</v>
      </c>
      <c r="AE1548" s="3">
        <v>6000</v>
      </c>
      <c r="AF1548" t="s">
        <v>54</v>
      </c>
      <c r="AG1548" t="s">
        <v>59</v>
      </c>
      <c r="AH1548" t="s">
        <v>332</v>
      </c>
      <c r="AI1548" t="s">
        <v>60</v>
      </c>
      <c r="AJ1548" t="s">
        <v>60</v>
      </c>
      <c r="AK1548" s="5">
        <v>45989.524386574078</v>
      </c>
      <c r="AO1548" t="s">
        <v>54</v>
      </c>
      <c r="AP1548">
        <v>0</v>
      </c>
      <c r="AR1548" t="s">
        <v>54</v>
      </c>
      <c r="AS1548" t="s">
        <v>54</v>
      </c>
      <c r="AT1548">
        <v>5450</v>
      </c>
      <c r="AU1548" t="s">
        <v>55</v>
      </c>
    </row>
    <row r="1549" spans="1:47" hidden="1" x14ac:dyDescent="0.25">
      <c r="A1549" t="s">
        <v>47</v>
      </c>
      <c r="B1549" s="1">
        <v>38309</v>
      </c>
      <c r="C1549" t="s">
        <v>48</v>
      </c>
      <c r="D1549" t="s">
        <v>49</v>
      </c>
      <c r="E1549" s="2">
        <v>45989</v>
      </c>
      <c r="F1549" t="s">
        <v>100</v>
      </c>
      <c r="G1549" t="s">
        <v>93</v>
      </c>
      <c r="H1549" s="3">
        <v>9815</v>
      </c>
      <c r="I1549" s="3">
        <v>9815</v>
      </c>
      <c r="J1549">
        <v>0</v>
      </c>
      <c r="K1549" s="3">
        <v>11287.25</v>
      </c>
      <c r="L1549" s="3">
        <v>1874</v>
      </c>
      <c r="M1549" s="3">
        <v>724.67</v>
      </c>
      <c r="N1549" t="s">
        <v>83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9</v>
      </c>
      <c r="V1549" t="s">
        <v>71</v>
      </c>
      <c r="W1549" t="s">
        <v>101</v>
      </c>
      <c r="X1549" s="4">
        <v>0</v>
      </c>
      <c r="Y1549" t="s">
        <v>58</v>
      </c>
      <c r="Z1549" s="3">
        <v>1874</v>
      </c>
      <c r="AA1549">
        <v>0</v>
      </c>
      <c r="AB1549">
        <v>0</v>
      </c>
      <c r="AC1549">
        <v>0</v>
      </c>
      <c r="AD1549">
        <v>0</v>
      </c>
      <c r="AE1549" s="3">
        <v>3500</v>
      </c>
      <c r="AF1549" t="s">
        <v>54</v>
      </c>
      <c r="AG1549" t="s">
        <v>59</v>
      </c>
      <c r="AH1549" t="s">
        <v>102</v>
      </c>
      <c r="AI1549" t="s">
        <v>91</v>
      </c>
      <c r="AJ1549" t="s">
        <v>91</v>
      </c>
      <c r="AK1549" s="5">
        <v>45989.444374999999</v>
      </c>
      <c r="AO1549" t="s">
        <v>54</v>
      </c>
      <c r="AP1549">
        <v>0</v>
      </c>
      <c r="AR1549" t="s">
        <v>54</v>
      </c>
      <c r="AS1549" t="s">
        <v>54</v>
      </c>
      <c r="AT1549">
        <v>161</v>
      </c>
      <c r="AU1549" t="s">
        <v>55</v>
      </c>
    </row>
    <row r="1550" spans="1:47" hidden="1" x14ac:dyDescent="0.25">
      <c r="A1550" t="s">
        <v>47</v>
      </c>
      <c r="B1550" s="1">
        <v>38310</v>
      </c>
      <c r="C1550" t="s">
        <v>48</v>
      </c>
      <c r="D1550" t="s">
        <v>49</v>
      </c>
      <c r="E1550" s="2">
        <v>45989</v>
      </c>
      <c r="F1550" t="s">
        <v>205</v>
      </c>
      <c r="G1550" s="3" t="s">
        <v>117</v>
      </c>
      <c r="H1550" s="3">
        <v>7196</v>
      </c>
      <c r="I1550" s="3">
        <v>7196</v>
      </c>
      <c r="J1550">
        <v>0</v>
      </c>
      <c r="K1550" s="3">
        <v>8275.4</v>
      </c>
      <c r="L1550" s="3">
        <v>1620.4</v>
      </c>
      <c r="M1550" s="3">
        <v>502.32</v>
      </c>
      <c r="N1550" t="s">
        <v>52</v>
      </c>
      <c r="O1550" t="s">
        <v>53</v>
      </c>
      <c r="P1550" t="s">
        <v>53</v>
      </c>
      <c r="Q1550" t="s">
        <v>53</v>
      </c>
      <c r="R1550" t="s">
        <v>54</v>
      </c>
      <c r="S1550" t="s">
        <v>54</v>
      </c>
      <c r="T1550" t="s">
        <v>55</v>
      </c>
      <c r="U1550">
        <v>126</v>
      </c>
      <c r="V1550" t="s">
        <v>56</v>
      </c>
      <c r="W1550" t="s">
        <v>72</v>
      </c>
      <c r="X1550" s="4">
        <v>0</v>
      </c>
      <c r="Y1550" t="s">
        <v>58</v>
      </c>
      <c r="Z1550">
        <v>0</v>
      </c>
      <c r="AA1550">
        <v>0</v>
      </c>
      <c r="AB1550">
        <v>0</v>
      </c>
      <c r="AC1550">
        <v>0</v>
      </c>
      <c r="AD1550" s="3">
        <v>1620.4</v>
      </c>
      <c r="AE1550" s="3">
        <v>1200</v>
      </c>
      <c r="AF1550" t="s">
        <v>54</v>
      </c>
      <c r="AG1550" t="s">
        <v>59</v>
      </c>
      <c r="AH1550" t="s">
        <v>206</v>
      </c>
      <c r="AI1550" t="s">
        <v>60</v>
      </c>
      <c r="AJ1550" t="s">
        <v>60</v>
      </c>
      <c r="AK1550" s="5">
        <v>45989.450370370374</v>
      </c>
      <c r="AO1550" t="s">
        <v>54</v>
      </c>
      <c r="AP1550">
        <v>0</v>
      </c>
      <c r="AR1550" t="s">
        <v>54</v>
      </c>
      <c r="AS1550" t="s">
        <v>54</v>
      </c>
      <c r="AT1550">
        <v>6910</v>
      </c>
      <c r="AU1550" t="s">
        <v>55</v>
      </c>
    </row>
    <row r="1551" spans="1:47" hidden="1" x14ac:dyDescent="0.25">
      <c r="A1551" t="s">
        <v>81</v>
      </c>
      <c r="B1551" s="1">
        <v>38311</v>
      </c>
      <c r="C1551" t="s">
        <v>48</v>
      </c>
      <c r="D1551" t="s">
        <v>49</v>
      </c>
      <c r="E1551" s="2">
        <v>45989</v>
      </c>
      <c r="F1551" t="s">
        <v>413</v>
      </c>
      <c r="G1551" t="s">
        <v>122</v>
      </c>
      <c r="H1551" s="3">
        <v>18800</v>
      </c>
      <c r="I1551" s="3">
        <v>18800</v>
      </c>
      <c r="J1551">
        <v>0</v>
      </c>
      <c r="K1551" s="3">
        <v>18800</v>
      </c>
      <c r="L1551" s="3">
        <v>2747</v>
      </c>
      <c r="M1551" s="3">
        <v>1703.14</v>
      </c>
      <c r="N1551" t="s">
        <v>52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126</v>
      </c>
      <c r="V1551" t="s">
        <v>56</v>
      </c>
      <c r="W1551" t="s">
        <v>129</v>
      </c>
      <c r="X1551" s="4">
        <v>0</v>
      </c>
      <c r="Y1551" t="s">
        <v>62</v>
      </c>
      <c r="Z1551" s="3"/>
      <c r="AB1551" s="3"/>
      <c r="AE1551" s="3"/>
      <c r="AK1551" s="5"/>
    </row>
    <row r="1552" spans="1:47" hidden="1" x14ac:dyDescent="0.25">
      <c r="A1552" t="s">
        <v>63</v>
      </c>
      <c r="B1552" s="1">
        <v>0</v>
      </c>
      <c r="C1552">
        <v>0</v>
      </c>
      <c r="D1552" s="3">
        <v>2747</v>
      </c>
      <c r="E1552" s="2">
        <v>0</v>
      </c>
      <c r="F1552">
        <v>0</v>
      </c>
      <c r="G1552" s="3">
        <v>3000</v>
      </c>
      <c r="H1552" s="3" t="s">
        <v>54</v>
      </c>
      <c r="I1552" s="3" t="s">
        <v>193</v>
      </c>
      <c r="K1552" s="3" t="s">
        <v>60</v>
      </c>
      <c r="L1552" s="3" t="s">
        <v>60</v>
      </c>
      <c r="M1552" s="3">
        <v>45989.52003472222</v>
      </c>
      <c r="Q1552" t="s">
        <v>54</v>
      </c>
      <c r="R1552">
        <v>0</v>
      </c>
      <c r="T1552" t="s">
        <v>54</v>
      </c>
      <c r="U1552" t="s">
        <v>54</v>
      </c>
      <c r="V1552">
        <v>5345</v>
      </c>
      <c r="W1552" t="s">
        <v>55</v>
      </c>
      <c r="X1552" s="4"/>
      <c r="Z1552" s="3"/>
      <c r="AE1552" s="3"/>
    </row>
    <row r="1553" spans="1:47" hidden="1" x14ac:dyDescent="0.25">
      <c r="A1553" t="s">
        <v>81</v>
      </c>
      <c r="B1553" s="1">
        <v>38312</v>
      </c>
      <c r="C1553" t="s">
        <v>48</v>
      </c>
      <c r="D1553" t="s">
        <v>49</v>
      </c>
      <c r="E1553" s="2">
        <v>45989</v>
      </c>
      <c r="F1553" t="s">
        <v>299</v>
      </c>
      <c r="G1553" s="3" t="s">
        <v>163</v>
      </c>
      <c r="H1553" s="3">
        <v>7.96</v>
      </c>
      <c r="I1553" s="3">
        <v>7.96</v>
      </c>
      <c r="J1553">
        <v>0</v>
      </c>
      <c r="K1553" s="3">
        <v>7.96</v>
      </c>
      <c r="L1553">
        <v>1.35</v>
      </c>
      <c r="M1553" s="3">
        <v>0.84</v>
      </c>
      <c r="N1553" t="s">
        <v>105</v>
      </c>
      <c r="O1553" t="s">
        <v>53</v>
      </c>
      <c r="P1553" t="s">
        <v>53</v>
      </c>
      <c r="Q1553" t="s">
        <v>53</v>
      </c>
      <c r="R1553" t="s">
        <v>54</v>
      </c>
      <c r="S1553" t="s">
        <v>54</v>
      </c>
      <c r="T1553" t="s">
        <v>55</v>
      </c>
      <c r="U1553">
        <v>145</v>
      </c>
      <c r="V1553" t="s">
        <v>144</v>
      </c>
      <c r="W1553" t="s">
        <v>219</v>
      </c>
      <c r="X1553" s="4">
        <v>0</v>
      </c>
      <c r="Y1553" t="s">
        <v>62</v>
      </c>
      <c r="AK1553" s="5"/>
    </row>
    <row r="1554" spans="1:47" hidden="1" x14ac:dyDescent="0.25">
      <c r="A1554" t="s">
        <v>63</v>
      </c>
      <c r="B1554" s="1">
        <v>0</v>
      </c>
      <c r="C1554">
        <v>0</v>
      </c>
      <c r="D1554">
        <v>1.35</v>
      </c>
      <c r="E1554" s="2">
        <v>0</v>
      </c>
      <c r="F1554">
        <v>0</v>
      </c>
      <c r="G1554">
        <v>1</v>
      </c>
      <c r="H1554" s="3" t="s">
        <v>54</v>
      </c>
      <c r="I1554" s="3" t="s">
        <v>59</v>
      </c>
      <c r="K1554" s="3" t="s">
        <v>73</v>
      </c>
      <c r="L1554" s="3" t="s">
        <v>73</v>
      </c>
      <c r="M1554" s="3">
        <v>45989.473425925928</v>
      </c>
      <c r="Q1554" t="s">
        <v>54</v>
      </c>
      <c r="R1554">
        <v>0</v>
      </c>
      <c r="T1554" t="s">
        <v>54</v>
      </c>
      <c r="U1554" t="s">
        <v>54</v>
      </c>
      <c r="V1554">
        <v>7363</v>
      </c>
      <c r="W1554" t="s">
        <v>55</v>
      </c>
      <c r="X1554" s="4"/>
      <c r="AB1554" s="3"/>
      <c r="AE1554" s="3"/>
      <c r="AK1554" s="5"/>
    </row>
    <row r="1555" spans="1:47" hidden="1" x14ac:dyDescent="0.25">
      <c r="A1555" t="s">
        <v>81</v>
      </c>
      <c r="B1555" s="1">
        <v>38313</v>
      </c>
      <c r="C1555" t="s">
        <v>48</v>
      </c>
      <c r="D1555" t="s">
        <v>49</v>
      </c>
      <c r="E1555" s="2">
        <v>45989</v>
      </c>
      <c r="F1555" t="s">
        <v>298</v>
      </c>
      <c r="G1555" s="3" t="s">
        <v>93</v>
      </c>
      <c r="H1555" s="3">
        <v>7.96</v>
      </c>
      <c r="I1555" s="3">
        <v>7.96</v>
      </c>
      <c r="J1555">
        <v>0</v>
      </c>
      <c r="K1555" s="3">
        <v>7.96</v>
      </c>
      <c r="L1555" s="3">
        <v>1.35</v>
      </c>
      <c r="M1555" s="3">
        <v>0.84</v>
      </c>
      <c r="N1555" t="s">
        <v>105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145</v>
      </c>
      <c r="W1555" t="s">
        <v>219</v>
      </c>
      <c r="X1555" s="4">
        <v>0</v>
      </c>
      <c r="Y1555" t="s">
        <v>62</v>
      </c>
      <c r="Z1555" s="3"/>
      <c r="AB1555" s="3"/>
      <c r="AE1555" s="3"/>
      <c r="AK1555" s="5"/>
    </row>
    <row r="1556" spans="1:47" hidden="1" x14ac:dyDescent="0.25">
      <c r="A1556" t="s">
        <v>63</v>
      </c>
      <c r="B1556" s="1">
        <v>0</v>
      </c>
      <c r="C1556">
        <v>0</v>
      </c>
      <c r="D1556">
        <v>1.35</v>
      </c>
      <c r="E1556" s="2">
        <v>0</v>
      </c>
      <c r="F1556">
        <v>0</v>
      </c>
      <c r="G1556">
        <v>1</v>
      </c>
      <c r="H1556" s="3" t="s">
        <v>54</v>
      </c>
      <c r="I1556" s="3" t="s">
        <v>59</v>
      </c>
      <c r="K1556" s="3" t="s">
        <v>73</v>
      </c>
      <c r="L1556" s="3" t="s">
        <v>73</v>
      </c>
      <c r="M1556" s="3">
        <v>45989.472905092596</v>
      </c>
      <c r="Q1556" t="s">
        <v>54</v>
      </c>
      <c r="R1556">
        <v>0</v>
      </c>
      <c r="T1556" t="s">
        <v>54</v>
      </c>
      <c r="U1556" t="s">
        <v>54</v>
      </c>
      <c r="V1556">
        <v>7364</v>
      </c>
      <c r="W1556" t="s">
        <v>55</v>
      </c>
      <c r="X1556" s="4"/>
      <c r="Z1556" s="3"/>
      <c r="AB1556" s="3"/>
      <c r="AE1556" s="3"/>
      <c r="AK1556" s="5"/>
    </row>
    <row r="1557" spans="1:47" hidden="1" x14ac:dyDescent="0.25">
      <c r="A1557" t="s">
        <v>81</v>
      </c>
      <c r="B1557" s="1">
        <v>38315</v>
      </c>
      <c r="C1557" t="s">
        <v>48</v>
      </c>
      <c r="D1557" t="s">
        <v>49</v>
      </c>
      <c r="E1557" s="2">
        <v>45989</v>
      </c>
      <c r="F1557" s="3" t="s">
        <v>104</v>
      </c>
      <c r="G1557" s="3" t="s">
        <v>93</v>
      </c>
      <c r="H1557" s="3">
        <v>3540</v>
      </c>
      <c r="I1557" s="3">
        <v>3540</v>
      </c>
      <c r="J1557">
        <v>0</v>
      </c>
      <c r="K1557" s="3">
        <v>3540</v>
      </c>
      <c r="L1557" s="3">
        <v>302.5</v>
      </c>
      <c r="M1557" s="3">
        <v>187.55</v>
      </c>
      <c r="N1557" t="s">
        <v>97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167</v>
      </c>
      <c r="W1557" t="s">
        <v>106</v>
      </c>
      <c r="X1557" s="4">
        <v>0</v>
      </c>
      <c r="Y1557" t="s">
        <v>62</v>
      </c>
      <c r="Z1557" s="3"/>
      <c r="AE1557" s="3"/>
      <c r="AK1557" s="5"/>
    </row>
    <row r="1558" spans="1:47" hidden="1" x14ac:dyDescent="0.25">
      <c r="A1558" t="s">
        <v>63</v>
      </c>
      <c r="B1558" s="1">
        <v>0</v>
      </c>
      <c r="C1558">
        <v>0</v>
      </c>
      <c r="D1558">
        <v>302.5</v>
      </c>
      <c r="E1558" s="2">
        <v>0</v>
      </c>
      <c r="F1558">
        <v>0</v>
      </c>
      <c r="G1558">
        <v>250</v>
      </c>
      <c r="H1558" s="3" t="s">
        <v>54</v>
      </c>
      <c r="I1558" s="3" t="s">
        <v>59</v>
      </c>
      <c r="K1558" s="3" t="s">
        <v>73</v>
      </c>
      <c r="L1558" s="3" t="s">
        <v>91</v>
      </c>
      <c r="M1558" s="3">
        <v>45992.544745370367</v>
      </c>
      <c r="Q1558" t="s">
        <v>54</v>
      </c>
      <c r="R1558">
        <v>0</v>
      </c>
      <c r="T1558" t="s">
        <v>54</v>
      </c>
      <c r="U1558" t="s">
        <v>54</v>
      </c>
      <c r="V1558">
        <v>8632</v>
      </c>
      <c r="W1558" t="s">
        <v>55</v>
      </c>
      <c r="X1558" s="4"/>
      <c r="Z1558" s="3"/>
      <c r="AB1558" s="3"/>
      <c r="AE1558" s="3"/>
      <c r="AK1558" s="5"/>
    </row>
    <row r="1559" spans="1:47" hidden="1" x14ac:dyDescent="0.25">
      <c r="A1559" t="s">
        <v>47</v>
      </c>
      <c r="B1559" s="1">
        <v>38316</v>
      </c>
      <c r="C1559" s="3" t="s">
        <v>48</v>
      </c>
      <c r="D1559" t="s">
        <v>49</v>
      </c>
      <c r="E1559" s="2">
        <v>45989</v>
      </c>
      <c r="F1559" t="s">
        <v>107</v>
      </c>
      <c r="G1559" s="3" t="s">
        <v>108</v>
      </c>
      <c r="H1559" s="3">
        <v>26960</v>
      </c>
      <c r="I1559" s="3">
        <v>26960</v>
      </c>
      <c r="J1559">
        <v>0</v>
      </c>
      <c r="K1559" s="3">
        <v>26960</v>
      </c>
      <c r="L1559" s="3">
        <v>3452</v>
      </c>
      <c r="M1559" s="3">
        <v>2140.2399999999998</v>
      </c>
      <c r="N1559" t="s">
        <v>83</v>
      </c>
      <c r="O1559" t="s">
        <v>53</v>
      </c>
      <c r="P1559" t="s">
        <v>53</v>
      </c>
      <c r="Q1559" t="s">
        <v>53</v>
      </c>
      <c r="R1559" t="s">
        <v>54</v>
      </c>
      <c r="S1559" t="s">
        <v>54</v>
      </c>
      <c r="T1559" t="s">
        <v>55</v>
      </c>
      <c r="U1559">
        <v>9</v>
      </c>
      <c r="V1559" t="s">
        <v>56</v>
      </c>
      <c r="W1559" t="s">
        <v>109</v>
      </c>
      <c r="X1559" s="4">
        <v>0</v>
      </c>
      <c r="Y1559" t="s">
        <v>58</v>
      </c>
      <c r="Z1559">
        <v>0</v>
      </c>
      <c r="AA1559">
        <v>0</v>
      </c>
      <c r="AB1559" s="3">
        <v>3452</v>
      </c>
      <c r="AC1559">
        <v>0</v>
      </c>
      <c r="AD1559">
        <v>0</v>
      </c>
      <c r="AE1559" s="3">
        <v>4000</v>
      </c>
      <c r="AF1559" t="s">
        <v>54</v>
      </c>
      <c r="AG1559" t="s">
        <v>59</v>
      </c>
      <c r="AI1559" t="s">
        <v>91</v>
      </c>
      <c r="AJ1559" t="s">
        <v>91</v>
      </c>
      <c r="AK1559" s="5">
        <v>45994.358495370368</v>
      </c>
      <c r="AO1559" t="s">
        <v>54</v>
      </c>
      <c r="AP1559">
        <v>0</v>
      </c>
      <c r="AR1559" t="s">
        <v>54</v>
      </c>
      <c r="AS1559" t="s">
        <v>54</v>
      </c>
      <c r="AT1559">
        <v>3124</v>
      </c>
      <c r="AU1559" t="s">
        <v>55</v>
      </c>
    </row>
    <row r="1560" spans="1:47" hidden="1" x14ac:dyDescent="0.25">
      <c r="A1560" t="s">
        <v>47</v>
      </c>
      <c r="B1560" s="1">
        <v>38318</v>
      </c>
      <c r="C1560" s="3" t="s">
        <v>48</v>
      </c>
      <c r="D1560" t="s">
        <v>49</v>
      </c>
      <c r="E1560" s="2">
        <v>45989</v>
      </c>
      <c r="F1560" t="s">
        <v>409</v>
      </c>
      <c r="G1560" s="3" t="s">
        <v>86</v>
      </c>
      <c r="H1560" s="3">
        <v>3374</v>
      </c>
      <c r="I1560" s="3">
        <v>3374</v>
      </c>
      <c r="J1560">
        <v>0</v>
      </c>
      <c r="K1560" s="3">
        <v>3880.1</v>
      </c>
      <c r="L1560" s="3">
        <v>256</v>
      </c>
      <c r="M1560" s="3">
        <v>147.21</v>
      </c>
      <c r="N1560" t="s">
        <v>97</v>
      </c>
      <c r="O1560" t="s">
        <v>53</v>
      </c>
      <c r="P1560" t="s">
        <v>53</v>
      </c>
      <c r="Q1560" t="s">
        <v>53</v>
      </c>
      <c r="R1560" t="s">
        <v>54</v>
      </c>
      <c r="S1560" t="s">
        <v>54</v>
      </c>
      <c r="T1560" t="s">
        <v>55</v>
      </c>
      <c r="U1560">
        <v>167</v>
      </c>
      <c r="V1560" t="s">
        <v>98</v>
      </c>
      <c r="W1560" t="s">
        <v>115</v>
      </c>
      <c r="X1560" s="4">
        <v>0</v>
      </c>
      <c r="Y1560" t="s">
        <v>62</v>
      </c>
      <c r="Z1560" s="3"/>
      <c r="AA1560" s="3"/>
      <c r="AE1560" s="3"/>
      <c r="AK1560" s="5"/>
    </row>
    <row r="1561" spans="1:47" hidden="1" x14ac:dyDescent="0.25">
      <c r="A1561" t="s">
        <v>63</v>
      </c>
      <c r="B1561" s="1">
        <v>0</v>
      </c>
      <c r="C1561">
        <v>0</v>
      </c>
      <c r="D1561">
        <v>256</v>
      </c>
      <c r="E1561" s="2">
        <v>0</v>
      </c>
      <c r="F1561">
        <v>0</v>
      </c>
      <c r="G1561">
        <v>500</v>
      </c>
      <c r="H1561" s="3" t="s">
        <v>54</v>
      </c>
      <c r="I1561" s="3" t="s">
        <v>59</v>
      </c>
      <c r="K1561" s="3" t="s">
        <v>73</v>
      </c>
      <c r="L1561" s="3" t="s">
        <v>73</v>
      </c>
      <c r="M1561" s="3">
        <v>45989.627766203703</v>
      </c>
      <c r="Q1561" t="s">
        <v>54</v>
      </c>
      <c r="R1561">
        <v>0</v>
      </c>
      <c r="T1561" t="s">
        <v>54</v>
      </c>
      <c r="U1561" t="s">
        <v>54</v>
      </c>
      <c r="V1561">
        <v>7320</v>
      </c>
      <c r="W1561" t="s">
        <v>55</v>
      </c>
      <c r="X1561" s="4"/>
      <c r="AA1561" s="3"/>
      <c r="AE1561" s="3"/>
      <c r="AK1561" s="5"/>
    </row>
    <row r="1562" spans="1:47" hidden="1" x14ac:dyDescent="0.25">
      <c r="A1562" t="s">
        <v>81</v>
      </c>
      <c r="B1562" s="1">
        <v>38319</v>
      </c>
      <c r="C1562" t="s">
        <v>48</v>
      </c>
      <c r="D1562" t="s">
        <v>49</v>
      </c>
      <c r="E1562" s="2">
        <v>45992</v>
      </c>
      <c r="F1562" t="s">
        <v>130</v>
      </c>
      <c r="G1562" t="s">
        <v>86</v>
      </c>
      <c r="H1562" s="3">
        <v>1875.9</v>
      </c>
      <c r="I1562" s="3">
        <v>1875.9</v>
      </c>
      <c r="J1562">
        <v>0</v>
      </c>
      <c r="K1562" s="3">
        <v>1875.9</v>
      </c>
      <c r="L1562" s="3">
        <v>328.56</v>
      </c>
      <c r="M1562" s="3">
        <v>188.92</v>
      </c>
      <c r="N1562" t="s">
        <v>77</v>
      </c>
      <c r="O1562" t="s">
        <v>53</v>
      </c>
      <c r="P1562" t="s">
        <v>53</v>
      </c>
      <c r="Q1562" t="s">
        <v>53</v>
      </c>
      <c r="R1562" t="s">
        <v>54</v>
      </c>
      <c r="S1562" t="s">
        <v>54</v>
      </c>
      <c r="T1562" t="s">
        <v>55</v>
      </c>
      <c r="U1562">
        <v>83</v>
      </c>
      <c r="V1562" t="s">
        <v>56</v>
      </c>
      <c r="W1562" t="s">
        <v>94</v>
      </c>
      <c r="X1562" s="4">
        <v>0</v>
      </c>
      <c r="Y1562" t="s">
        <v>58</v>
      </c>
      <c r="Z1562">
        <v>0</v>
      </c>
      <c r="AA1562">
        <v>0</v>
      </c>
      <c r="AB1562" s="3">
        <v>328.56</v>
      </c>
      <c r="AC1562">
        <v>0</v>
      </c>
      <c r="AD1562">
        <v>0</v>
      </c>
      <c r="AE1562" s="3">
        <v>555</v>
      </c>
      <c r="AF1562" t="s">
        <v>54</v>
      </c>
      <c r="AG1562" t="s">
        <v>59</v>
      </c>
      <c r="AI1562" t="s">
        <v>73</v>
      </c>
      <c r="AJ1562" t="s">
        <v>73</v>
      </c>
      <c r="AK1562" s="5">
        <v>45993.450995370367</v>
      </c>
      <c r="AO1562" t="s">
        <v>54</v>
      </c>
      <c r="AP1562">
        <v>0</v>
      </c>
      <c r="AR1562" t="s">
        <v>54</v>
      </c>
      <c r="AS1562" t="s">
        <v>54</v>
      </c>
      <c r="AT1562">
        <v>5289</v>
      </c>
      <c r="AU1562" t="s">
        <v>55</v>
      </c>
    </row>
    <row r="1563" spans="1:47" hidden="1" x14ac:dyDescent="0.25">
      <c r="A1563" t="s">
        <v>81</v>
      </c>
      <c r="B1563" s="1">
        <v>38320</v>
      </c>
      <c r="C1563" t="s">
        <v>48</v>
      </c>
      <c r="D1563" t="s">
        <v>49</v>
      </c>
      <c r="E1563" s="2">
        <v>45992</v>
      </c>
      <c r="F1563" t="s">
        <v>130</v>
      </c>
      <c r="G1563" t="s">
        <v>86</v>
      </c>
      <c r="H1563" s="3">
        <v>11644.1</v>
      </c>
      <c r="I1563" s="3">
        <v>11644.1</v>
      </c>
      <c r="J1563">
        <v>0</v>
      </c>
      <c r="K1563" s="3">
        <v>11644.1</v>
      </c>
      <c r="L1563" s="3">
        <v>2039.44</v>
      </c>
      <c r="M1563" s="3">
        <v>1172.68</v>
      </c>
      <c r="N1563" t="s">
        <v>77</v>
      </c>
      <c r="O1563" t="s">
        <v>53</v>
      </c>
      <c r="P1563" t="s">
        <v>53</v>
      </c>
      <c r="Q1563" t="s">
        <v>53</v>
      </c>
      <c r="R1563" t="s">
        <v>54</v>
      </c>
      <c r="S1563" t="s">
        <v>54</v>
      </c>
      <c r="T1563" t="s">
        <v>55</v>
      </c>
      <c r="U1563">
        <v>83</v>
      </c>
      <c r="V1563" t="s">
        <v>56</v>
      </c>
      <c r="W1563">
        <v>0</v>
      </c>
      <c r="X1563" s="4">
        <v>0</v>
      </c>
      <c r="Y1563" t="s">
        <v>58</v>
      </c>
      <c r="Z1563">
        <v>0</v>
      </c>
      <c r="AA1563">
        <v>0</v>
      </c>
      <c r="AB1563" s="3">
        <v>2039.44</v>
      </c>
      <c r="AC1563">
        <v>0</v>
      </c>
      <c r="AD1563">
        <v>0</v>
      </c>
      <c r="AE1563" s="3">
        <v>3445</v>
      </c>
      <c r="AF1563" t="s">
        <v>54</v>
      </c>
      <c r="AG1563" t="s">
        <v>59</v>
      </c>
      <c r="AI1563" t="s">
        <v>73</v>
      </c>
      <c r="AJ1563" t="s">
        <v>73</v>
      </c>
      <c r="AK1563" s="5">
        <v>45993.451168981483</v>
      </c>
      <c r="AO1563" t="s">
        <v>54</v>
      </c>
      <c r="AP1563">
        <v>0</v>
      </c>
      <c r="AR1563" t="s">
        <v>54</v>
      </c>
      <c r="AS1563" t="s">
        <v>54</v>
      </c>
      <c r="AT1563">
        <v>5289</v>
      </c>
      <c r="AU1563" t="s">
        <v>55</v>
      </c>
    </row>
    <row r="1564" spans="1:47" hidden="1" x14ac:dyDescent="0.25">
      <c r="A1564" t="s">
        <v>81</v>
      </c>
      <c r="B1564" s="1">
        <v>38321</v>
      </c>
      <c r="C1564" t="s">
        <v>48</v>
      </c>
      <c r="D1564" t="s">
        <v>49</v>
      </c>
      <c r="E1564" s="2">
        <v>45992</v>
      </c>
      <c r="F1564" t="s">
        <v>313</v>
      </c>
      <c r="G1564" t="s">
        <v>69</v>
      </c>
      <c r="H1564" s="3">
        <v>4340</v>
      </c>
      <c r="I1564" s="3">
        <v>4340</v>
      </c>
      <c r="J1564">
        <v>0</v>
      </c>
      <c r="K1564" s="3">
        <v>4340</v>
      </c>
      <c r="L1564" s="3">
        <v>1140</v>
      </c>
      <c r="M1564" s="3">
        <v>418.38</v>
      </c>
      <c r="N1564" t="s">
        <v>83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9</v>
      </c>
      <c r="V1564" t="s">
        <v>71</v>
      </c>
      <c r="W1564" t="s">
        <v>72</v>
      </c>
      <c r="X1564" s="4">
        <v>0</v>
      </c>
      <c r="Y1564" t="s">
        <v>58</v>
      </c>
      <c r="Z1564" s="3">
        <v>1140</v>
      </c>
      <c r="AA1564">
        <v>0</v>
      </c>
      <c r="AB1564" s="3">
        <v>0</v>
      </c>
      <c r="AC1564">
        <v>0</v>
      </c>
      <c r="AD1564">
        <v>0</v>
      </c>
      <c r="AE1564" s="3">
        <v>2000</v>
      </c>
      <c r="AF1564" t="s">
        <v>54</v>
      </c>
      <c r="AG1564" t="s">
        <v>59</v>
      </c>
      <c r="AH1564" t="s">
        <v>79</v>
      </c>
      <c r="AI1564" t="s">
        <v>73</v>
      </c>
      <c r="AJ1564" t="s">
        <v>73</v>
      </c>
      <c r="AK1564" s="5">
        <v>45992.675532407404</v>
      </c>
      <c r="AO1564" t="s">
        <v>54</v>
      </c>
      <c r="AP1564">
        <v>0</v>
      </c>
      <c r="AR1564" t="s">
        <v>54</v>
      </c>
      <c r="AS1564" t="s">
        <v>54</v>
      </c>
      <c r="AT1564">
        <v>2818</v>
      </c>
      <c r="AU1564" t="s">
        <v>55</v>
      </c>
    </row>
    <row r="1565" spans="1:47" hidden="1" x14ac:dyDescent="0.25">
      <c r="A1565" t="s">
        <v>47</v>
      </c>
      <c r="B1565" s="1">
        <v>38322</v>
      </c>
      <c r="C1565" t="s">
        <v>48</v>
      </c>
      <c r="D1565" t="s">
        <v>49</v>
      </c>
      <c r="E1565" s="2">
        <v>45993</v>
      </c>
      <c r="F1565" t="s">
        <v>148</v>
      </c>
      <c r="G1565" s="3" t="s">
        <v>66</v>
      </c>
      <c r="H1565" s="3">
        <v>12073.1</v>
      </c>
      <c r="I1565" s="3">
        <v>12073.1</v>
      </c>
      <c r="J1565">
        <v>0</v>
      </c>
      <c r="K1565" s="3">
        <v>12608.01</v>
      </c>
      <c r="L1565" s="3">
        <v>1726.85</v>
      </c>
      <c r="M1565" s="3">
        <v>658.86</v>
      </c>
      <c r="N1565" t="s">
        <v>83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9</v>
      </c>
      <c r="V1565" t="s">
        <v>71</v>
      </c>
      <c r="W1565" t="s">
        <v>57</v>
      </c>
      <c r="X1565" s="4">
        <v>0</v>
      </c>
      <c r="Y1565" t="s">
        <v>58</v>
      </c>
      <c r="Z1565" s="3">
        <v>1590</v>
      </c>
      <c r="AA1565">
        <v>0</v>
      </c>
      <c r="AB1565" s="3">
        <v>136.85</v>
      </c>
      <c r="AC1565">
        <v>0</v>
      </c>
      <c r="AD1565">
        <v>0</v>
      </c>
      <c r="AE1565" s="3">
        <v>3035</v>
      </c>
      <c r="AF1565" t="s">
        <v>54</v>
      </c>
      <c r="AG1565" t="s">
        <v>59</v>
      </c>
      <c r="AI1565" t="s">
        <v>73</v>
      </c>
      <c r="AJ1565" t="s">
        <v>73</v>
      </c>
      <c r="AK1565" s="5">
        <v>45993.342152777775</v>
      </c>
      <c r="AO1565" t="s">
        <v>54</v>
      </c>
      <c r="AP1565">
        <v>0</v>
      </c>
      <c r="AR1565" t="s">
        <v>54</v>
      </c>
      <c r="AS1565" t="s">
        <v>54</v>
      </c>
      <c r="AT1565">
        <v>1009</v>
      </c>
      <c r="AU1565" t="s">
        <v>55</v>
      </c>
    </row>
    <row r="1566" spans="1:47" hidden="1" x14ac:dyDescent="0.25">
      <c r="A1566" t="s">
        <v>81</v>
      </c>
      <c r="B1566" s="1">
        <v>38324</v>
      </c>
      <c r="C1566" t="s">
        <v>48</v>
      </c>
      <c r="D1566" t="s">
        <v>49</v>
      </c>
      <c r="E1566" s="2">
        <v>45993</v>
      </c>
      <c r="F1566" t="s">
        <v>408</v>
      </c>
      <c r="G1566" t="s">
        <v>163</v>
      </c>
      <c r="H1566" s="3">
        <v>4900</v>
      </c>
      <c r="I1566" s="3">
        <v>4900</v>
      </c>
      <c r="J1566">
        <v>0</v>
      </c>
      <c r="K1566" s="3">
        <v>4900</v>
      </c>
      <c r="L1566" s="3">
        <v>1392</v>
      </c>
      <c r="M1566" s="3">
        <v>501.12</v>
      </c>
      <c r="N1566" t="s">
        <v>97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167</v>
      </c>
      <c r="V1566" t="s">
        <v>98</v>
      </c>
      <c r="W1566" t="s">
        <v>219</v>
      </c>
      <c r="X1566" s="4">
        <v>0</v>
      </c>
      <c r="Y1566" t="s">
        <v>62</v>
      </c>
      <c r="Z1566" s="3"/>
      <c r="AB1566" s="3"/>
      <c r="AE1566" s="3"/>
      <c r="AK1566" s="5"/>
    </row>
    <row r="1567" spans="1:47" hidden="1" x14ac:dyDescent="0.25">
      <c r="A1567" t="s">
        <v>63</v>
      </c>
      <c r="B1567" s="1">
        <v>0</v>
      </c>
      <c r="C1567" s="3">
        <v>1392</v>
      </c>
      <c r="D1567">
        <v>0</v>
      </c>
      <c r="E1567" s="2">
        <v>0</v>
      </c>
      <c r="F1567">
        <v>0</v>
      </c>
      <c r="G1567" s="3">
        <v>2000</v>
      </c>
      <c r="H1567" s="3" t="s">
        <v>54</v>
      </c>
      <c r="I1567" s="3" t="s">
        <v>59</v>
      </c>
      <c r="K1567" s="3" t="s">
        <v>73</v>
      </c>
      <c r="L1567" s="3" t="s">
        <v>73</v>
      </c>
      <c r="M1567" s="3">
        <v>45993.403541666667</v>
      </c>
      <c r="Q1567" t="s">
        <v>54</v>
      </c>
      <c r="R1567">
        <v>0</v>
      </c>
      <c r="T1567" t="s">
        <v>54</v>
      </c>
      <c r="U1567" t="s">
        <v>54</v>
      </c>
      <c r="V1567">
        <v>4699</v>
      </c>
      <c r="W1567" t="s">
        <v>55</v>
      </c>
      <c r="X1567" s="4"/>
      <c r="Z1567" s="3"/>
      <c r="AE1567" s="3"/>
      <c r="AK1567" s="5"/>
    </row>
    <row r="1568" spans="1:47" hidden="1" x14ac:dyDescent="0.25">
      <c r="A1568" t="s">
        <v>47</v>
      </c>
      <c r="B1568" s="1">
        <v>38325</v>
      </c>
      <c r="C1568" s="3" t="s">
        <v>48</v>
      </c>
      <c r="D1568" t="s">
        <v>49</v>
      </c>
      <c r="E1568" s="2">
        <v>45993</v>
      </c>
      <c r="F1568" t="s">
        <v>250</v>
      </c>
      <c r="G1568" s="3" t="s">
        <v>69</v>
      </c>
      <c r="H1568" s="3">
        <v>5742</v>
      </c>
      <c r="I1568" s="3">
        <v>5742</v>
      </c>
      <c r="J1568">
        <v>0</v>
      </c>
      <c r="K1568" s="3">
        <v>6603.3</v>
      </c>
      <c r="L1568" s="3">
        <v>1002.1</v>
      </c>
      <c r="M1568" s="3">
        <v>461.97</v>
      </c>
      <c r="N1568" t="s">
        <v>83</v>
      </c>
      <c r="O1568" t="s">
        <v>53</v>
      </c>
      <c r="P1568" t="s">
        <v>53</v>
      </c>
      <c r="Q1568" t="s">
        <v>53</v>
      </c>
      <c r="R1568" t="s">
        <v>54</v>
      </c>
      <c r="S1568" t="s">
        <v>54</v>
      </c>
      <c r="T1568" t="s">
        <v>55</v>
      </c>
      <c r="U1568">
        <v>9</v>
      </c>
      <c r="V1568" t="s">
        <v>71</v>
      </c>
      <c r="W1568" t="s">
        <v>94</v>
      </c>
      <c r="X1568" s="4">
        <v>0</v>
      </c>
      <c r="Y1568" t="s">
        <v>58</v>
      </c>
      <c r="Z1568">
        <v>0</v>
      </c>
      <c r="AA1568" s="3">
        <v>1002.1</v>
      </c>
      <c r="AB1568" s="3">
        <v>0</v>
      </c>
      <c r="AC1568">
        <v>0</v>
      </c>
      <c r="AD1568">
        <v>0</v>
      </c>
      <c r="AE1568" s="3">
        <v>1100</v>
      </c>
      <c r="AF1568" t="s">
        <v>54</v>
      </c>
      <c r="AG1568" t="s">
        <v>59</v>
      </c>
      <c r="AI1568" t="s">
        <v>73</v>
      </c>
      <c r="AJ1568" t="s">
        <v>73</v>
      </c>
      <c r="AK1568" s="5">
        <v>45993.452951388892</v>
      </c>
      <c r="AO1568" t="s">
        <v>54</v>
      </c>
      <c r="AP1568">
        <v>0</v>
      </c>
      <c r="AR1568" t="s">
        <v>54</v>
      </c>
      <c r="AS1568" t="s">
        <v>54</v>
      </c>
      <c r="AT1568">
        <v>3723</v>
      </c>
      <c r="AU1568" t="s">
        <v>55</v>
      </c>
    </row>
    <row r="1569" spans="1:47" hidden="1" x14ac:dyDescent="0.25">
      <c r="A1569" t="s">
        <v>81</v>
      </c>
      <c r="B1569" s="1">
        <v>38327</v>
      </c>
      <c r="C1569" t="s">
        <v>48</v>
      </c>
      <c r="D1569" t="s">
        <v>49</v>
      </c>
      <c r="E1569" s="2">
        <v>45993</v>
      </c>
      <c r="F1569" s="3" t="s">
        <v>317</v>
      </c>
      <c r="G1569" s="3" t="s">
        <v>69</v>
      </c>
      <c r="H1569" s="3">
        <v>3111.5</v>
      </c>
      <c r="I1569" s="3">
        <v>3111.5</v>
      </c>
      <c r="J1569">
        <v>0</v>
      </c>
      <c r="K1569" s="3">
        <v>3111.5</v>
      </c>
      <c r="L1569" s="3">
        <v>526.04999999999995</v>
      </c>
      <c r="M1569" s="3">
        <v>302.48</v>
      </c>
      <c r="N1569" t="s">
        <v>77</v>
      </c>
      <c r="O1569" t="s">
        <v>53</v>
      </c>
      <c r="P1569" t="s">
        <v>53</v>
      </c>
      <c r="Q1569" t="s">
        <v>53</v>
      </c>
      <c r="R1569" t="s">
        <v>54</v>
      </c>
      <c r="S1569" t="s">
        <v>54</v>
      </c>
      <c r="T1569" t="s">
        <v>55</v>
      </c>
      <c r="U1569">
        <v>83</v>
      </c>
      <c r="V1569" t="s">
        <v>119</v>
      </c>
      <c r="W1569" t="s">
        <v>287</v>
      </c>
      <c r="X1569" s="4">
        <v>0</v>
      </c>
      <c r="Y1569" t="s">
        <v>62</v>
      </c>
      <c r="AA1569" s="3"/>
      <c r="AB1569" s="3"/>
      <c r="AE1569" s="3"/>
      <c r="AK1569" s="5"/>
    </row>
    <row r="1570" spans="1:47" hidden="1" x14ac:dyDescent="0.25">
      <c r="A1570" t="s">
        <v>63</v>
      </c>
      <c r="B1570" s="1">
        <v>0</v>
      </c>
      <c r="C1570">
        <v>0</v>
      </c>
      <c r="D1570">
        <v>526.04999999999995</v>
      </c>
      <c r="E1570" s="2">
        <v>0</v>
      </c>
      <c r="F1570" s="3">
        <v>0</v>
      </c>
      <c r="G1570" s="3">
        <v>350</v>
      </c>
      <c r="H1570" s="3" t="s">
        <v>54</v>
      </c>
      <c r="I1570" s="3" t="s">
        <v>59</v>
      </c>
      <c r="K1570" s="3" t="s">
        <v>73</v>
      </c>
      <c r="L1570" t="s">
        <v>73</v>
      </c>
      <c r="M1570" s="3">
        <v>45993.644849537035</v>
      </c>
      <c r="Q1570" t="s">
        <v>54</v>
      </c>
      <c r="R1570">
        <v>0</v>
      </c>
      <c r="T1570" t="s">
        <v>54</v>
      </c>
      <c r="U1570" t="s">
        <v>54</v>
      </c>
      <c r="V1570">
        <v>8443</v>
      </c>
      <c r="W1570" t="s">
        <v>55</v>
      </c>
      <c r="X1570" s="4"/>
      <c r="AK1570" s="5"/>
    </row>
    <row r="1571" spans="1:47" hidden="1" x14ac:dyDescent="0.25">
      <c r="A1571" t="s">
        <v>81</v>
      </c>
      <c r="B1571" s="1">
        <v>38328</v>
      </c>
      <c r="C1571" t="s">
        <v>48</v>
      </c>
      <c r="D1571" t="s">
        <v>49</v>
      </c>
      <c r="E1571" s="2">
        <v>45993</v>
      </c>
      <c r="F1571" t="s">
        <v>130</v>
      </c>
      <c r="G1571" t="s">
        <v>86</v>
      </c>
      <c r="H1571" s="3">
        <v>6760</v>
      </c>
      <c r="I1571" s="3">
        <v>6760</v>
      </c>
      <c r="J1571">
        <v>0</v>
      </c>
      <c r="K1571" s="3">
        <v>6760</v>
      </c>
      <c r="L1571" s="3">
        <v>1184</v>
      </c>
      <c r="M1571" s="3">
        <v>680.8</v>
      </c>
      <c r="N1571" t="s">
        <v>77</v>
      </c>
      <c r="O1571" t="s">
        <v>53</v>
      </c>
      <c r="P1571" t="s">
        <v>53</v>
      </c>
      <c r="Q1571" t="s">
        <v>53</v>
      </c>
      <c r="R1571" t="s">
        <v>54</v>
      </c>
      <c r="S1571" t="s">
        <v>54</v>
      </c>
      <c r="T1571" t="s">
        <v>55</v>
      </c>
      <c r="U1571">
        <v>83</v>
      </c>
      <c r="V1571" t="s">
        <v>56</v>
      </c>
      <c r="W1571">
        <v>0</v>
      </c>
      <c r="X1571" s="4">
        <v>0</v>
      </c>
      <c r="Y1571" t="s">
        <v>58</v>
      </c>
      <c r="Z1571">
        <v>0</v>
      </c>
      <c r="AA1571">
        <v>0</v>
      </c>
      <c r="AB1571" s="3">
        <v>1184</v>
      </c>
      <c r="AC1571">
        <v>0</v>
      </c>
      <c r="AD1571" s="3">
        <v>0</v>
      </c>
      <c r="AE1571" s="3">
        <v>2000</v>
      </c>
      <c r="AF1571" t="s">
        <v>54</v>
      </c>
      <c r="AG1571" t="s">
        <v>59</v>
      </c>
      <c r="AI1571" t="s">
        <v>73</v>
      </c>
      <c r="AJ1571" t="s">
        <v>73</v>
      </c>
      <c r="AK1571" s="5">
        <v>45993.641423611109</v>
      </c>
      <c r="AO1571" t="s">
        <v>54</v>
      </c>
      <c r="AP1571">
        <v>0</v>
      </c>
      <c r="AR1571" t="s">
        <v>54</v>
      </c>
      <c r="AS1571" t="s">
        <v>54</v>
      </c>
      <c r="AT1571">
        <v>5289</v>
      </c>
      <c r="AU1571" t="s">
        <v>55</v>
      </c>
    </row>
    <row r="1572" spans="1:47" hidden="1" x14ac:dyDescent="0.25">
      <c r="A1572" t="s">
        <v>81</v>
      </c>
      <c r="B1572" s="1">
        <v>38329</v>
      </c>
      <c r="C1572" t="s">
        <v>48</v>
      </c>
      <c r="D1572" t="s">
        <v>49</v>
      </c>
      <c r="E1572" s="2">
        <v>45993</v>
      </c>
      <c r="F1572" t="s">
        <v>130</v>
      </c>
      <c r="G1572" t="s">
        <v>86</v>
      </c>
      <c r="H1572" s="3">
        <v>7530</v>
      </c>
      <c r="I1572" s="3">
        <v>7530</v>
      </c>
      <c r="J1572">
        <v>0</v>
      </c>
      <c r="K1572" s="3">
        <v>7530</v>
      </c>
      <c r="L1572" s="3">
        <v>1322</v>
      </c>
      <c r="M1572" s="3">
        <v>760.15</v>
      </c>
      <c r="N1572" t="s">
        <v>77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83</v>
      </c>
      <c r="V1572" t="s">
        <v>56</v>
      </c>
      <c r="W1572">
        <v>0</v>
      </c>
      <c r="X1572" s="4">
        <v>0</v>
      </c>
      <c r="Y1572" t="s">
        <v>58</v>
      </c>
      <c r="Z1572">
        <v>0</v>
      </c>
      <c r="AA1572">
        <v>0</v>
      </c>
      <c r="AB1572" s="3">
        <v>1322</v>
      </c>
      <c r="AC1572">
        <v>0</v>
      </c>
      <c r="AD1572">
        <v>0</v>
      </c>
      <c r="AE1572" s="3">
        <v>1000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45993.642511574071</v>
      </c>
      <c r="AO1572" t="s">
        <v>54</v>
      </c>
      <c r="AP1572">
        <v>0</v>
      </c>
      <c r="AR1572" t="s">
        <v>54</v>
      </c>
      <c r="AS1572" t="s">
        <v>54</v>
      </c>
      <c r="AT1572">
        <v>5289</v>
      </c>
      <c r="AU1572" t="s">
        <v>55</v>
      </c>
    </row>
    <row r="1573" spans="1:47" hidden="1" x14ac:dyDescent="0.25">
      <c r="A1573" t="s">
        <v>47</v>
      </c>
      <c r="B1573" s="3">
        <v>38330</v>
      </c>
      <c r="C1573" t="s">
        <v>48</v>
      </c>
      <c r="D1573" t="s">
        <v>49</v>
      </c>
      <c r="E1573" s="2">
        <v>45993</v>
      </c>
      <c r="F1573" s="3" t="s">
        <v>148</v>
      </c>
      <c r="G1573" s="3" t="s">
        <v>66</v>
      </c>
      <c r="H1573" s="3">
        <v>3620</v>
      </c>
      <c r="I1573" s="3">
        <v>3620</v>
      </c>
      <c r="J1573">
        <v>0</v>
      </c>
      <c r="K1573" s="3">
        <v>4163</v>
      </c>
      <c r="L1573" s="3">
        <v>752</v>
      </c>
      <c r="M1573" s="3">
        <v>275.98</v>
      </c>
      <c r="N1573" t="s">
        <v>83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9</v>
      </c>
      <c r="V1573" t="s">
        <v>71</v>
      </c>
      <c r="W1573" t="s">
        <v>57</v>
      </c>
      <c r="X1573" s="4">
        <v>0</v>
      </c>
      <c r="Y1573" t="s">
        <v>58</v>
      </c>
      <c r="Z1573">
        <v>752</v>
      </c>
      <c r="AA1573">
        <v>0</v>
      </c>
      <c r="AB1573">
        <v>0</v>
      </c>
      <c r="AC1573">
        <v>0</v>
      </c>
      <c r="AD1573">
        <v>0</v>
      </c>
      <c r="AE1573" s="3">
        <v>1000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45993.645474537036</v>
      </c>
      <c r="AO1573" t="s">
        <v>54</v>
      </c>
      <c r="AP1573">
        <v>0</v>
      </c>
      <c r="AR1573" t="s">
        <v>54</v>
      </c>
      <c r="AS1573" t="s">
        <v>54</v>
      </c>
      <c r="AT1573">
        <v>1009</v>
      </c>
      <c r="AU1573" t="s">
        <v>55</v>
      </c>
    </row>
    <row r="1574" spans="1:47" hidden="1" x14ac:dyDescent="0.25">
      <c r="A1574" t="s">
        <v>47</v>
      </c>
      <c r="B1574" s="1">
        <v>38331</v>
      </c>
      <c r="C1574" t="s">
        <v>48</v>
      </c>
      <c r="D1574" t="s">
        <v>49</v>
      </c>
      <c r="E1574" s="2">
        <v>45993</v>
      </c>
      <c r="F1574" t="s">
        <v>401</v>
      </c>
      <c r="G1574" t="s">
        <v>402</v>
      </c>
      <c r="H1574" s="3">
        <v>1200</v>
      </c>
      <c r="I1574" s="3">
        <v>1200</v>
      </c>
      <c r="J1574">
        <v>0</v>
      </c>
      <c r="K1574" s="3">
        <v>1380</v>
      </c>
      <c r="L1574" s="3">
        <v>186.4</v>
      </c>
      <c r="M1574" s="3">
        <v>78.290000000000006</v>
      </c>
      <c r="N1574" t="s">
        <v>83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9</v>
      </c>
      <c r="W1574" t="s">
        <v>113</v>
      </c>
      <c r="X1574" s="4">
        <v>0</v>
      </c>
      <c r="Y1574" t="s">
        <v>62</v>
      </c>
      <c r="Z1574" s="3"/>
      <c r="AB1574" s="3"/>
      <c r="AD1574" s="3"/>
      <c r="AE1574" s="3"/>
      <c r="AK1574" s="5"/>
    </row>
    <row r="1575" spans="1:47" hidden="1" x14ac:dyDescent="0.25">
      <c r="A1575" t="s">
        <v>63</v>
      </c>
      <c r="B1575" s="1">
        <v>0</v>
      </c>
      <c r="C1575">
        <v>186.4</v>
      </c>
      <c r="D1575">
        <v>0</v>
      </c>
      <c r="E1575" s="2">
        <v>0</v>
      </c>
      <c r="F1575">
        <v>0</v>
      </c>
      <c r="G1575" s="3">
        <v>100</v>
      </c>
      <c r="H1575" s="3" t="s">
        <v>54</v>
      </c>
      <c r="I1575" s="3" t="s">
        <v>59</v>
      </c>
      <c r="K1575" s="3" t="s">
        <v>73</v>
      </c>
      <c r="L1575" s="3" t="s">
        <v>73</v>
      </c>
      <c r="M1575" s="3">
        <v>45993.652060185188</v>
      </c>
      <c r="Q1575" t="s">
        <v>54</v>
      </c>
      <c r="R1575">
        <v>0</v>
      </c>
      <c r="T1575" t="s">
        <v>54</v>
      </c>
      <c r="U1575" t="s">
        <v>54</v>
      </c>
      <c r="V1575">
        <v>8818</v>
      </c>
      <c r="W1575" t="s">
        <v>55</v>
      </c>
      <c r="X1575" s="4"/>
      <c r="AB1575" s="3"/>
      <c r="AE1575" s="3"/>
      <c r="AK1575" s="5"/>
    </row>
    <row r="1576" spans="1:47" hidden="1" x14ac:dyDescent="0.25">
      <c r="A1576" t="s">
        <v>81</v>
      </c>
      <c r="B1576" s="1">
        <v>38332</v>
      </c>
      <c r="C1576" t="s">
        <v>48</v>
      </c>
      <c r="D1576" t="s">
        <v>49</v>
      </c>
      <c r="E1576" s="2">
        <v>45993</v>
      </c>
      <c r="F1576" t="s">
        <v>349</v>
      </c>
      <c r="G1576" t="s">
        <v>88</v>
      </c>
      <c r="H1576" s="3">
        <v>8550</v>
      </c>
      <c r="I1576" s="3">
        <v>8550</v>
      </c>
      <c r="J1576">
        <v>0</v>
      </c>
      <c r="K1576" s="3">
        <v>8550</v>
      </c>
      <c r="L1576" s="3">
        <v>1377</v>
      </c>
      <c r="M1576" s="3">
        <v>716.04</v>
      </c>
      <c r="N1576" t="s">
        <v>52</v>
      </c>
      <c r="O1576" t="s">
        <v>53</v>
      </c>
      <c r="P1576" t="s">
        <v>53</v>
      </c>
      <c r="Q1576" t="s">
        <v>53</v>
      </c>
      <c r="R1576" t="s">
        <v>54</v>
      </c>
      <c r="S1576" t="s">
        <v>54</v>
      </c>
      <c r="T1576" t="s">
        <v>55</v>
      </c>
      <c r="U1576">
        <v>126</v>
      </c>
      <c r="V1576" t="s">
        <v>56</v>
      </c>
      <c r="W1576" t="s">
        <v>89</v>
      </c>
      <c r="X1576" s="4">
        <v>0</v>
      </c>
      <c r="Y1576" t="s">
        <v>62</v>
      </c>
      <c r="AK1576" s="5"/>
    </row>
    <row r="1577" spans="1:47" hidden="1" x14ac:dyDescent="0.25">
      <c r="A1577" t="s">
        <v>63</v>
      </c>
      <c r="B1577" s="1">
        <v>0</v>
      </c>
      <c r="C1577">
        <v>0</v>
      </c>
      <c r="D1577">
        <v>0</v>
      </c>
      <c r="E1577" s="2">
        <v>0</v>
      </c>
      <c r="F1577" s="3">
        <v>1377</v>
      </c>
      <c r="G1577" s="3">
        <v>3000</v>
      </c>
      <c r="H1577" s="3" t="s">
        <v>54</v>
      </c>
      <c r="I1577" s="3" t="s">
        <v>59</v>
      </c>
      <c r="K1577" s="3" t="s">
        <v>91</v>
      </c>
      <c r="L1577" s="3" t="s">
        <v>91</v>
      </c>
      <c r="M1577" s="3">
        <v>45993.657905092594</v>
      </c>
      <c r="Q1577" t="s">
        <v>54</v>
      </c>
      <c r="R1577">
        <v>0</v>
      </c>
      <c r="T1577" t="s">
        <v>54</v>
      </c>
      <c r="U1577" t="s">
        <v>54</v>
      </c>
      <c r="V1577">
        <v>8070</v>
      </c>
      <c r="W1577" t="s">
        <v>55</v>
      </c>
      <c r="X1577" s="4"/>
      <c r="AK1577" s="5"/>
    </row>
    <row r="1578" spans="1:47" hidden="1" x14ac:dyDescent="0.25">
      <c r="A1578" t="s">
        <v>47</v>
      </c>
      <c r="B1578" s="1">
        <v>38333</v>
      </c>
      <c r="C1578" t="s">
        <v>48</v>
      </c>
      <c r="D1578" t="s">
        <v>49</v>
      </c>
      <c r="E1578" s="2">
        <v>45993</v>
      </c>
      <c r="F1578" s="3" t="s">
        <v>148</v>
      </c>
      <c r="G1578" s="3" t="s">
        <v>66</v>
      </c>
      <c r="H1578" s="3">
        <v>5713.8</v>
      </c>
      <c r="I1578" s="3">
        <v>5713.8</v>
      </c>
      <c r="J1578">
        <v>0</v>
      </c>
      <c r="K1578" s="3">
        <v>6570.87</v>
      </c>
      <c r="L1578" s="3">
        <v>570.44000000000005</v>
      </c>
      <c r="M1578" s="3">
        <v>426.69</v>
      </c>
      <c r="N1578" t="s">
        <v>83</v>
      </c>
      <c r="O1578" t="s">
        <v>53</v>
      </c>
      <c r="P1578" t="s">
        <v>53</v>
      </c>
      <c r="Q1578" t="s">
        <v>53</v>
      </c>
      <c r="R1578" t="s">
        <v>54</v>
      </c>
      <c r="S1578" t="s">
        <v>54</v>
      </c>
      <c r="T1578" t="s">
        <v>55</v>
      </c>
      <c r="U1578">
        <v>9</v>
      </c>
      <c r="V1578" t="s">
        <v>71</v>
      </c>
      <c r="W1578" t="s">
        <v>57</v>
      </c>
      <c r="X1578" s="4">
        <v>0</v>
      </c>
      <c r="Y1578" t="s">
        <v>58</v>
      </c>
      <c r="Z1578">
        <v>0</v>
      </c>
      <c r="AA1578">
        <v>0</v>
      </c>
      <c r="AB1578">
        <v>570.44000000000005</v>
      </c>
      <c r="AC1578">
        <v>0</v>
      </c>
      <c r="AD1578">
        <v>0</v>
      </c>
      <c r="AE1578">
        <v>160</v>
      </c>
      <c r="AF1578" t="s">
        <v>54</v>
      </c>
      <c r="AG1578" t="s">
        <v>59</v>
      </c>
      <c r="AI1578" t="s">
        <v>73</v>
      </c>
      <c r="AJ1578" t="s">
        <v>73</v>
      </c>
      <c r="AK1578" s="5">
        <v>45993.670138888891</v>
      </c>
      <c r="AO1578" t="s">
        <v>54</v>
      </c>
      <c r="AP1578">
        <v>0</v>
      </c>
      <c r="AR1578" t="s">
        <v>54</v>
      </c>
      <c r="AS1578" t="s">
        <v>54</v>
      </c>
      <c r="AT1578">
        <v>1009</v>
      </c>
      <c r="AU1578" t="s">
        <v>55</v>
      </c>
    </row>
    <row r="1579" spans="1:47" hidden="1" x14ac:dyDescent="0.25">
      <c r="A1579" t="s">
        <v>47</v>
      </c>
      <c r="B1579" s="1">
        <v>38334</v>
      </c>
      <c r="C1579" t="s">
        <v>48</v>
      </c>
      <c r="D1579" t="s">
        <v>49</v>
      </c>
      <c r="E1579" s="2">
        <v>45993</v>
      </c>
      <c r="F1579" t="s">
        <v>148</v>
      </c>
      <c r="G1579" s="3" t="s">
        <v>66</v>
      </c>
      <c r="H1579" s="3">
        <v>6410</v>
      </c>
      <c r="I1579" s="3">
        <v>6410</v>
      </c>
      <c r="J1579">
        <v>0</v>
      </c>
      <c r="K1579" s="3">
        <v>7371.5</v>
      </c>
      <c r="L1579">
        <v>642.36</v>
      </c>
      <c r="M1579" s="3">
        <v>480.49</v>
      </c>
      <c r="N1579" t="s">
        <v>83</v>
      </c>
      <c r="O1579" t="s">
        <v>53</v>
      </c>
      <c r="P1579" t="s">
        <v>53</v>
      </c>
      <c r="Q1579" t="s">
        <v>53</v>
      </c>
      <c r="R1579" t="s">
        <v>54</v>
      </c>
      <c r="S1579" t="s">
        <v>54</v>
      </c>
      <c r="T1579" t="s">
        <v>55</v>
      </c>
      <c r="U1579">
        <v>9</v>
      </c>
      <c r="V1579" t="s">
        <v>71</v>
      </c>
      <c r="W1579" t="s">
        <v>57</v>
      </c>
      <c r="X1579" s="4">
        <v>0</v>
      </c>
      <c r="Y1579" t="s">
        <v>58</v>
      </c>
      <c r="Z1579">
        <v>0</v>
      </c>
      <c r="AA1579">
        <v>0</v>
      </c>
      <c r="AB1579">
        <v>642.36</v>
      </c>
      <c r="AC1579">
        <v>0</v>
      </c>
      <c r="AD1579">
        <v>0</v>
      </c>
      <c r="AE1579" s="3">
        <v>180</v>
      </c>
      <c r="AF1579" t="s">
        <v>54</v>
      </c>
      <c r="AG1579" t="s">
        <v>59</v>
      </c>
      <c r="AI1579" t="s">
        <v>73</v>
      </c>
      <c r="AJ1579" t="s">
        <v>73</v>
      </c>
      <c r="AK1579" s="5">
        <v>45993.670208333337</v>
      </c>
      <c r="AO1579" t="s">
        <v>54</v>
      </c>
      <c r="AP1579">
        <v>0</v>
      </c>
      <c r="AR1579" t="s">
        <v>54</v>
      </c>
      <c r="AS1579" t="s">
        <v>54</v>
      </c>
      <c r="AT1579">
        <v>1009</v>
      </c>
      <c r="AU1579" t="s">
        <v>55</v>
      </c>
    </row>
    <row r="1580" spans="1:47" hidden="1" x14ac:dyDescent="0.25">
      <c r="A1580" t="s">
        <v>47</v>
      </c>
      <c r="B1580" s="1">
        <v>38335</v>
      </c>
      <c r="C1580" t="s">
        <v>48</v>
      </c>
      <c r="D1580" t="s">
        <v>49</v>
      </c>
      <c r="E1580" s="2">
        <v>45993</v>
      </c>
      <c r="F1580" t="s">
        <v>148</v>
      </c>
      <c r="G1580" t="s">
        <v>66</v>
      </c>
      <c r="H1580" s="3">
        <v>6438.8</v>
      </c>
      <c r="I1580" s="3">
        <v>6438.8</v>
      </c>
      <c r="J1580">
        <v>0</v>
      </c>
      <c r="K1580" s="3">
        <v>7404.62</v>
      </c>
      <c r="L1580" s="3">
        <v>647.44000000000005</v>
      </c>
      <c r="M1580" s="3">
        <v>484.29</v>
      </c>
      <c r="N1580" t="s">
        <v>83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57</v>
      </c>
      <c r="X1580" s="4">
        <v>0</v>
      </c>
      <c r="Y1580" t="s">
        <v>58</v>
      </c>
      <c r="Z1580">
        <v>0</v>
      </c>
      <c r="AA1580">
        <v>0</v>
      </c>
      <c r="AB1580">
        <v>647.44000000000005</v>
      </c>
      <c r="AC1580">
        <v>0</v>
      </c>
      <c r="AD1580">
        <v>0</v>
      </c>
      <c r="AE1580" s="3">
        <v>180</v>
      </c>
      <c r="AF1580" t="s">
        <v>54</v>
      </c>
      <c r="AG1580" t="s">
        <v>59</v>
      </c>
      <c r="AI1580" t="s">
        <v>73</v>
      </c>
      <c r="AJ1580" t="s">
        <v>73</v>
      </c>
      <c r="AK1580" s="5">
        <v>45993.670289351852</v>
      </c>
      <c r="AO1580" t="s">
        <v>54</v>
      </c>
      <c r="AP1580">
        <v>0</v>
      </c>
      <c r="AR1580" t="s">
        <v>54</v>
      </c>
      <c r="AS1580" t="s">
        <v>54</v>
      </c>
      <c r="AT1580">
        <v>1009</v>
      </c>
      <c r="AU1580" t="s">
        <v>55</v>
      </c>
    </row>
    <row r="1581" spans="1:47" hidden="1" x14ac:dyDescent="0.25">
      <c r="A1581" t="s">
        <v>47</v>
      </c>
      <c r="B1581" s="1">
        <v>38336</v>
      </c>
      <c r="C1581" t="s">
        <v>48</v>
      </c>
      <c r="D1581" t="s">
        <v>49</v>
      </c>
      <c r="E1581" s="2">
        <v>45993</v>
      </c>
      <c r="F1581" t="s">
        <v>148</v>
      </c>
      <c r="G1581" s="3" t="s">
        <v>66</v>
      </c>
      <c r="H1581" s="3">
        <v>5847.6</v>
      </c>
      <c r="I1581" s="3">
        <v>5847.6</v>
      </c>
      <c r="J1581">
        <v>0</v>
      </c>
      <c r="K1581" s="3">
        <v>6724.74</v>
      </c>
      <c r="L1581" s="3">
        <v>583.6</v>
      </c>
      <c r="M1581" s="3">
        <v>436.53</v>
      </c>
      <c r="N1581" t="s">
        <v>83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9</v>
      </c>
      <c r="V1581" t="s">
        <v>71</v>
      </c>
      <c r="W1581" t="s">
        <v>57</v>
      </c>
      <c r="X1581" s="4">
        <v>0</v>
      </c>
      <c r="Y1581" t="s">
        <v>58</v>
      </c>
      <c r="Z1581">
        <v>0</v>
      </c>
      <c r="AA1581">
        <v>0</v>
      </c>
      <c r="AB1581">
        <v>583.6</v>
      </c>
      <c r="AC1581">
        <v>0</v>
      </c>
      <c r="AD1581">
        <v>0</v>
      </c>
      <c r="AE1581" s="3">
        <v>160</v>
      </c>
      <c r="AF1581" t="s">
        <v>54</v>
      </c>
      <c r="AG1581" t="s">
        <v>59</v>
      </c>
      <c r="AI1581" t="s">
        <v>73</v>
      </c>
      <c r="AJ1581" t="s">
        <v>73</v>
      </c>
      <c r="AK1581" s="5">
        <v>45993.670347222222</v>
      </c>
      <c r="AO1581" t="s">
        <v>54</v>
      </c>
      <c r="AP1581">
        <v>0</v>
      </c>
      <c r="AR1581" t="s">
        <v>54</v>
      </c>
      <c r="AS1581" t="s">
        <v>54</v>
      </c>
      <c r="AT1581">
        <v>1009</v>
      </c>
      <c r="AU1581" t="s">
        <v>55</v>
      </c>
    </row>
    <row r="1582" spans="1:47" hidden="1" x14ac:dyDescent="0.25">
      <c r="A1582" t="s">
        <v>47</v>
      </c>
      <c r="B1582" s="1">
        <v>38337</v>
      </c>
      <c r="C1582" t="s">
        <v>48</v>
      </c>
      <c r="D1582" t="s">
        <v>49</v>
      </c>
      <c r="E1582" s="2">
        <v>45993</v>
      </c>
      <c r="F1582" t="s">
        <v>111</v>
      </c>
      <c r="G1582" s="3" t="s">
        <v>112</v>
      </c>
      <c r="H1582" s="3">
        <v>22320</v>
      </c>
      <c r="I1582" s="3">
        <v>22320</v>
      </c>
      <c r="J1582">
        <v>0</v>
      </c>
      <c r="K1582" s="3">
        <v>22320</v>
      </c>
      <c r="L1582" s="3">
        <v>3034.5</v>
      </c>
      <c r="M1582" s="3">
        <v>1805.93</v>
      </c>
      <c r="N1582" t="s">
        <v>52</v>
      </c>
      <c r="O1582" t="s">
        <v>53</v>
      </c>
      <c r="P1582" t="s">
        <v>53</v>
      </c>
      <c r="Q1582" t="s">
        <v>53</v>
      </c>
      <c r="R1582" t="s">
        <v>54</v>
      </c>
      <c r="S1582" t="s">
        <v>54</v>
      </c>
      <c r="T1582" t="s">
        <v>55</v>
      </c>
      <c r="U1582">
        <v>126</v>
      </c>
      <c r="V1582" t="s">
        <v>56</v>
      </c>
      <c r="W1582" t="s">
        <v>113</v>
      </c>
      <c r="X1582" s="4">
        <v>0</v>
      </c>
      <c r="Y1582" t="s">
        <v>58</v>
      </c>
      <c r="Z1582" s="3">
        <v>838.5</v>
      </c>
      <c r="AA1582">
        <v>0</v>
      </c>
      <c r="AB1582" s="3">
        <v>2196</v>
      </c>
      <c r="AC1582">
        <v>0</v>
      </c>
      <c r="AD1582">
        <v>0</v>
      </c>
      <c r="AE1582" s="3">
        <v>4500</v>
      </c>
      <c r="AF1582" t="s">
        <v>54</v>
      </c>
      <c r="AG1582" t="s">
        <v>59</v>
      </c>
      <c r="AH1582" t="s">
        <v>114</v>
      </c>
      <c r="AI1582" t="s">
        <v>91</v>
      </c>
      <c r="AJ1582" t="s">
        <v>91</v>
      </c>
      <c r="AK1582" s="5">
        <v>45993.667557870373</v>
      </c>
      <c r="AO1582" t="s">
        <v>54</v>
      </c>
      <c r="AP1582">
        <v>0</v>
      </c>
      <c r="AR1582" t="s">
        <v>54</v>
      </c>
      <c r="AS1582" t="s">
        <v>54</v>
      </c>
      <c r="AT1582">
        <v>4089</v>
      </c>
      <c r="AU1582" t="s">
        <v>55</v>
      </c>
    </row>
    <row r="1583" spans="1:47" hidden="1" x14ac:dyDescent="0.25">
      <c r="A1583" t="s">
        <v>47</v>
      </c>
      <c r="B1583" s="1">
        <v>38338</v>
      </c>
      <c r="C1583" t="s">
        <v>48</v>
      </c>
      <c r="D1583" t="s">
        <v>49</v>
      </c>
      <c r="E1583" s="2">
        <v>45993</v>
      </c>
      <c r="F1583" t="s">
        <v>148</v>
      </c>
      <c r="G1583" s="3" t="s">
        <v>66</v>
      </c>
      <c r="H1583" s="3">
        <v>5884.2</v>
      </c>
      <c r="I1583" s="3">
        <v>5884.2</v>
      </c>
      <c r="J1583">
        <v>0</v>
      </c>
      <c r="K1583" s="3">
        <v>6766.83</v>
      </c>
      <c r="L1583" s="3">
        <v>580.72</v>
      </c>
      <c r="M1583" s="3">
        <v>434.38</v>
      </c>
      <c r="N1583" t="s">
        <v>83</v>
      </c>
      <c r="O1583" t="s">
        <v>53</v>
      </c>
      <c r="P1583" t="s">
        <v>53</v>
      </c>
      <c r="Q1583" t="s">
        <v>53</v>
      </c>
      <c r="R1583" t="s">
        <v>54</v>
      </c>
      <c r="S1583" t="s">
        <v>54</v>
      </c>
      <c r="T1583" t="s">
        <v>55</v>
      </c>
      <c r="U1583">
        <v>9</v>
      </c>
      <c r="V1583" t="s">
        <v>71</v>
      </c>
      <c r="W1583" t="s">
        <v>57</v>
      </c>
      <c r="X1583" s="4">
        <v>0</v>
      </c>
      <c r="Y1583" t="s">
        <v>58</v>
      </c>
      <c r="Z1583" s="3">
        <v>0</v>
      </c>
      <c r="AA1583">
        <v>0</v>
      </c>
      <c r="AB1583" s="3">
        <v>580.72</v>
      </c>
      <c r="AC1583">
        <v>0</v>
      </c>
      <c r="AD1583">
        <v>0</v>
      </c>
      <c r="AE1583" s="3">
        <v>160</v>
      </c>
      <c r="AF1583" t="s">
        <v>54</v>
      </c>
      <c r="AG1583" t="s">
        <v>59</v>
      </c>
      <c r="AI1583" t="s">
        <v>73</v>
      </c>
      <c r="AJ1583" t="s">
        <v>73</v>
      </c>
      <c r="AK1583" s="5">
        <v>45993.670416666668</v>
      </c>
      <c r="AO1583" t="s">
        <v>54</v>
      </c>
      <c r="AP1583">
        <v>0</v>
      </c>
      <c r="AR1583" t="s">
        <v>54</v>
      </c>
      <c r="AS1583" t="s">
        <v>54</v>
      </c>
      <c r="AT1583">
        <v>1009</v>
      </c>
      <c r="AU1583" t="s">
        <v>55</v>
      </c>
    </row>
    <row r="1584" spans="1:47" hidden="1" x14ac:dyDescent="0.25">
      <c r="A1584" t="s">
        <v>47</v>
      </c>
      <c r="B1584" s="1">
        <v>38339</v>
      </c>
      <c r="C1584" t="s">
        <v>48</v>
      </c>
      <c r="D1584" t="s">
        <v>49</v>
      </c>
      <c r="E1584" s="2">
        <v>45993</v>
      </c>
      <c r="F1584" s="3" t="s">
        <v>148</v>
      </c>
      <c r="G1584" s="3" t="s">
        <v>66</v>
      </c>
      <c r="H1584" s="3">
        <v>5022.6000000000004</v>
      </c>
      <c r="I1584" s="3">
        <v>5022.6000000000004</v>
      </c>
      <c r="J1584">
        <v>0</v>
      </c>
      <c r="K1584" s="3">
        <v>5775.99</v>
      </c>
      <c r="L1584" s="3">
        <v>492.24</v>
      </c>
      <c r="M1584" s="3">
        <v>368.2</v>
      </c>
      <c r="N1584" t="s">
        <v>83</v>
      </c>
      <c r="O1584" t="s">
        <v>53</v>
      </c>
      <c r="P1584" t="s">
        <v>53</v>
      </c>
      <c r="Q1584" t="s">
        <v>53</v>
      </c>
      <c r="R1584" t="s">
        <v>54</v>
      </c>
      <c r="S1584" t="s">
        <v>54</v>
      </c>
      <c r="T1584" t="s">
        <v>55</v>
      </c>
      <c r="U1584">
        <v>9</v>
      </c>
      <c r="V1584" t="s">
        <v>71</v>
      </c>
      <c r="W1584" t="s">
        <v>57</v>
      </c>
      <c r="X1584" s="4">
        <v>0</v>
      </c>
      <c r="Y1584" t="s">
        <v>58</v>
      </c>
      <c r="Z1584">
        <v>0</v>
      </c>
      <c r="AA1584">
        <v>0</v>
      </c>
      <c r="AB1584">
        <v>492.24</v>
      </c>
      <c r="AC1584">
        <v>0</v>
      </c>
      <c r="AD1584">
        <v>0</v>
      </c>
      <c r="AE1584" s="3">
        <v>140</v>
      </c>
      <c r="AF1584" t="s">
        <v>54</v>
      </c>
      <c r="AG1584" t="s">
        <v>59</v>
      </c>
      <c r="AI1584" t="s">
        <v>73</v>
      </c>
      <c r="AJ1584" t="s">
        <v>73</v>
      </c>
      <c r="AK1584" s="5">
        <v>45993.670486111114</v>
      </c>
      <c r="AO1584" t="s">
        <v>54</v>
      </c>
      <c r="AP1584">
        <v>0</v>
      </c>
      <c r="AR1584" t="s">
        <v>54</v>
      </c>
      <c r="AS1584" t="s">
        <v>54</v>
      </c>
      <c r="AT1584">
        <v>1009</v>
      </c>
      <c r="AU1584" t="s">
        <v>55</v>
      </c>
    </row>
    <row r="1585" spans="1:47" hidden="1" x14ac:dyDescent="0.25">
      <c r="A1585" t="s">
        <v>47</v>
      </c>
      <c r="B1585" s="1">
        <v>38340</v>
      </c>
      <c r="C1585" t="s">
        <v>48</v>
      </c>
      <c r="D1585" t="s">
        <v>436</v>
      </c>
      <c r="E1585" s="2">
        <v>45993</v>
      </c>
      <c r="F1585" s="3" t="s">
        <v>127</v>
      </c>
      <c r="G1585" s="3" t="s">
        <v>128</v>
      </c>
      <c r="H1585" s="3">
        <v>15145</v>
      </c>
      <c r="I1585" s="3">
        <v>15145</v>
      </c>
      <c r="J1585">
        <v>0</v>
      </c>
      <c r="K1585" s="3">
        <v>17416.75</v>
      </c>
      <c r="L1585" s="3">
        <v>3003.5</v>
      </c>
      <c r="M1585" s="3">
        <v>1185.58</v>
      </c>
      <c r="N1585" t="s">
        <v>52</v>
      </c>
      <c r="O1585" t="s">
        <v>53</v>
      </c>
      <c r="P1585" t="s">
        <v>53</v>
      </c>
      <c r="Q1585" t="s">
        <v>53</v>
      </c>
      <c r="R1585" t="s">
        <v>54</v>
      </c>
      <c r="S1585" t="s">
        <v>54</v>
      </c>
      <c r="T1585" t="s">
        <v>55</v>
      </c>
      <c r="U1585">
        <v>126</v>
      </c>
      <c r="V1585" t="s">
        <v>56</v>
      </c>
      <c r="W1585" t="s">
        <v>129</v>
      </c>
      <c r="X1585" s="4">
        <v>0</v>
      </c>
      <c r="Y1585" t="s">
        <v>62</v>
      </c>
      <c r="AK1585" s="5"/>
    </row>
    <row r="1586" spans="1:47" hidden="1" x14ac:dyDescent="0.25">
      <c r="A1586" t="s">
        <v>63</v>
      </c>
      <c r="B1586" s="1">
        <v>2759.5</v>
      </c>
      <c r="C1586">
        <v>0</v>
      </c>
      <c r="D1586">
        <v>0</v>
      </c>
      <c r="E1586" s="2">
        <v>0</v>
      </c>
      <c r="F1586" s="3">
        <v>244</v>
      </c>
      <c r="G1586" s="3">
        <v>5000</v>
      </c>
      <c r="H1586" s="3" t="s">
        <v>54</v>
      </c>
      <c r="I1586" s="3" t="s">
        <v>59</v>
      </c>
      <c r="K1586" s="3" t="s">
        <v>91</v>
      </c>
      <c r="L1586" s="3" t="s">
        <v>91</v>
      </c>
      <c r="M1586" s="3">
        <v>45993.681979166664</v>
      </c>
      <c r="Q1586" t="s">
        <v>54</v>
      </c>
      <c r="R1586">
        <v>0</v>
      </c>
      <c r="T1586" t="s">
        <v>54</v>
      </c>
      <c r="U1586" t="s">
        <v>54</v>
      </c>
      <c r="V1586">
        <v>6379</v>
      </c>
      <c r="W1586" t="s">
        <v>55</v>
      </c>
      <c r="X1586" s="4"/>
      <c r="AE1586" s="3"/>
      <c r="AK1586" s="5"/>
    </row>
    <row r="1587" spans="1:47" hidden="1" x14ac:dyDescent="0.25">
      <c r="A1587" t="s">
        <v>47</v>
      </c>
      <c r="B1587" s="3">
        <v>38341</v>
      </c>
      <c r="C1587" t="s">
        <v>48</v>
      </c>
      <c r="D1587" t="s">
        <v>49</v>
      </c>
      <c r="E1587" s="2">
        <v>45993</v>
      </c>
      <c r="F1587" s="3" t="s">
        <v>127</v>
      </c>
      <c r="G1587" s="3" t="s">
        <v>128</v>
      </c>
      <c r="H1587" s="3">
        <v>1944</v>
      </c>
      <c r="I1587" s="3">
        <v>1944</v>
      </c>
      <c r="J1587">
        <v>0</v>
      </c>
      <c r="K1587" s="3">
        <v>2235.6</v>
      </c>
      <c r="L1587" s="3">
        <v>349.2</v>
      </c>
      <c r="M1587" s="3">
        <v>146.66</v>
      </c>
      <c r="N1587" t="s">
        <v>52</v>
      </c>
      <c r="O1587" t="s">
        <v>53</v>
      </c>
      <c r="P1587" t="s">
        <v>53</v>
      </c>
      <c r="Q1587" t="s">
        <v>53</v>
      </c>
      <c r="R1587" t="s">
        <v>54</v>
      </c>
      <c r="S1587" t="s">
        <v>54</v>
      </c>
      <c r="T1587" t="s">
        <v>55</v>
      </c>
      <c r="U1587">
        <v>126</v>
      </c>
      <c r="V1587" t="s">
        <v>56</v>
      </c>
      <c r="W1587" t="s">
        <v>129</v>
      </c>
      <c r="X1587" s="4">
        <v>0</v>
      </c>
      <c r="Y1587" t="s">
        <v>62</v>
      </c>
      <c r="AE1587" s="3"/>
      <c r="AK1587" s="5"/>
    </row>
    <row r="1588" spans="1:47" hidden="1" x14ac:dyDescent="0.25">
      <c r="A1588" t="s">
        <v>63</v>
      </c>
      <c r="B1588" s="1">
        <v>349.2</v>
      </c>
      <c r="C1588">
        <v>0</v>
      </c>
      <c r="D1588">
        <v>0</v>
      </c>
      <c r="E1588" s="2">
        <v>0</v>
      </c>
      <c r="F1588">
        <v>0</v>
      </c>
      <c r="G1588">
        <v>300</v>
      </c>
      <c r="H1588" s="3" t="s">
        <v>54</v>
      </c>
      <c r="I1588" s="3" t="s">
        <v>59</v>
      </c>
      <c r="K1588" s="3" t="s">
        <v>91</v>
      </c>
      <c r="L1588" s="3" t="s">
        <v>91</v>
      </c>
      <c r="M1588" s="3">
        <v>45993.678993055553</v>
      </c>
      <c r="Q1588" t="s">
        <v>54</v>
      </c>
      <c r="R1588">
        <v>0</v>
      </c>
      <c r="T1588" t="s">
        <v>54</v>
      </c>
      <c r="U1588" t="s">
        <v>54</v>
      </c>
      <c r="V1588">
        <v>6379</v>
      </c>
      <c r="W1588" t="s">
        <v>55</v>
      </c>
      <c r="X1588" s="4"/>
      <c r="Z1588" s="3"/>
      <c r="AB1588" s="3"/>
      <c r="AE1588" s="3"/>
      <c r="AK1588" s="5"/>
    </row>
    <row r="1589" spans="1:47" hidden="1" x14ac:dyDescent="0.25">
      <c r="A1589" t="s">
        <v>47</v>
      </c>
      <c r="B1589" s="1">
        <v>38342</v>
      </c>
      <c r="C1589" t="s">
        <v>48</v>
      </c>
      <c r="D1589" t="s">
        <v>49</v>
      </c>
      <c r="E1589" s="2">
        <v>45993</v>
      </c>
      <c r="F1589" s="3" t="s">
        <v>100</v>
      </c>
      <c r="G1589" s="3" t="s">
        <v>93</v>
      </c>
      <c r="H1589" s="3">
        <v>970</v>
      </c>
      <c r="I1589" s="3">
        <v>970</v>
      </c>
      <c r="J1589">
        <v>0</v>
      </c>
      <c r="K1589" s="3">
        <v>1115.5</v>
      </c>
      <c r="L1589" s="3">
        <v>207</v>
      </c>
      <c r="M1589" s="3">
        <v>72.45</v>
      </c>
      <c r="N1589" t="s">
        <v>83</v>
      </c>
      <c r="O1589" t="s">
        <v>53</v>
      </c>
      <c r="P1589" t="s">
        <v>53</v>
      </c>
      <c r="Q1589" t="s">
        <v>53</v>
      </c>
      <c r="R1589" t="s">
        <v>54</v>
      </c>
      <c r="S1589" t="s">
        <v>54</v>
      </c>
      <c r="T1589" t="s">
        <v>55</v>
      </c>
      <c r="U1589">
        <v>9</v>
      </c>
      <c r="V1589" t="s">
        <v>71</v>
      </c>
      <c r="W1589" t="s">
        <v>101</v>
      </c>
      <c r="X1589" s="4">
        <v>0</v>
      </c>
      <c r="Y1589" t="s">
        <v>58</v>
      </c>
      <c r="Z1589">
        <v>207</v>
      </c>
      <c r="AA1589">
        <v>0</v>
      </c>
      <c r="AB1589" s="3">
        <v>0</v>
      </c>
      <c r="AC1589">
        <v>0</v>
      </c>
      <c r="AD1589">
        <v>0</v>
      </c>
      <c r="AE1589" s="3">
        <v>1000</v>
      </c>
      <c r="AF1589" t="s">
        <v>54</v>
      </c>
      <c r="AG1589" t="s">
        <v>59</v>
      </c>
      <c r="AH1589" t="s">
        <v>102</v>
      </c>
      <c r="AI1589" t="s">
        <v>91</v>
      </c>
      <c r="AJ1589" t="s">
        <v>91</v>
      </c>
      <c r="AK1589" s="5">
        <v>45993.686712962961</v>
      </c>
      <c r="AO1589" t="s">
        <v>54</v>
      </c>
      <c r="AP1589">
        <v>0</v>
      </c>
      <c r="AR1589" t="s">
        <v>54</v>
      </c>
      <c r="AS1589" t="s">
        <v>54</v>
      </c>
      <c r="AT1589">
        <v>161</v>
      </c>
      <c r="AU1589" t="s">
        <v>55</v>
      </c>
    </row>
    <row r="1590" spans="1:47" hidden="1" x14ac:dyDescent="0.25">
      <c r="A1590" t="s">
        <v>47</v>
      </c>
      <c r="B1590" s="1">
        <v>38343</v>
      </c>
      <c r="C1590" t="s">
        <v>48</v>
      </c>
      <c r="D1590" t="s">
        <v>49</v>
      </c>
      <c r="E1590" s="2">
        <v>45994</v>
      </c>
      <c r="F1590" t="s">
        <v>100</v>
      </c>
      <c r="G1590" s="3" t="s">
        <v>93</v>
      </c>
      <c r="H1590" s="3">
        <v>3560</v>
      </c>
      <c r="I1590" s="3">
        <v>3560</v>
      </c>
      <c r="J1590">
        <v>0</v>
      </c>
      <c r="K1590" s="3">
        <v>4094</v>
      </c>
      <c r="L1590" s="3">
        <v>880</v>
      </c>
      <c r="M1590" s="3">
        <v>255.2</v>
      </c>
      <c r="N1590" t="s">
        <v>83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9</v>
      </c>
      <c r="V1590" t="s">
        <v>71</v>
      </c>
      <c r="W1590" t="s">
        <v>101</v>
      </c>
      <c r="X1590" s="4">
        <v>0</v>
      </c>
      <c r="Y1590" t="s">
        <v>58</v>
      </c>
      <c r="Z1590">
        <v>880</v>
      </c>
      <c r="AA1590">
        <v>0</v>
      </c>
      <c r="AB1590" s="3">
        <v>0</v>
      </c>
      <c r="AC1590">
        <v>0</v>
      </c>
      <c r="AD1590">
        <v>0</v>
      </c>
      <c r="AE1590" s="3">
        <v>2000</v>
      </c>
      <c r="AF1590" t="s">
        <v>54</v>
      </c>
      <c r="AG1590" t="s">
        <v>59</v>
      </c>
      <c r="AH1590" t="s">
        <v>102</v>
      </c>
      <c r="AI1590" t="s">
        <v>73</v>
      </c>
      <c r="AJ1590" t="s">
        <v>73</v>
      </c>
      <c r="AK1590" s="5">
        <v>45994.400590277779</v>
      </c>
      <c r="AO1590" t="s">
        <v>54</v>
      </c>
      <c r="AP1590">
        <v>0</v>
      </c>
      <c r="AR1590" t="s">
        <v>54</v>
      </c>
      <c r="AS1590" t="s">
        <v>54</v>
      </c>
      <c r="AT1590">
        <v>161</v>
      </c>
      <c r="AU1590" t="s">
        <v>55</v>
      </c>
    </row>
    <row r="1591" spans="1:47" hidden="1" x14ac:dyDescent="0.25">
      <c r="A1591" t="s">
        <v>81</v>
      </c>
      <c r="B1591" s="1">
        <v>38344</v>
      </c>
      <c r="C1591" t="s">
        <v>48</v>
      </c>
      <c r="D1591" t="s">
        <v>49</v>
      </c>
      <c r="E1591" s="2">
        <v>45994</v>
      </c>
      <c r="F1591" t="s">
        <v>309</v>
      </c>
      <c r="G1591" t="s">
        <v>112</v>
      </c>
      <c r="H1591" s="3">
        <v>5562</v>
      </c>
      <c r="I1591" s="3">
        <v>5562</v>
      </c>
      <c r="J1591">
        <v>0</v>
      </c>
      <c r="K1591" s="3">
        <v>5562</v>
      </c>
      <c r="L1591" s="3">
        <v>1220.4000000000001</v>
      </c>
      <c r="M1591" s="3">
        <v>465.43</v>
      </c>
      <c r="N1591" t="s">
        <v>52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126</v>
      </c>
      <c r="V1591" t="s">
        <v>56</v>
      </c>
      <c r="W1591" t="s">
        <v>113</v>
      </c>
      <c r="X1591" s="4">
        <v>0</v>
      </c>
      <c r="Y1591" t="s">
        <v>62</v>
      </c>
      <c r="AB1591" s="3"/>
      <c r="AE1591" s="3"/>
      <c r="AK1591" s="5"/>
    </row>
    <row r="1592" spans="1:47" hidden="1" x14ac:dyDescent="0.25">
      <c r="A1592" t="s">
        <v>63</v>
      </c>
      <c r="B1592" s="1">
        <v>1220.4000000000001</v>
      </c>
      <c r="C1592">
        <v>0</v>
      </c>
      <c r="D1592">
        <v>0</v>
      </c>
      <c r="E1592" s="2">
        <v>0</v>
      </c>
      <c r="F1592" s="3">
        <v>0</v>
      </c>
      <c r="G1592" s="3">
        <v>3600</v>
      </c>
      <c r="H1592" s="3" t="s">
        <v>54</v>
      </c>
      <c r="I1592" s="3" t="s">
        <v>59</v>
      </c>
      <c r="K1592" s="3" t="s">
        <v>73</v>
      </c>
      <c r="L1592" s="3" t="s">
        <v>91</v>
      </c>
      <c r="M1592" s="3">
        <v>45994.465173611112</v>
      </c>
      <c r="Q1592" t="s">
        <v>54</v>
      </c>
      <c r="R1592">
        <v>0</v>
      </c>
      <c r="T1592" t="s">
        <v>54</v>
      </c>
      <c r="U1592" t="s">
        <v>54</v>
      </c>
      <c r="V1592">
        <v>5660</v>
      </c>
      <c r="W1592" t="s">
        <v>55</v>
      </c>
      <c r="X1592" s="4"/>
      <c r="Z1592" s="3"/>
      <c r="AD1592" s="3"/>
      <c r="AE1592" s="3"/>
      <c r="AK1592" s="5"/>
    </row>
    <row r="1593" spans="1:47" hidden="1" x14ac:dyDescent="0.25">
      <c r="A1593" t="s">
        <v>81</v>
      </c>
      <c r="B1593" s="3">
        <v>38345</v>
      </c>
      <c r="C1593" t="s">
        <v>48</v>
      </c>
      <c r="D1593" t="s">
        <v>49</v>
      </c>
      <c r="E1593" s="2">
        <v>45995</v>
      </c>
      <c r="F1593" t="s">
        <v>291</v>
      </c>
      <c r="G1593" s="3" t="s">
        <v>213</v>
      </c>
      <c r="H1593" s="3">
        <v>8650</v>
      </c>
      <c r="I1593" s="3">
        <v>8650</v>
      </c>
      <c r="J1593">
        <v>0</v>
      </c>
      <c r="K1593" s="3">
        <v>8650</v>
      </c>
      <c r="L1593" s="3">
        <v>1527.5</v>
      </c>
      <c r="M1593" s="3">
        <v>717.93</v>
      </c>
      <c r="N1593" t="s">
        <v>52</v>
      </c>
      <c r="O1593" t="s">
        <v>53</v>
      </c>
      <c r="P1593" t="s">
        <v>53</v>
      </c>
      <c r="Q1593" t="s">
        <v>53</v>
      </c>
      <c r="R1593" t="s">
        <v>54</v>
      </c>
      <c r="S1593" t="s">
        <v>54</v>
      </c>
      <c r="T1593" t="s">
        <v>55</v>
      </c>
      <c r="U1593">
        <v>126</v>
      </c>
      <c r="V1593" t="s">
        <v>56</v>
      </c>
      <c r="W1593" t="s">
        <v>89</v>
      </c>
      <c r="X1593" s="4">
        <v>0</v>
      </c>
      <c r="Y1593" t="s">
        <v>62</v>
      </c>
      <c r="Z1593" s="3"/>
      <c r="AD1593" s="3"/>
      <c r="AE1593" s="3"/>
      <c r="AK1593" s="5"/>
    </row>
    <row r="1594" spans="1:47" hidden="1" x14ac:dyDescent="0.25">
      <c r="A1594" t="s">
        <v>63</v>
      </c>
      <c r="B1594" s="1">
        <v>0</v>
      </c>
      <c r="C1594">
        <v>0</v>
      </c>
      <c r="D1594">
        <v>0</v>
      </c>
      <c r="E1594" s="2">
        <v>0</v>
      </c>
      <c r="F1594" s="3">
        <v>1527.5</v>
      </c>
      <c r="G1594" s="3">
        <v>2500</v>
      </c>
      <c r="H1594" s="3" t="s">
        <v>54</v>
      </c>
      <c r="I1594" s="3" t="s">
        <v>59</v>
      </c>
      <c r="J1594" t="s">
        <v>292</v>
      </c>
      <c r="K1594" s="3" t="s">
        <v>73</v>
      </c>
      <c r="L1594" s="3" t="s">
        <v>73</v>
      </c>
      <c r="M1594" s="3">
        <v>45995.458622685182</v>
      </c>
      <c r="Q1594" t="s">
        <v>54</v>
      </c>
      <c r="R1594">
        <v>0</v>
      </c>
      <c r="T1594" t="s">
        <v>54</v>
      </c>
      <c r="U1594" t="s">
        <v>54</v>
      </c>
      <c r="V1594">
        <v>5293</v>
      </c>
      <c r="W1594" t="s">
        <v>55</v>
      </c>
      <c r="X1594" s="4"/>
      <c r="Z1594" s="3"/>
      <c r="AB1594" s="3"/>
      <c r="AE1594" s="3"/>
      <c r="AK1594" s="5"/>
    </row>
    <row r="1595" spans="1:47" hidden="1" x14ac:dyDescent="0.25">
      <c r="A1595" t="s">
        <v>47</v>
      </c>
      <c r="B1595" s="1">
        <v>38346</v>
      </c>
      <c r="C1595" t="s">
        <v>48</v>
      </c>
      <c r="D1595" t="s">
        <v>49</v>
      </c>
      <c r="E1595" s="2">
        <v>45995</v>
      </c>
      <c r="F1595" s="3" t="s">
        <v>344</v>
      </c>
      <c r="G1595" s="3" t="s">
        <v>122</v>
      </c>
      <c r="H1595" s="3">
        <v>10800</v>
      </c>
      <c r="I1595" s="3">
        <v>10800</v>
      </c>
      <c r="J1595">
        <v>0</v>
      </c>
      <c r="K1595" s="3">
        <v>12420</v>
      </c>
      <c r="L1595" s="3">
        <v>1732</v>
      </c>
      <c r="M1595" s="3">
        <v>814.04</v>
      </c>
      <c r="N1595" t="s">
        <v>52</v>
      </c>
      <c r="O1595" t="s">
        <v>53</v>
      </c>
      <c r="P1595" t="s">
        <v>53</v>
      </c>
      <c r="Q1595" t="s">
        <v>53</v>
      </c>
      <c r="R1595" t="s">
        <v>54</v>
      </c>
      <c r="S1595" t="s">
        <v>54</v>
      </c>
      <c r="T1595" t="s">
        <v>55</v>
      </c>
      <c r="U1595">
        <v>126</v>
      </c>
      <c r="V1595" t="s">
        <v>56</v>
      </c>
      <c r="W1595" t="s">
        <v>72</v>
      </c>
      <c r="X1595" s="4">
        <v>0</v>
      </c>
      <c r="Y1595" t="s">
        <v>62</v>
      </c>
      <c r="AB1595" s="3"/>
      <c r="AK1595" s="5"/>
    </row>
    <row r="1596" spans="1:47" hidden="1" x14ac:dyDescent="0.25">
      <c r="A1596" t="s">
        <v>63</v>
      </c>
      <c r="B1596" s="1">
        <v>0</v>
      </c>
      <c r="C1596">
        <v>0</v>
      </c>
      <c r="D1596">
        <v>0</v>
      </c>
      <c r="E1596" s="2">
        <v>0</v>
      </c>
      <c r="F1596" s="3">
        <v>1732</v>
      </c>
      <c r="G1596" s="3">
        <v>2000</v>
      </c>
      <c r="H1596" s="3" t="s">
        <v>54</v>
      </c>
      <c r="I1596" s="3" t="s">
        <v>59</v>
      </c>
      <c r="K1596" s="3" t="s">
        <v>73</v>
      </c>
      <c r="L1596" s="3" t="s">
        <v>73</v>
      </c>
      <c r="M1596" s="3">
        <v>45995.458483796298</v>
      </c>
      <c r="Q1596" t="s">
        <v>54</v>
      </c>
      <c r="R1596">
        <v>0</v>
      </c>
      <c r="T1596" t="s">
        <v>54</v>
      </c>
      <c r="U1596" t="s">
        <v>54</v>
      </c>
      <c r="V1596">
        <v>8215</v>
      </c>
      <c r="W1596" t="s">
        <v>55</v>
      </c>
      <c r="X1596" s="4"/>
      <c r="AB1596" s="3"/>
      <c r="AK1596" s="5"/>
    </row>
    <row r="1597" spans="1:47" hidden="1" x14ac:dyDescent="0.25">
      <c r="A1597" t="s">
        <v>47</v>
      </c>
      <c r="B1597" s="1">
        <v>38347</v>
      </c>
      <c r="C1597" t="s">
        <v>48</v>
      </c>
      <c r="D1597" t="s">
        <v>49</v>
      </c>
      <c r="E1597" s="2">
        <v>45995</v>
      </c>
      <c r="F1597" s="3" t="s">
        <v>157</v>
      </c>
      <c r="G1597" s="3" t="s">
        <v>108</v>
      </c>
      <c r="H1597" s="3">
        <v>1746</v>
      </c>
      <c r="I1597" s="3">
        <v>1746</v>
      </c>
      <c r="J1597">
        <v>0</v>
      </c>
      <c r="K1597" s="3">
        <v>2007.9</v>
      </c>
      <c r="L1597">
        <v>239.2</v>
      </c>
      <c r="M1597" s="3">
        <v>143.52000000000001</v>
      </c>
      <c r="N1597" t="s">
        <v>77</v>
      </c>
      <c r="O1597" t="s">
        <v>53</v>
      </c>
      <c r="P1597" t="s">
        <v>53</v>
      </c>
      <c r="Q1597" t="s">
        <v>53</v>
      </c>
      <c r="R1597" t="s">
        <v>54</v>
      </c>
      <c r="S1597" t="s">
        <v>54</v>
      </c>
      <c r="T1597" t="s">
        <v>55</v>
      </c>
      <c r="U1597">
        <v>83</v>
      </c>
      <c r="W1597" t="s">
        <v>158</v>
      </c>
      <c r="X1597" s="4">
        <v>0</v>
      </c>
      <c r="Y1597" t="s">
        <v>58</v>
      </c>
      <c r="Z1597">
        <v>0</v>
      </c>
      <c r="AA1597">
        <v>0</v>
      </c>
      <c r="AB1597">
        <v>239.2</v>
      </c>
      <c r="AC1597">
        <v>0</v>
      </c>
      <c r="AD1597">
        <v>0</v>
      </c>
      <c r="AE1597">
        <v>200</v>
      </c>
      <c r="AF1597" t="s">
        <v>54</v>
      </c>
      <c r="AG1597" t="s">
        <v>59</v>
      </c>
      <c r="AI1597" t="s">
        <v>73</v>
      </c>
      <c r="AJ1597" t="s">
        <v>91</v>
      </c>
      <c r="AK1597" s="5">
        <v>45995.627962962964</v>
      </c>
      <c r="AO1597" t="s">
        <v>54</v>
      </c>
      <c r="AP1597">
        <v>0</v>
      </c>
      <c r="AR1597" t="s">
        <v>54</v>
      </c>
      <c r="AS1597" t="s">
        <v>54</v>
      </c>
      <c r="AT1597">
        <v>4386</v>
      </c>
      <c r="AU1597" t="s">
        <v>55</v>
      </c>
    </row>
    <row r="1598" spans="1:47" hidden="1" x14ac:dyDescent="0.25">
      <c r="A1598" t="s">
        <v>81</v>
      </c>
      <c r="B1598" s="1">
        <v>38348</v>
      </c>
      <c r="C1598" t="s">
        <v>48</v>
      </c>
      <c r="D1598" t="s">
        <v>49</v>
      </c>
      <c r="E1598" s="2">
        <v>45995</v>
      </c>
      <c r="F1598" t="s">
        <v>149</v>
      </c>
      <c r="G1598" t="s">
        <v>150</v>
      </c>
      <c r="H1598" s="3">
        <v>8134.5</v>
      </c>
      <c r="I1598" s="3">
        <v>8134.5</v>
      </c>
      <c r="J1598">
        <v>0</v>
      </c>
      <c r="K1598" s="3">
        <v>8134.5</v>
      </c>
      <c r="L1598" s="3">
        <v>1053.1500000000001</v>
      </c>
      <c r="M1598" s="3">
        <v>787.76</v>
      </c>
      <c r="N1598" t="s">
        <v>52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126</v>
      </c>
      <c r="V1598" t="s">
        <v>56</v>
      </c>
      <c r="W1598" t="s">
        <v>141</v>
      </c>
      <c r="X1598" s="4">
        <v>0</v>
      </c>
      <c r="Y1598" t="s">
        <v>58</v>
      </c>
      <c r="Z1598">
        <v>0</v>
      </c>
      <c r="AA1598">
        <v>0</v>
      </c>
      <c r="AB1598" s="3">
        <v>1053.1500000000001</v>
      </c>
      <c r="AC1598">
        <v>0</v>
      </c>
      <c r="AD1598">
        <v>0</v>
      </c>
      <c r="AE1598">
        <v>850</v>
      </c>
      <c r="AF1598" t="s">
        <v>54</v>
      </c>
      <c r="AG1598" t="s">
        <v>59</v>
      </c>
      <c r="AI1598" t="s">
        <v>73</v>
      </c>
      <c r="AJ1598" t="s">
        <v>73</v>
      </c>
      <c r="AK1598" s="5">
        <v>45995.577488425923</v>
      </c>
      <c r="AO1598" t="s">
        <v>54</v>
      </c>
      <c r="AP1598">
        <v>0</v>
      </c>
      <c r="AR1598" t="s">
        <v>54</v>
      </c>
      <c r="AS1598" t="s">
        <v>54</v>
      </c>
      <c r="AT1598">
        <v>4340</v>
      </c>
      <c r="AU1598" t="s">
        <v>55</v>
      </c>
    </row>
    <row r="1599" spans="1:47" hidden="1" x14ac:dyDescent="0.25">
      <c r="A1599" t="s">
        <v>47</v>
      </c>
      <c r="B1599" s="1">
        <v>38349</v>
      </c>
      <c r="C1599" t="s">
        <v>48</v>
      </c>
      <c r="D1599" s="3" t="s">
        <v>49</v>
      </c>
      <c r="E1599" s="2">
        <v>45996</v>
      </c>
      <c r="F1599" t="s">
        <v>148</v>
      </c>
      <c r="G1599" t="s">
        <v>66</v>
      </c>
      <c r="H1599" s="3">
        <v>694.2</v>
      </c>
      <c r="I1599" s="3">
        <v>694.2</v>
      </c>
      <c r="J1599">
        <v>0</v>
      </c>
      <c r="K1599" s="3">
        <v>798.33</v>
      </c>
      <c r="L1599" s="3">
        <v>71.92</v>
      </c>
      <c r="M1599" s="3">
        <v>53.8</v>
      </c>
      <c r="N1599" t="s">
        <v>83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9</v>
      </c>
      <c r="V1599" t="s">
        <v>71</v>
      </c>
      <c r="W1599" t="s">
        <v>57</v>
      </c>
      <c r="X1599" s="4">
        <v>0</v>
      </c>
      <c r="Y1599" t="s">
        <v>58</v>
      </c>
      <c r="Z1599">
        <v>0</v>
      </c>
      <c r="AA1599">
        <v>0</v>
      </c>
      <c r="AB1599" s="3">
        <v>71.92</v>
      </c>
      <c r="AC1599">
        <v>0</v>
      </c>
      <c r="AD1599">
        <v>0</v>
      </c>
      <c r="AE1599">
        <v>20</v>
      </c>
      <c r="AF1599" t="s">
        <v>54</v>
      </c>
      <c r="AG1599" t="s">
        <v>59</v>
      </c>
      <c r="AI1599" t="s">
        <v>73</v>
      </c>
      <c r="AJ1599" t="s">
        <v>73</v>
      </c>
      <c r="AK1599" s="5">
        <v>45996.371678240743</v>
      </c>
      <c r="AO1599" t="s">
        <v>54</v>
      </c>
      <c r="AP1599">
        <v>0</v>
      </c>
      <c r="AR1599" t="s">
        <v>54</v>
      </c>
      <c r="AS1599" t="s">
        <v>54</v>
      </c>
      <c r="AT1599">
        <v>1009</v>
      </c>
      <c r="AU1599" t="s">
        <v>55</v>
      </c>
    </row>
    <row r="1600" spans="1:47" hidden="1" x14ac:dyDescent="0.25">
      <c r="A1600" t="s">
        <v>95</v>
      </c>
      <c r="B1600" s="1">
        <v>38350</v>
      </c>
      <c r="C1600" t="s">
        <v>48</v>
      </c>
      <c r="D1600" t="s">
        <v>49</v>
      </c>
      <c r="E1600" s="2">
        <v>45996</v>
      </c>
      <c r="F1600" s="3" t="s">
        <v>159</v>
      </c>
      <c r="G1600" s="3" t="s">
        <v>66</v>
      </c>
      <c r="H1600" s="3">
        <v>89807.3</v>
      </c>
      <c r="I1600" s="3">
        <v>89807.3</v>
      </c>
      <c r="J1600">
        <v>0</v>
      </c>
      <c r="K1600" s="3">
        <v>89807.3</v>
      </c>
      <c r="L1600" s="3">
        <v>16301.51</v>
      </c>
      <c r="M1600" s="3">
        <v>9373.3700000000008</v>
      </c>
      <c r="N1600" t="s">
        <v>52</v>
      </c>
      <c r="O1600" t="s">
        <v>53</v>
      </c>
      <c r="P1600" t="s">
        <v>53</v>
      </c>
      <c r="Q1600" t="s">
        <v>53</v>
      </c>
      <c r="R1600" t="s">
        <v>54</v>
      </c>
      <c r="S1600" t="s">
        <v>54</v>
      </c>
      <c r="T1600" t="s">
        <v>55</v>
      </c>
      <c r="U1600">
        <v>126</v>
      </c>
      <c r="V1600" t="s">
        <v>56</v>
      </c>
      <c r="W1600" t="s">
        <v>141</v>
      </c>
      <c r="X1600" s="4">
        <v>0</v>
      </c>
      <c r="Y1600" t="s">
        <v>197</v>
      </c>
      <c r="Z1600" s="3">
        <v>0</v>
      </c>
      <c r="AA1600">
        <v>0</v>
      </c>
      <c r="AB1600" s="3">
        <v>16301.51</v>
      </c>
      <c r="AC1600">
        <v>0</v>
      </c>
      <c r="AD1600">
        <v>0</v>
      </c>
      <c r="AE1600" s="3">
        <v>15410</v>
      </c>
      <c r="AF1600" t="s">
        <v>54</v>
      </c>
      <c r="AG1600" t="s">
        <v>59</v>
      </c>
      <c r="AI1600" t="s">
        <v>73</v>
      </c>
      <c r="AJ1600" t="s">
        <v>73</v>
      </c>
      <c r="AK1600" s="5">
        <v>45996.379178240742</v>
      </c>
      <c r="AO1600" t="s">
        <v>54</v>
      </c>
      <c r="AP1600">
        <v>0</v>
      </c>
      <c r="AR1600" t="s">
        <v>54</v>
      </c>
      <c r="AS1600" t="s">
        <v>54</v>
      </c>
      <c r="AT1600">
        <v>5486</v>
      </c>
      <c r="AU1600" t="s">
        <v>55</v>
      </c>
    </row>
    <row r="1601" spans="1:47" hidden="1" x14ac:dyDescent="0.25">
      <c r="A1601" t="s">
        <v>95</v>
      </c>
      <c r="B1601" s="3">
        <v>38351</v>
      </c>
      <c r="C1601" t="s">
        <v>48</v>
      </c>
      <c r="D1601" t="s">
        <v>49</v>
      </c>
      <c r="E1601" s="2">
        <v>45996</v>
      </c>
      <c r="F1601" t="s">
        <v>159</v>
      </c>
      <c r="G1601" s="3" t="s">
        <v>66</v>
      </c>
      <c r="H1601" s="3">
        <v>2967.3</v>
      </c>
      <c r="I1601" s="3">
        <v>2967.3</v>
      </c>
      <c r="J1601">
        <v>0</v>
      </c>
      <c r="K1601" s="3">
        <v>2967.3</v>
      </c>
      <c r="L1601" s="3">
        <v>794.58</v>
      </c>
      <c r="M1601" s="3">
        <v>230.43</v>
      </c>
      <c r="N1601" t="s">
        <v>52</v>
      </c>
      <c r="O1601" t="s">
        <v>53</v>
      </c>
      <c r="P1601" t="s">
        <v>53</v>
      </c>
      <c r="Q1601" t="s">
        <v>53</v>
      </c>
      <c r="R1601" t="s">
        <v>54</v>
      </c>
      <c r="S1601" t="s">
        <v>54</v>
      </c>
      <c r="T1601" t="s">
        <v>55</v>
      </c>
      <c r="U1601">
        <v>126</v>
      </c>
      <c r="V1601" t="s">
        <v>56</v>
      </c>
      <c r="W1601" t="s">
        <v>141</v>
      </c>
      <c r="X1601" s="4">
        <v>0</v>
      </c>
      <c r="Y1601" t="s">
        <v>197</v>
      </c>
      <c r="Z1601" s="3">
        <v>794.58</v>
      </c>
      <c r="AA1601">
        <v>0</v>
      </c>
      <c r="AB1601">
        <v>0</v>
      </c>
      <c r="AC1601">
        <v>0</v>
      </c>
      <c r="AD1601">
        <v>0</v>
      </c>
      <c r="AE1601" s="3">
        <v>3297</v>
      </c>
      <c r="AF1601" t="s">
        <v>54</v>
      </c>
      <c r="AG1601" t="s">
        <v>59</v>
      </c>
      <c r="AI1601" t="s">
        <v>73</v>
      </c>
      <c r="AJ1601" t="s">
        <v>73</v>
      </c>
      <c r="AK1601" s="5">
        <v>45996.380416666667</v>
      </c>
      <c r="AO1601" t="s">
        <v>54</v>
      </c>
      <c r="AP1601">
        <v>0</v>
      </c>
      <c r="AR1601" t="s">
        <v>54</v>
      </c>
      <c r="AS1601" t="s">
        <v>54</v>
      </c>
      <c r="AT1601">
        <v>5486</v>
      </c>
      <c r="AU1601" t="s">
        <v>55</v>
      </c>
    </row>
    <row r="1602" spans="1:47" hidden="1" x14ac:dyDescent="0.25">
      <c r="A1602" t="s">
        <v>95</v>
      </c>
      <c r="B1602" s="1">
        <v>38352</v>
      </c>
      <c r="C1602" t="s">
        <v>48</v>
      </c>
      <c r="D1602" t="s">
        <v>49</v>
      </c>
      <c r="E1602" s="2">
        <v>45996</v>
      </c>
      <c r="F1602" t="s">
        <v>159</v>
      </c>
      <c r="G1602" s="3" t="s">
        <v>66</v>
      </c>
      <c r="H1602" s="3">
        <v>45720.5</v>
      </c>
      <c r="I1602" s="3">
        <v>45720.5</v>
      </c>
      <c r="J1602">
        <v>0</v>
      </c>
      <c r="K1602" s="3">
        <v>45720.5</v>
      </c>
      <c r="L1602" s="3">
        <v>11209</v>
      </c>
      <c r="M1602" s="3">
        <v>3513.87</v>
      </c>
      <c r="N1602" t="s">
        <v>52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126</v>
      </c>
      <c r="V1602" t="s">
        <v>56</v>
      </c>
      <c r="W1602" t="s">
        <v>141</v>
      </c>
      <c r="X1602" s="4">
        <v>0</v>
      </c>
      <c r="Y1602" t="s">
        <v>197</v>
      </c>
      <c r="Z1602" s="3">
        <v>9746.5</v>
      </c>
      <c r="AA1602">
        <v>0</v>
      </c>
      <c r="AB1602">
        <v>0</v>
      </c>
      <c r="AC1602">
        <v>0</v>
      </c>
      <c r="AD1602" s="3">
        <v>1462.5</v>
      </c>
      <c r="AE1602" s="3">
        <v>56000</v>
      </c>
      <c r="AF1602" t="s">
        <v>54</v>
      </c>
      <c r="AG1602" t="s">
        <v>59</v>
      </c>
      <c r="AI1602" t="s">
        <v>73</v>
      </c>
      <c r="AJ1602" t="s">
        <v>73</v>
      </c>
      <c r="AK1602" s="5">
        <v>45996.608171296299</v>
      </c>
      <c r="AO1602" t="s">
        <v>54</v>
      </c>
      <c r="AP1602">
        <v>0</v>
      </c>
      <c r="AR1602" t="s">
        <v>54</v>
      </c>
      <c r="AS1602" t="s">
        <v>54</v>
      </c>
      <c r="AT1602">
        <v>5486</v>
      </c>
      <c r="AU1602" t="s">
        <v>55</v>
      </c>
    </row>
    <row r="1603" spans="1:47" hidden="1" x14ac:dyDescent="0.25">
      <c r="A1603" t="s">
        <v>95</v>
      </c>
      <c r="B1603" s="1">
        <v>38353</v>
      </c>
      <c r="C1603" t="s">
        <v>48</v>
      </c>
      <c r="D1603" t="s">
        <v>49</v>
      </c>
      <c r="E1603" s="2">
        <v>45996</v>
      </c>
      <c r="F1603" t="s">
        <v>183</v>
      </c>
      <c r="G1603" s="3" t="s">
        <v>69</v>
      </c>
      <c r="H1603" s="3">
        <v>6120</v>
      </c>
      <c r="I1603" s="3">
        <v>6120</v>
      </c>
      <c r="J1603">
        <v>0</v>
      </c>
      <c r="K1603" s="3">
        <v>6120</v>
      </c>
      <c r="L1603" s="3">
        <v>1167</v>
      </c>
      <c r="M1603" s="3">
        <v>428.29</v>
      </c>
      <c r="N1603" t="s">
        <v>52</v>
      </c>
      <c r="O1603" t="s">
        <v>53</v>
      </c>
      <c r="P1603" t="s">
        <v>53</v>
      </c>
      <c r="Q1603" t="s">
        <v>53</v>
      </c>
      <c r="R1603" t="s">
        <v>54</v>
      </c>
      <c r="S1603" t="s">
        <v>54</v>
      </c>
      <c r="T1603" t="s">
        <v>55</v>
      </c>
      <c r="U1603">
        <v>126</v>
      </c>
      <c r="V1603" t="s">
        <v>56</v>
      </c>
      <c r="W1603" t="s">
        <v>132</v>
      </c>
      <c r="X1603" s="4">
        <v>0</v>
      </c>
      <c r="Y1603" t="s">
        <v>58</v>
      </c>
      <c r="Z1603" s="3">
        <v>1167</v>
      </c>
      <c r="AA1603">
        <v>0</v>
      </c>
      <c r="AB1603">
        <v>0</v>
      </c>
      <c r="AC1603">
        <v>0</v>
      </c>
      <c r="AD1603" s="3">
        <v>0</v>
      </c>
      <c r="AE1603" s="3">
        <v>1500</v>
      </c>
      <c r="AF1603" t="s">
        <v>54</v>
      </c>
      <c r="AG1603" t="s">
        <v>59</v>
      </c>
      <c r="AI1603" t="s">
        <v>91</v>
      </c>
      <c r="AJ1603" t="s">
        <v>91</v>
      </c>
      <c r="AK1603" s="5">
        <v>45996.606863425928</v>
      </c>
      <c r="AO1603" t="s">
        <v>54</v>
      </c>
      <c r="AP1603">
        <v>0</v>
      </c>
      <c r="AR1603" t="s">
        <v>54</v>
      </c>
      <c r="AS1603" t="s">
        <v>54</v>
      </c>
      <c r="AT1603">
        <v>2991</v>
      </c>
      <c r="AU1603" t="s">
        <v>55</v>
      </c>
    </row>
    <row r="1604" spans="1:47" hidden="1" x14ac:dyDescent="0.25">
      <c r="A1604" t="s">
        <v>47</v>
      </c>
      <c r="B1604" s="1">
        <v>38355</v>
      </c>
      <c r="C1604" t="s">
        <v>48</v>
      </c>
      <c r="D1604" t="s">
        <v>49</v>
      </c>
      <c r="E1604" s="2">
        <v>45996</v>
      </c>
      <c r="F1604" t="s">
        <v>116</v>
      </c>
      <c r="G1604" t="s">
        <v>117</v>
      </c>
      <c r="H1604" s="3">
        <v>8424.75</v>
      </c>
      <c r="I1604" s="3">
        <v>8424.75</v>
      </c>
      <c r="J1604">
        <v>0</v>
      </c>
      <c r="K1604" s="3">
        <v>9688.4599999999991</v>
      </c>
      <c r="L1604" s="3">
        <v>1205.93</v>
      </c>
      <c r="M1604" s="3">
        <v>693.41</v>
      </c>
      <c r="N1604" t="s">
        <v>77</v>
      </c>
      <c r="O1604" t="s">
        <v>53</v>
      </c>
      <c r="P1604" t="s">
        <v>53</v>
      </c>
      <c r="Q1604" t="s">
        <v>53</v>
      </c>
      <c r="R1604" t="s">
        <v>54</v>
      </c>
      <c r="S1604" t="s">
        <v>54</v>
      </c>
      <c r="T1604" t="s">
        <v>55</v>
      </c>
      <c r="U1604">
        <v>83</v>
      </c>
      <c r="W1604" t="s">
        <v>84</v>
      </c>
      <c r="X1604" s="4">
        <v>0</v>
      </c>
      <c r="Y1604" t="s">
        <v>58</v>
      </c>
      <c r="Z1604" s="3">
        <v>0</v>
      </c>
      <c r="AA1604">
        <v>0</v>
      </c>
      <c r="AB1604" s="3">
        <v>1205.93</v>
      </c>
      <c r="AC1604">
        <v>0</v>
      </c>
      <c r="AD1604">
        <v>0</v>
      </c>
      <c r="AE1604" s="3">
        <v>525</v>
      </c>
      <c r="AF1604" t="s">
        <v>54</v>
      </c>
      <c r="AG1604" t="s">
        <v>59</v>
      </c>
      <c r="AI1604" t="s">
        <v>80</v>
      </c>
      <c r="AJ1604" t="s">
        <v>73</v>
      </c>
      <c r="AK1604" s="5">
        <v>45996.699293981481</v>
      </c>
      <c r="AO1604" t="s">
        <v>54</v>
      </c>
      <c r="AP1604">
        <v>0</v>
      </c>
      <c r="AR1604" t="s">
        <v>54</v>
      </c>
      <c r="AS1604" t="s">
        <v>54</v>
      </c>
      <c r="AT1604">
        <v>4900</v>
      </c>
      <c r="AU1604" t="s">
        <v>55</v>
      </c>
    </row>
    <row r="1605" spans="1:47" hidden="1" x14ac:dyDescent="0.25">
      <c r="A1605" t="s">
        <v>47</v>
      </c>
      <c r="B1605" s="1">
        <v>38356</v>
      </c>
      <c r="C1605" t="s">
        <v>48</v>
      </c>
      <c r="D1605" t="s">
        <v>49</v>
      </c>
      <c r="E1605" s="2">
        <v>45996</v>
      </c>
      <c r="F1605" t="s">
        <v>116</v>
      </c>
      <c r="G1605" s="3" t="s">
        <v>117</v>
      </c>
      <c r="H1605" s="3">
        <v>8424.75</v>
      </c>
      <c r="I1605" s="3">
        <v>8424.75</v>
      </c>
      <c r="J1605">
        <v>0</v>
      </c>
      <c r="K1605" s="3">
        <v>9688.4599999999991</v>
      </c>
      <c r="L1605" s="3">
        <v>1205.93</v>
      </c>
      <c r="M1605" s="3">
        <v>693.41</v>
      </c>
      <c r="N1605" t="s">
        <v>77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83</v>
      </c>
      <c r="W1605" t="s">
        <v>84</v>
      </c>
      <c r="X1605" s="4">
        <v>0</v>
      </c>
      <c r="Y1605" t="s">
        <v>58</v>
      </c>
      <c r="Z1605" s="3">
        <v>0</v>
      </c>
      <c r="AA1605">
        <v>0</v>
      </c>
      <c r="AB1605" s="3">
        <v>1205.93</v>
      </c>
      <c r="AC1605">
        <v>0</v>
      </c>
      <c r="AD1605">
        <v>0</v>
      </c>
      <c r="AE1605">
        <v>525</v>
      </c>
      <c r="AF1605" t="s">
        <v>54</v>
      </c>
      <c r="AG1605" t="s">
        <v>59</v>
      </c>
      <c r="AI1605" t="s">
        <v>80</v>
      </c>
      <c r="AJ1605" t="s">
        <v>73</v>
      </c>
      <c r="AK1605" s="5">
        <v>45996.699444444443</v>
      </c>
      <c r="AO1605" t="s">
        <v>54</v>
      </c>
      <c r="AP1605">
        <v>0</v>
      </c>
      <c r="AR1605" t="s">
        <v>54</v>
      </c>
      <c r="AS1605" t="s">
        <v>54</v>
      </c>
      <c r="AT1605">
        <v>4900</v>
      </c>
      <c r="AU1605" t="s">
        <v>55</v>
      </c>
    </row>
    <row r="1606" spans="1:47" hidden="1" x14ac:dyDescent="0.25">
      <c r="A1606" t="s">
        <v>81</v>
      </c>
      <c r="B1606" s="1">
        <v>38357</v>
      </c>
      <c r="C1606" t="s">
        <v>48</v>
      </c>
      <c r="D1606" t="s">
        <v>49</v>
      </c>
      <c r="E1606" s="2">
        <v>45996</v>
      </c>
      <c r="F1606" t="s">
        <v>293</v>
      </c>
      <c r="G1606" t="s">
        <v>93</v>
      </c>
      <c r="H1606" s="3">
        <v>2742</v>
      </c>
      <c r="I1606" s="3">
        <v>2742</v>
      </c>
      <c r="J1606">
        <v>0</v>
      </c>
      <c r="K1606" s="3">
        <v>2742</v>
      </c>
      <c r="L1606" s="3">
        <v>356.4</v>
      </c>
      <c r="M1606" s="3">
        <v>266.58</v>
      </c>
      <c r="N1606" t="s">
        <v>105</v>
      </c>
      <c r="O1606" t="s">
        <v>53</v>
      </c>
      <c r="P1606" t="s">
        <v>53</v>
      </c>
      <c r="Q1606" t="s">
        <v>53</v>
      </c>
      <c r="R1606" t="s">
        <v>54</v>
      </c>
      <c r="S1606" t="s">
        <v>54</v>
      </c>
      <c r="T1606" t="s">
        <v>55</v>
      </c>
      <c r="U1606">
        <v>145</v>
      </c>
      <c r="V1606" t="s">
        <v>98</v>
      </c>
      <c r="W1606" t="s">
        <v>89</v>
      </c>
      <c r="X1606" s="4">
        <v>0</v>
      </c>
      <c r="Y1606" t="s">
        <v>58</v>
      </c>
      <c r="Z1606">
        <v>0</v>
      </c>
      <c r="AA1606">
        <v>0</v>
      </c>
      <c r="AB1606" s="3">
        <v>356.4</v>
      </c>
      <c r="AC1606">
        <v>0</v>
      </c>
      <c r="AD1606">
        <v>0</v>
      </c>
      <c r="AE1606">
        <v>300</v>
      </c>
      <c r="AF1606" t="s">
        <v>54</v>
      </c>
      <c r="AG1606" t="s">
        <v>59</v>
      </c>
      <c r="AI1606" t="s">
        <v>73</v>
      </c>
      <c r="AJ1606" t="s">
        <v>73</v>
      </c>
      <c r="AK1606" s="5">
        <v>45996.698796296296</v>
      </c>
      <c r="AO1606" t="s">
        <v>54</v>
      </c>
      <c r="AP1606">
        <v>0</v>
      </c>
      <c r="AR1606" t="s">
        <v>54</v>
      </c>
      <c r="AS1606" t="s">
        <v>54</v>
      </c>
      <c r="AT1606">
        <v>952</v>
      </c>
      <c r="AU1606" t="s">
        <v>55</v>
      </c>
    </row>
    <row r="1607" spans="1:47" hidden="1" x14ac:dyDescent="0.25">
      <c r="A1607" t="s">
        <v>95</v>
      </c>
      <c r="B1607" s="1">
        <v>38358</v>
      </c>
      <c r="C1607" t="s">
        <v>48</v>
      </c>
      <c r="D1607" t="s">
        <v>49</v>
      </c>
      <c r="E1607" s="2">
        <v>45996</v>
      </c>
      <c r="F1607" t="s">
        <v>293</v>
      </c>
      <c r="G1607" s="3" t="s">
        <v>93</v>
      </c>
      <c r="H1607" s="3">
        <v>2742</v>
      </c>
      <c r="I1607" s="3">
        <v>2742</v>
      </c>
      <c r="J1607">
        <v>0</v>
      </c>
      <c r="K1607" s="3">
        <v>2742</v>
      </c>
      <c r="L1607" s="3">
        <v>356.4</v>
      </c>
      <c r="M1607" s="3">
        <v>266.58</v>
      </c>
      <c r="N1607" t="s">
        <v>105</v>
      </c>
      <c r="O1607" t="s">
        <v>53</v>
      </c>
      <c r="P1607" t="s">
        <v>53</v>
      </c>
      <c r="Q1607" t="s">
        <v>53</v>
      </c>
      <c r="R1607" t="s">
        <v>54</v>
      </c>
      <c r="S1607" t="s">
        <v>54</v>
      </c>
      <c r="T1607" t="s">
        <v>55</v>
      </c>
      <c r="U1607">
        <v>145</v>
      </c>
      <c r="V1607" t="s">
        <v>98</v>
      </c>
      <c r="W1607" t="s">
        <v>89</v>
      </c>
      <c r="X1607" s="4">
        <v>0</v>
      </c>
      <c r="Y1607" t="s">
        <v>58</v>
      </c>
      <c r="Z1607">
        <v>0</v>
      </c>
      <c r="AA1607">
        <v>0</v>
      </c>
      <c r="AB1607">
        <v>356.4</v>
      </c>
      <c r="AC1607">
        <v>0</v>
      </c>
      <c r="AD1607" s="3">
        <v>0</v>
      </c>
      <c r="AE1607" s="3">
        <v>300</v>
      </c>
      <c r="AF1607" t="s">
        <v>54</v>
      </c>
      <c r="AG1607" t="s">
        <v>59</v>
      </c>
      <c r="AI1607" t="s">
        <v>73</v>
      </c>
      <c r="AJ1607" t="s">
        <v>73</v>
      </c>
      <c r="AK1607" s="5">
        <v>45996.698946759258</v>
      </c>
      <c r="AO1607" t="s">
        <v>54</v>
      </c>
      <c r="AP1607">
        <v>0</v>
      </c>
      <c r="AR1607" t="s">
        <v>54</v>
      </c>
      <c r="AS1607" t="s">
        <v>54</v>
      </c>
      <c r="AT1607">
        <v>952</v>
      </c>
      <c r="AU1607" t="s">
        <v>55</v>
      </c>
    </row>
    <row r="1608" spans="1:47" hidden="1" x14ac:dyDescent="0.25">
      <c r="A1608" t="s">
        <v>95</v>
      </c>
      <c r="B1608" s="1">
        <v>38359</v>
      </c>
      <c r="C1608" t="s">
        <v>48</v>
      </c>
      <c r="D1608" t="s">
        <v>49</v>
      </c>
      <c r="E1608" s="2">
        <v>45996</v>
      </c>
      <c r="F1608" t="s">
        <v>293</v>
      </c>
      <c r="G1608" s="3" t="s">
        <v>93</v>
      </c>
      <c r="H1608" s="3">
        <v>2742</v>
      </c>
      <c r="I1608" s="3">
        <v>2742</v>
      </c>
      <c r="J1608">
        <v>0</v>
      </c>
      <c r="K1608" s="3">
        <v>2742</v>
      </c>
      <c r="L1608" s="3">
        <v>356.4</v>
      </c>
      <c r="M1608" s="3">
        <v>266.58</v>
      </c>
      <c r="N1608" t="s">
        <v>105</v>
      </c>
      <c r="O1608" t="s">
        <v>53</v>
      </c>
      <c r="P1608" t="s">
        <v>53</v>
      </c>
      <c r="Q1608" t="s">
        <v>53</v>
      </c>
      <c r="R1608" t="s">
        <v>54</v>
      </c>
      <c r="S1608" t="s">
        <v>54</v>
      </c>
      <c r="T1608" t="s">
        <v>55</v>
      </c>
      <c r="U1608">
        <v>145</v>
      </c>
      <c r="V1608" t="s">
        <v>98</v>
      </c>
      <c r="W1608" t="s">
        <v>89</v>
      </c>
      <c r="X1608" s="4">
        <v>0</v>
      </c>
      <c r="Y1608" t="s">
        <v>58</v>
      </c>
      <c r="Z1608">
        <v>0</v>
      </c>
      <c r="AA1608">
        <v>0</v>
      </c>
      <c r="AB1608">
        <v>356.4</v>
      </c>
      <c r="AC1608">
        <v>0</v>
      </c>
      <c r="AD1608">
        <v>0</v>
      </c>
      <c r="AE1608">
        <v>300</v>
      </c>
      <c r="AF1608" t="s">
        <v>54</v>
      </c>
      <c r="AG1608" t="s">
        <v>59</v>
      </c>
      <c r="AI1608" t="s">
        <v>73</v>
      </c>
      <c r="AJ1608" t="s">
        <v>73</v>
      </c>
      <c r="AK1608" s="5">
        <v>45996.699131944442</v>
      </c>
      <c r="AO1608" t="s">
        <v>54</v>
      </c>
      <c r="AP1608">
        <v>0</v>
      </c>
      <c r="AR1608" t="s">
        <v>54</v>
      </c>
      <c r="AS1608" t="s">
        <v>54</v>
      </c>
      <c r="AT1608">
        <v>952</v>
      </c>
      <c r="AU1608" t="s">
        <v>55</v>
      </c>
    </row>
    <row r="1609" spans="1:47" hidden="1" x14ac:dyDescent="0.25">
      <c r="A1609" t="s">
        <v>81</v>
      </c>
      <c r="B1609" s="1">
        <v>38360</v>
      </c>
      <c r="C1609" t="s">
        <v>48</v>
      </c>
      <c r="D1609" s="3" t="s">
        <v>49</v>
      </c>
      <c r="E1609" s="2">
        <v>45999</v>
      </c>
      <c r="F1609" t="s">
        <v>350</v>
      </c>
      <c r="G1609" s="3" t="s">
        <v>168</v>
      </c>
      <c r="H1609" s="3">
        <v>10550</v>
      </c>
      <c r="I1609" s="3">
        <v>10550</v>
      </c>
      <c r="J1609">
        <v>0</v>
      </c>
      <c r="K1609" s="3">
        <v>10550</v>
      </c>
      <c r="L1609" s="3">
        <v>2805</v>
      </c>
      <c r="M1609" s="3">
        <v>981.75</v>
      </c>
      <c r="N1609" t="s">
        <v>52</v>
      </c>
      <c r="O1609" t="s">
        <v>53</v>
      </c>
      <c r="P1609" t="s">
        <v>53</v>
      </c>
      <c r="Q1609" t="s">
        <v>53</v>
      </c>
      <c r="R1609" t="s">
        <v>54</v>
      </c>
      <c r="S1609" t="s">
        <v>54</v>
      </c>
      <c r="T1609" t="s">
        <v>55</v>
      </c>
      <c r="U1609">
        <v>126</v>
      </c>
      <c r="V1609" t="s">
        <v>56</v>
      </c>
      <c r="W1609" t="s">
        <v>351</v>
      </c>
      <c r="X1609" s="4">
        <v>0</v>
      </c>
      <c r="Y1609" t="s">
        <v>62</v>
      </c>
      <c r="AK1609" s="5"/>
    </row>
    <row r="1610" spans="1:47" hidden="1" x14ac:dyDescent="0.25">
      <c r="A1610" t="s">
        <v>63</v>
      </c>
      <c r="B1610" s="1">
        <v>2805</v>
      </c>
      <c r="C1610">
        <v>0</v>
      </c>
      <c r="D1610">
        <v>0</v>
      </c>
      <c r="E1610" s="2">
        <v>0</v>
      </c>
      <c r="F1610">
        <v>0</v>
      </c>
      <c r="G1610" s="3">
        <v>5000</v>
      </c>
      <c r="H1610" s="3" t="s">
        <v>54</v>
      </c>
      <c r="I1610" s="3" t="s">
        <v>59</v>
      </c>
      <c r="K1610" s="3" t="s">
        <v>91</v>
      </c>
      <c r="L1610" s="3" t="s">
        <v>73</v>
      </c>
      <c r="M1610" s="3">
        <v>46000.347488425927</v>
      </c>
      <c r="Q1610" t="s">
        <v>54</v>
      </c>
      <c r="R1610">
        <v>0</v>
      </c>
      <c r="T1610" t="s">
        <v>54</v>
      </c>
      <c r="U1610" t="s">
        <v>54</v>
      </c>
      <c r="V1610">
        <v>8298</v>
      </c>
      <c r="W1610" t="s">
        <v>55</v>
      </c>
      <c r="X1610" s="4"/>
      <c r="AD1610" s="3"/>
      <c r="AE1610" s="3"/>
      <c r="AK1610" s="5"/>
    </row>
    <row r="1611" spans="1:47" hidden="1" x14ac:dyDescent="0.25">
      <c r="A1611" t="s">
        <v>47</v>
      </c>
      <c r="B1611" s="3">
        <v>38361</v>
      </c>
      <c r="C1611" t="s">
        <v>48</v>
      </c>
      <c r="D1611" t="s">
        <v>49</v>
      </c>
      <c r="E1611" s="2">
        <v>45999</v>
      </c>
      <c r="F1611" t="s">
        <v>100</v>
      </c>
      <c r="G1611" s="3" t="s">
        <v>93</v>
      </c>
      <c r="H1611" s="3">
        <v>8360</v>
      </c>
      <c r="I1611" s="3">
        <v>8360</v>
      </c>
      <c r="J1611">
        <v>0</v>
      </c>
      <c r="K1611" s="3">
        <v>9614</v>
      </c>
      <c r="L1611" s="3">
        <v>2047</v>
      </c>
      <c r="M1611" s="3">
        <v>697.13</v>
      </c>
      <c r="N1611" t="s">
        <v>83</v>
      </c>
      <c r="O1611" t="s">
        <v>53</v>
      </c>
      <c r="P1611" t="s">
        <v>53</v>
      </c>
      <c r="Q1611" t="s">
        <v>53</v>
      </c>
      <c r="R1611" t="s">
        <v>54</v>
      </c>
      <c r="S1611" t="s">
        <v>54</v>
      </c>
      <c r="T1611" t="s">
        <v>55</v>
      </c>
      <c r="U1611">
        <v>9</v>
      </c>
      <c r="V1611" t="s">
        <v>71</v>
      </c>
      <c r="W1611" t="s">
        <v>101</v>
      </c>
      <c r="X1611" s="4">
        <v>0</v>
      </c>
      <c r="Y1611" t="s">
        <v>58</v>
      </c>
      <c r="Z1611" s="3">
        <v>2047</v>
      </c>
      <c r="AA1611">
        <v>0</v>
      </c>
      <c r="AB1611">
        <v>0</v>
      </c>
      <c r="AC1611">
        <v>0</v>
      </c>
      <c r="AD1611" s="3">
        <v>0</v>
      </c>
      <c r="AE1611" s="3">
        <v>2000</v>
      </c>
      <c r="AF1611" t="s">
        <v>54</v>
      </c>
      <c r="AG1611" t="s">
        <v>59</v>
      </c>
      <c r="AH1611" t="s">
        <v>102</v>
      </c>
      <c r="AI1611" t="s">
        <v>91</v>
      </c>
      <c r="AJ1611" t="s">
        <v>91</v>
      </c>
      <c r="AK1611" s="5">
        <v>46000.315682870372</v>
      </c>
      <c r="AO1611" t="s">
        <v>54</v>
      </c>
      <c r="AP1611">
        <v>0</v>
      </c>
      <c r="AR1611" t="s">
        <v>54</v>
      </c>
      <c r="AS1611" t="s">
        <v>54</v>
      </c>
      <c r="AT1611">
        <v>161</v>
      </c>
      <c r="AU1611" t="s">
        <v>55</v>
      </c>
    </row>
    <row r="1612" spans="1:47" hidden="1" x14ac:dyDescent="0.25">
      <c r="A1612" t="s">
        <v>134</v>
      </c>
      <c r="B1612" s="1">
        <v>38362</v>
      </c>
      <c r="C1612" t="s">
        <v>48</v>
      </c>
      <c r="D1612" t="s">
        <v>49</v>
      </c>
      <c r="E1612" s="2">
        <v>45999</v>
      </c>
      <c r="F1612" t="s">
        <v>367</v>
      </c>
      <c r="G1612" t="s">
        <v>66</v>
      </c>
      <c r="H1612" s="3">
        <v>225</v>
      </c>
      <c r="I1612" s="3">
        <v>225</v>
      </c>
      <c r="J1612">
        <v>0</v>
      </c>
      <c r="K1612" s="3">
        <v>225</v>
      </c>
      <c r="L1612" s="3">
        <v>40.950000000000003</v>
      </c>
      <c r="M1612" s="3">
        <v>15.03</v>
      </c>
      <c r="N1612" t="s">
        <v>77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83</v>
      </c>
      <c r="W1612" t="s">
        <v>113</v>
      </c>
      <c r="X1612" s="4">
        <v>0</v>
      </c>
      <c r="Y1612" t="s">
        <v>62</v>
      </c>
      <c r="Z1612" s="3"/>
      <c r="AB1612" s="3"/>
      <c r="AD1612" s="3"/>
      <c r="AE1612" s="3"/>
      <c r="AK1612" s="5"/>
    </row>
    <row r="1613" spans="1:47" hidden="1" x14ac:dyDescent="0.25">
      <c r="A1613" t="s">
        <v>63</v>
      </c>
      <c r="B1613" s="1">
        <v>40.950000000000003</v>
      </c>
      <c r="C1613">
        <v>0</v>
      </c>
      <c r="D1613">
        <v>0</v>
      </c>
      <c r="E1613" s="2">
        <v>0</v>
      </c>
      <c r="F1613">
        <v>0</v>
      </c>
      <c r="G1613" s="3">
        <v>150</v>
      </c>
      <c r="H1613" s="3" t="s">
        <v>54</v>
      </c>
      <c r="I1613" s="3" t="s">
        <v>59</v>
      </c>
      <c r="J1613" t="s">
        <v>161</v>
      </c>
      <c r="K1613" s="3" t="s">
        <v>80</v>
      </c>
      <c r="L1613" s="3" t="s">
        <v>73</v>
      </c>
      <c r="M1613" s="3">
        <v>46000.329189814816</v>
      </c>
      <c r="Q1613" t="s">
        <v>54</v>
      </c>
      <c r="R1613">
        <v>0</v>
      </c>
      <c r="T1613" t="s">
        <v>54</v>
      </c>
      <c r="U1613" t="s">
        <v>54</v>
      </c>
      <c r="V1613">
        <v>8690</v>
      </c>
      <c r="W1613" t="s">
        <v>55</v>
      </c>
      <c r="X1613" s="4"/>
      <c r="Z1613" s="3"/>
      <c r="AB1613" s="3"/>
      <c r="AE1613" s="3"/>
      <c r="AK1613" s="5"/>
    </row>
    <row r="1614" spans="1:47" hidden="1" x14ac:dyDescent="0.25">
      <c r="A1614" t="s">
        <v>81</v>
      </c>
      <c r="B1614" s="1">
        <v>38363</v>
      </c>
      <c r="C1614" t="s">
        <v>48</v>
      </c>
      <c r="D1614" t="s">
        <v>49</v>
      </c>
      <c r="E1614" s="2">
        <v>45999</v>
      </c>
      <c r="F1614" t="s">
        <v>154</v>
      </c>
      <c r="G1614" t="s">
        <v>155</v>
      </c>
      <c r="H1614" s="3">
        <v>13172.1</v>
      </c>
      <c r="I1614" s="3">
        <v>13172.1</v>
      </c>
      <c r="J1614">
        <v>0</v>
      </c>
      <c r="K1614" s="3">
        <v>13172.1</v>
      </c>
      <c r="L1614" s="3">
        <v>2711.3</v>
      </c>
      <c r="M1614" s="3">
        <v>1057.4100000000001</v>
      </c>
      <c r="N1614" t="s">
        <v>97</v>
      </c>
      <c r="O1614" t="s">
        <v>53</v>
      </c>
      <c r="P1614" t="s">
        <v>53</v>
      </c>
      <c r="Q1614" t="s">
        <v>53</v>
      </c>
      <c r="R1614" t="s">
        <v>54</v>
      </c>
      <c r="S1614" t="s">
        <v>54</v>
      </c>
      <c r="T1614" t="s">
        <v>55</v>
      </c>
      <c r="U1614">
        <v>167</v>
      </c>
      <c r="V1614" t="s">
        <v>98</v>
      </c>
      <c r="W1614" t="s">
        <v>132</v>
      </c>
      <c r="X1614" s="4">
        <v>0</v>
      </c>
      <c r="Y1614" t="s">
        <v>197</v>
      </c>
      <c r="Z1614" s="3">
        <v>2711.3</v>
      </c>
      <c r="AA1614">
        <v>0</v>
      </c>
      <c r="AB1614">
        <v>0</v>
      </c>
      <c r="AC1614">
        <v>0</v>
      </c>
      <c r="AD1614">
        <v>0</v>
      </c>
      <c r="AE1614" s="3">
        <v>800</v>
      </c>
      <c r="AF1614" t="s">
        <v>54</v>
      </c>
      <c r="AG1614" t="s">
        <v>59</v>
      </c>
      <c r="AI1614" t="s">
        <v>73</v>
      </c>
      <c r="AJ1614" t="s">
        <v>73</v>
      </c>
      <c r="AK1614" s="5">
        <v>46000.623460648145</v>
      </c>
      <c r="AO1614" t="s">
        <v>54</v>
      </c>
      <c r="AP1614">
        <v>0</v>
      </c>
      <c r="AR1614" t="s">
        <v>54</v>
      </c>
      <c r="AS1614" t="s">
        <v>54</v>
      </c>
      <c r="AT1614">
        <v>8561</v>
      </c>
      <c r="AU1614" t="s">
        <v>55</v>
      </c>
    </row>
    <row r="1615" spans="1:47" hidden="1" x14ac:dyDescent="0.25">
      <c r="A1615" t="s">
        <v>47</v>
      </c>
      <c r="B1615" s="1">
        <v>38364</v>
      </c>
      <c r="C1615" t="s">
        <v>48</v>
      </c>
      <c r="D1615" s="3" t="s">
        <v>49</v>
      </c>
      <c r="E1615" s="2">
        <v>45999</v>
      </c>
      <c r="F1615" t="s">
        <v>403</v>
      </c>
      <c r="G1615" s="3" t="s">
        <v>240</v>
      </c>
      <c r="H1615" s="3">
        <v>2600</v>
      </c>
      <c r="I1615" s="3">
        <v>2600</v>
      </c>
      <c r="J1615">
        <v>0</v>
      </c>
      <c r="K1615" s="3">
        <v>2600</v>
      </c>
      <c r="L1615" s="3">
        <v>372.8</v>
      </c>
      <c r="M1615" s="3">
        <v>156.58000000000001</v>
      </c>
      <c r="N1615" t="s">
        <v>83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9</v>
      </c>
      <c r="W1615" t="s">
        <v>113</v>
      </c>
      <c r="X1615" s="4">
        <v>0</v>
      </c>
      <c r="Y1615" t="s">
        <v>62</v>
      </c>
      <c r="Z1615" s="3"/>
      <c r="AB1615" s="3"/>
      <c r="AE1615" s="3"/>
      <c r="AK1615" s="5"/>
    </row>
    <row r="1616" spans="1:47" hidden="1" x14ac:dyDescent="0.25">
      <c r="A1616" t="s">
        <v>63</v>
      </c>
      <c r="B1616" s="1">
        <v>0</v>
      </c>
      <c r="C1616">
        <v>372.8</v>
      </c>
      <c r="D1616">
        <v>0</v>
      </c>
      <c r="E1616" s="2">
        <v>0</v>
      </c>
      <c r="F1616">
        <v>0</v>
      </c>
      <c r="G1616">
        <v>200</v>
      </c>
      <c r="H1616" s="3" t="s">
        <v>54</v>
      </c>
      <c r="I1616" s="3" t="s">
        <v>59</v>
      </c>
      <c r="K1616" s="3" t="s">
        <v>73</v>
      </c>
      <c r="L1616" s="3" t="s">
        <v>73</v>
      </c>
      <c r="M1616" s="3">
        <v>45999.490405092591</v>
      </c>
      <c r="Q1616" t="s">
        <v>54</v>
      </c>
      <c r="R1616">
        <v>0</v>
      </c>
      <c r="T1616" t="s">
        <v>54</v>
      </c>
      <c r="U1616" t="s">
        <v>54</v>
      </c>
      <c r="V1616">
        <v>2780</v>
      </c>
      <c r="W1616" t="s">
        <v>55</v>
      </c>
      <c r="X1616" s="4"/>
      <c r="Z1616" s="3"/>
      <c r="AB1616" s="3"/>
      <c r="AE1616" s="3"/>
      <c r="AK1616" s="5"/>
    </row>
    <row r="1617" spans="1:47" hidden="1" x14ac:dyDescent="0.25">
      <c r="A1617" t="s">
        <v>81</v>
      </c>
      <c r="B1617" s="1">
        <v>38365</v>
      </c>
      <c r="C1617" t="s">
        <v>48</v>
      </c>
      <c r="D1617" s="3" t="s">
        <v>49</v>
      </c>
      <c r="E1617" s="2">
        <v>45999</v>
      </c>
      <c r="F1617" t="s">
        <v>204</v>
      </c>
      <c r="G1617" s="3" t="s">
        <v>66</v>
      </c>
      <c r="H1617" s="3">
        <v>1394</v>
      </c>
      <c r="I1617" s="3">
        <v>1394</v>
      </c>
      <c r="J1617">
        <v>0</v>
      </c>
      <c r="K1617" s="3">
        <v>1394</v>
      </c>
      <c r="L1617" s="3">
        <v>326.39999999999998</v>
      </c>
      <c r="M1617" s="3">
        <v>119.79</v>
      </c>
      <c r="N1617" t="s">
        <v>52</v>
      </c>
      <c r="O1617" t="s">
        <v>53</v>
      </c>
      <c r="P1617" t="s">
        <v>53</v>
      </c>
      <c r="Q1617" t="s">
        <v>53</v>
      </c>
      <c r="R1617" t="s">
        <v>54</v>
      </c>
      <c r="S1617" t="s">
        <v>54</v>
      </c>
      <c r="T1617" t="s">
        <v>55</v>
      </c>
      <c r="U1617">
        <v>126</v>
      </c>
      <c r="V1617" t="s">
        <v>56</v>
      </c>
      <c r="W1617" t="s">
        <v>151</v>
      </c>
      <c r="X1617" s="4">
        <v>0</v>
      </c>
      <c r="Y1617" t="s">
        <v>62</v>
      </c>
      <c r="Z1617" s="3"/>
      <c r="AB1617" s="3"/>
      <c r="AE1617" s="3"/>
      <c r="AK1617" s="5"/>
    </row>
    <row r="1618" spans="1:47" hidden="1" x14ac:dyDescent="0.25">
      <c r="A1618" t="s">
        <v>63</v>
      </c>
      <c r="B1618" s="1">
        <v>326.39999999999998</v>
      </c>
      <c r="C1618">
        <v>0</v>
      </c>
      <c r="D1618">
        <v>0</v>
      </c>
      <c r="E1618" s="2">
        <v>0</v>
      </c>
      <c r="F1618">
        <v>0</v>
      </c>
      <c r="G1618" s="3">
        <v>1700</v>
      </c>
      <c r="H1618" s="3" t="s">
        <v>54</v>
      </c>
      <c r="I1618" s="3" t="s">
        <v>59</v>
      </c>
      <c r="K1618" s="3" t="s">
        <v>73</v>
      </c>
      <c r="L1618" s="3" t="s">
        <v>73</v>
      </c>
      <c r="M1618" s="3">
        <v>45999.576354166667</v>
      </c>
      <c r="Q1618" t="s">
        <v>54</v>
      </c>
      <c r="R1618">
        <v>0</v>
      </c>
      <c r="T1618" t="s">
        <v>54</v>
      </c>
      <c r="U1618" t="s">
        <v>54</v>
      </c>
      <c r="V1618">
        <v>8257</v>
      </c>
      <c r="W1618" t="s">
        <v>55</v>
      </c>
      <c r="X1618" s="4"/>
      <c r="Z1618" s="3"/>
      <c r="AB1618" s="3"/>
      <c r="AE1618" s="3"/>
      <c r="AK1618" s="5"/>
    </row>
    <row r="1619" spans="1:47" hidden="1" x14ac:dyDescent="0.25">
      <c r="A1619" t="s">
        <v>81</v>
      </c>
      <c r="B1619" s="1">
        <v>38366</v>
      </c>
      <c r="C1619" t="s">
        <v>48</v>
      </c>
      <c r="D1619" t="s">
        <v>49</v>
      </c>
      <c r="E1619" s="2">
        <v>45999</v>
      </c>
      <c r="F1619" t="s">
        <v>204</v>
      </c>
      <c r="G1619" s="3" t="s">
        <v>66</v>
      </c>
      <c r="H1619" s="3">
        <v>2870</v>
      </c>
      <c r="I1619" s="3">
        <v>2870</v>
      </c>
      <c r="J1619">
        <v>0</v>
      </c>
      <c r="K1619" s="3">
        <v>2870</v>
      </c>
      <c r="L1619" s="3">
        <v>672</v>
      </c>
      <c r="M1619" s="3">
        <v>246.62</v>
      </c>
      <c r="N1619" t="s">
        <v>52</v>
      </c>
      <c r="O1619" t="s">
        <v>53</v>
      </c>
      <c r="P1619" t="s">
        <v>53</v>
      </c>
      <c r="Q1619" t="s">
        <v>53</v>
      </c>
      <c r="R1619" t="s">
        <v>54</v>
      </c>
      <c r="S1619" t="s">
        <v>54</v>
      </c>
      <c r="T1619" t="s">
        <v>55</v>
      </c>
      <c r="U1619">
        <v>126</v>
      </c>
      <c r="V1619" t="s">
        <v>56</v>
      </c>
      <c r="W1619" t="s">
        <v>151</v>
      </c>
      <c r="X1619" s="4">
        <v>0</v>
      </c>
      <c r="Y1619" t="s">
        <v>62</v>
      </c>
    </row>
    <row r="1620" spans="1:47" hidden="1" x14ac:dyDescent="0.25">
      <c r="A1620" t="s">
        <v>63</v>
      </c>
      <c r="B1620" s="1">
        <v>672</v>
      </c>
      <c r="C1620">
        <v>0</v>
      </c>
      <c r="D1620" s="3">
        <v>0</v>
      </c>
      <c r="E1620" s="2">
        <v>0</v>
      </c>
      <c r="F1620">
        <v>0</v>
      </c>
      <c r="G1620" s="3">
        <v>3500</v>
      </c>
      <c r="H1620" s="3" t="s">
        <v>54</v>
      </c>
      <c r="I1620" s="3" t="s">
        <v>59</v>
      </c>
      <c r="K1620" s="3" t="s">
        <v>73</v>
      </c>
      <c r="L1620" t="s">
        <v>91</v>
      </c>
      <c r="M1620" s="3">
        <v>46000.315520833334</v>
      </c>
      <c r="Q1620" t="s">
        <v>54</v>
      </c>
      <c r="R1620">
        <v>0</v>
      </c>
      <c r="T1620" t="s">
        <v>54</v>
      </c>
      <c r="U1620" t="s">
        <v>54</v>
      </c>
      <c r="V1620">
        <v>8257</v>
      </c>
      <c r="W1620" t="s">
        <v>55</v>
      </c>
      <c r="X1620" s="4"/>
      <c r="AK1620" s="5"/>
    </row>
    <row r="1621" spans="1:47" hidden="1" x14ac:dyDescent="0.25">
      <c r="A1621" t="s">
        <v>47</v>
      </c>
      <c r="B1621" s="1">
        <v>38367</v>
      </c>
      <c r="C1621" t="s">
        <v>48</v>
      </c>
      <c r="D1621" t="s">
        <v>49</v>
      </c>
      <c r="E1621" s="2">
        <v>46000</v>
      </c>
      <c r="F1621" t="s">
        <v>110</v>
      </c>
      <c r="G1621" s="3" t="s">
        <v>69</v>
      </c>
      <c r="H1621" s="3">
        <v>10200</v>
      </c>
      <c r="I1621" s="3">
        <v>10200</v>
      </c>
      <c r="J1621">
        <v>0</v>
      </c>
      <c r="K1621" s="3">
        <v>11730</v>
      </c>
      <c r="L1621" s="3">
        <v>2328</v>
      </c>
      <c r="M1621" s="3">
        <v>907.92</v>
      </c>
      <c r="N1621" t="s">
        <v>52</v>
      </c>
      <c r="O1621" t="s">
        <v>53</v>
      </c>
      <c r="P1621" t="s">
        <v>53</v>
      </c>
      <c r="Q1621" t="s">
        <v>53</v>
      </c>
      <c r="R1621" t="s">
        <v>54</v>
      </c>
      <c r="S1621" t="s">
        <v>54</v>
      </c>
      <c r="T1621" t="s">
        <v>55</v>
      </c>
      <c r="U1621">
        <v>126</v>
      </c>
      <c r="V1621" t="s">
        <v>56</v>
      </c>
      <c r="W1621" t="s">
        <v>94</v>
      </c>
      <c r="X1621" s="4">
        <v>0</v>
      </c>
      <c r="Y1621" t="s">
        <v>58</v>
      </c>
      <c r="Z1621" s="3">
        <v>2328</v>
      </c>
      <c r="AA1621">
        <v>0</v>
      </c>
      <c r="AB1621" s="3">
        <v>0</v>
      </c>
      <c r="AC1621">
        <v>0</v>
      </c>
      <c r="AD1621">
        <v>0</v>
      </c>
      <c r="AE1621" s="3">
        <v>2000</v>
      </c>
      <c r="AF1621" t="s">
        <v>54</v>
      </c>
      <c r="AG1621" t="s">
        <v>59</v>
      </c>
      <c r="AI1621" t="s">
        <v>73</v>
      </c>
      <c r="AJ1621" t="s">
        <v>73</v>
      </c>
      <c r="AK1621" s="5">
        <v>46000.33457175926</v>
      </c>
      <c r="AO1621" t="s">
        <v>54</v>
      </c>
      <c r="AP1621">
        <v>0</v>
      </c>
      <c r="AR1621" t="s">
        <v>54</v>
      </c>
      <c r="AS1621" t="s">
        <v>54</v>
      </c>
      <c r="AT1621">
        <v>1877</v>
      </c>
      <c r="AU1621" t="s">
        <v>55</v>
      </c>
    </row>
    <row r="1622" spans="1:47" hidden="1" x14ac:dyDescent="0.25">
      <c r="A1622" t="s">
        <v>47</v>
      </c>
      <c r="B1622" s="1">
        <v>38368</v>
      </c>
      <c r="C1622" t="s">
        <v>48</v>
      </c>
      <c r="D1622" t="s">
        <v>49</v>
      </c>
      <c r="E1622" s="2">
        <v>46000</v>
      </c>
      <c r="F1622" t="s">
        <v>107</v>
      </c>
      <c r="G1622" t="s">
        <v>108</v>
      </c>
      <c r="H1622" s="3">
        <v>12500</v>
      </c>
      <c r="I1622" s="3">
        <v>12500</v>
      </c>
      <c r="J1622">
        <v>0</v>
      </c>
      <c r="K1622" s="3">
        <v>12500</v>
      </c>
      <c r="L1622" s="3">
        <v>1596</v>
      </c>
      <c r="M1622" s="3">
        <v>989.52</v>
      </c>
      <c r="N1622" t="s">
        <v>83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9</v>
      </c>
      <c r="V1622" t="s">
        <v>56</v>
      </c>
      <c r="W1622" t="s">
        <v>109</v>
      </c>
      <c r="X1622" s="4">
        <v>0</v>
      </c>
      <c r="Y1622" t="s">
        <v>58</v>
      </c>
      <c r="Z1622" s="3">
        <v>0</v>
      </c>
      <c r="AA1622">
        <v>0</v>
      </c>
      <c r="AB1622" s="3">
        <v>1596</v>
      </c>
      <c r="AC1622">
        <v>0</v>
      </c>
      <c r="AD1622">
        <v>0</v>
      </c>
      <c r="AE1622" s="3">
        <v>2000</v>
      </c>
      <c r="AF1622" t="s">
        <v>54</v>
      </c>
      <c r="AG1622" t="s">
        <v>59</v>
      </c>
      <c r="AI1622" t="s">
        <v>91</v>
      </c>
      <c r="AJ1622" t="s">
        <v>91</v>
      </c>
      <c r="AK1622" s="5">
        <v>46000.351076388892</v>
      </c>
      <c r="AO1622" t="s">
        <v>54</v>
      </c>
      <c r="AP1622">
        <v>0</v>
      </c>
      <c r="AR1622" t="s">
        <v>54</v>
      </c>
      <c r="AS1622" t="s">
        <v>54</v>
      </c>
      <c r="AT1622">
        <v>3124</v>
      </c>
      <c r="AU1622" t="s">
        <v>55</v>
      </c>
    </row>
    <row r="1623" spans="1:47" hidden="1" x14ac:dyDescent="0.25">
      <c r="A1623" t="s">
        <v>95</v>
      </c>
      <c r="B1623" s="1">
        <v>38369</v>
      </c>
      <c r="C1623" t="s">
        <v>48</v>
      </c>
      <c r="D1623" t="s">
        <v>49</v>
      </c>
      <c r="E1623" s="2">
        <v>46000</v>
      </c>
      <c r="F1623" t="s">
        <v>159</v>
      </c>
      <c r="G1623" t="s">
        <v>66</v>
      </c>
      <c r="H1623" s="3">
        <v>548.79999999999995</v>
      </c>
      <c r="I1623" s="3">
        <v>548.79999999999995</v>
      </c>
      <c r="J1623">
        <v>0</v>
      </c>
      <c r="K1623" s="3">
        <v>548.79999999999995</v>
      </c>
      <c r="L1623" s="3">
        <v>155.9</v>
      </c>
      <c r="M1623" s="3">
        <v>45.21</v>
      </c>
      <c r="N1623" t="s">
        <v>52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126</v>
      </c>
      <c r="V1623" t="s">
        <v>56</v>
      </c>
      <c r="W1623" t="s">
        <v>141</v>
      </c>
      <c r="X1623" s="4">
        <v>0</v>
      </c>
      <c r="Y1623" t="s">
        <v>197</v>
      </c>
      <c r="Z1623">
        <v>155.9</v>
      </c>
      <c r="AA1623">
        <v>0</v>
      </c>
      <c r="AB1623" s="3">
        <v>0</v>
      </c>
      <c r="AC1623">
        <v>0</v>
      </c>
      <c r="AD1623">
        <v>0</v>
      </c>
      <c r="AE1623" s="3">
        <v>2500</v>
      </c>
      <c r="AF1623" t="s">
        <v>54</v>
      </c>
      <c r="AG1623" t="s">
        <v>59</v>
      </c>
      <c r="AI1623" t="s">
        <v>73</v>
      </c>
      <c r="AJ1623" t="s">
        <v>91</v>
      </c>
      <c r="AK1623" s="5">
        <v>46000.431481481479</v>
      </c>
      <c r="AO1623" t="s">
        <v>54</v>
      </c>
      <c r="AP1623">
        <v>0</v>
      </c>
      <c r="AR1623" t="s">
        <v>54</v>
      </c>
      <c r="AS1623" t="s">
        <v>54</v>
      </c>
      <c r="AT1623">
        <v>5486</v>
      </c>
      <c r="AU1623" t="s">
        <v>55</v>
      </c>
    </row>
    <row r="1624" spans="1:47" hidden="1" x14ac:dyDescent="0.25">
      <c r="A1624" t="s">
        <v>95</v>
      </c>
      <c r="B1624" s="1">
        <v>38370</v>
      </c>
      <c r="C1624" t="s">
        <v>48</v>
      </c>
      <c r="D1624" t="s">
        <v>49</v>
      </c>
      <c r="E1624" s="2">
        <v>46000</v>
      </c>
      <c r="F1624" t="s">
        <v>159</v>
      </c>
      <c r="G1624" s="3" t="s">
        <v>66</v>
      </c>
      <c r="H1624" s="3">
        <v>12220</v>
      </c>
      <c r="I1624" s="3">
        <v>12220</v>
      </c>
      <c r="J1624">
        <v>0</v>
      </c>
      <c r="K1624" s="3">
        <v>12220</v>
      </c>
      <c r="L1624" s="3">
        <v>2860</v>
      </c>
      <c r="M1624" s="3">
        <v>1001</v>
      </c>
      <c r="N1624" t="s">
        <v>52</v>
      </c>
      <c r="O1624" t="s">
        <v>53</v>
      </c>
      <c r="P1624" t="s">
        <v>53</v>
      </c>
      <c r="Q1624" t="s">
        <v>53</v>
      </c>
      <c r="R1624" t="s">
        <v>54</v>
      </c>
      <c r="S1624" t="s">
        <v>54</v>
      </c>
      <c r="T1624" t="s">
        <v>55</v>
      </c>
      <c r="U1624">
        <v>126</v>
      </c>
      <c r="V1624" t="s">
        <v>56</v>
      </c>
      <c r="W1624" t="s">
        <v>141</v>
      </c>
      <c r="X1624" s="4">
        <v>0</v>
      </c>
      <c r="Y1624" t="s">
        <v>197</v>
      </c>
      <c r="Z1624" s="3">
        <v>2860</v>
      </c>
      <c r="AA1624">
        <v>0</v>
      </c>
      <c r="AB1624">
        <v>0</v>
      </c>
      <c r="AC1624">
        <v>0</v>
      </c>
      <c r="AD1624">
        <v>0</v>
      </c>
      <c r="AE1624" s="3">
        <v>26000</v>
      </c>
      <c r="AF1624" t="s">
        <v>54</v>
      </c>
      <c r="AG1624" t="s">
        <v>59</v>
      </c>
      <c r="AI1624" t="s">
        <v>73</v>
      </c>
      <c r="AJ1624" t="s">
        <v>73</v>
      </c>
      <c r="AK1624" s="5">
        <v>46000.597291666665</v>
      </c>
      <c r="AO1624" t="s">
        <v>54</v>
      </c>
      <c r="AP1624">
        <v>0</v>
      </c>
      <c r="AR1624" t="s">
        <v>54</v>
      </c>
      <c r="AS1624" t="s">
        <v>54</v>
      </c>
      <c r="AT1624">
        <v>5486</v>
      </c>
      <c r="AU1624" t="s">
        <v>55</v>
      </c>
    </row>
    <row r="1625" spans="1:47" hidden="1" x14ac:dyDescent="0.25">
      <c r="A1625" t="s">
        <v>47</v>
      </c>
      <c r="B1625" s="1">
        <v>38371</v>
      </c>
      <c r="C1625" t="s">
        <v>48</v>
      </c>
      <c r="D1625" t="s">
        <v>49</v>
      </c>
      <c r="E1625" s="2">
        <v>46001</v>
      </c>
      <c r="F1625" t="s">
        <v>202</v>
      </c>
      <c r="G1625" s="3" t="s">
        <v>122</v>
      </c>
      <c r="H1625" s="3">
        <v>10945.8</v>
      </c>
      <c r="I1625" s="3">
        <v>10945.8</v>
      </c>
      <c r="J1625">
        <v>0</v>
      </c>
      <c r="K1625" s="3">
        <v>12587.67</v>
      </c>
      <c r="L1625" s="3">
        <v>1216.44</v>
      </c>
      <c r="M1625" s="3">
        <v>770.76</v>
      </c>
      <c r="N1625" t="s">
        <v>75</v>
      </c>
      <c r="O1625" t="s">
        <v>53</v>
      </c>
      <c r="P1625" t="s">
        <v>53</v>
      </c>
      <c r="Q1625" t="s">
        <v>53</v>
      </c>
      <c r="R1625" t="s">
        <v>54</v>
      </c>
      <c r="S1625" t="s">
        <v>54</v>
      </c>
      <c r="T1625" t="s">
        <v>55</v>
      </c>
      <c r="U1625">
        <v>43</v>
      </c>
      <c r="W1625" t="s">
        <v>72</v>
      </c>
      <c r="X1625" s="4">
        <v>0</v>
      </c>
      <c r="Y1625" t="s">
        <v>58</v>
      </c>
      <c r="Z1625" s="3">
        <v>0</v>
      </c>
      <c r="AA1625">
        <v>0</v>
      </c>
      <c r="AB1625" s="3">
        <v>1216.44</v>
      </c>
      <c r="AC1625">
        <v>0</v>
      </c>
      <c r="AD1625">
        <v>0</v>
      </c>
      <c r="AE1625" s="3">
        <v>870</v>
      </c>
      <c r="AF1625" t="s">
        <v>54</v>
      </c>
      <c r="AG1625" t="s">
        <v>59</v>
      </c>
      <c r="AI1625" t="s">
        <v>73</v>
      </c>
      <c r="AJ1625" t="s">
        <v>73</v>
      </c>
      <c r="AK1625" s="5">
        <v>46001.451111111113</v>
      </c>
      <c r="AO1625" t="s">
        <v>54</v>
      </c>
      <c r="AP1625">
        <v>0</v>
      </c>
      <c r="AR1625" t="s">
        <v>54</v>
      </c>
      <c r="AS1625" t="s">
        <v>54</v>
      </c>
      <c r="AT1625">
        <v>4694</v>
      </c>
      <c r="AU1625" t="s">
        <v>55</v>
      </c>
    </row>
    <row r="1626" spans="1:47" hidden="1" x14ac:dyDescent="0.25">
      <c r="A1626" t="s">
        <v>47</v>
      </c>
      <c r="B1626" s="1">
        <v>38372</v>
      </c>
      <c r="C1626" t="s">
        <v>48</v>
      </c>
      <c r="D1626" t="s">
        <v>49</v>
      </c>
      <c r="E1626" s="2">
        <v>46001</v>
      </c>
      <c r="F1626" t="s">
        <v>202</v>
      </c>
      <c r="G1626" t="s">
        <v>122</v>
      </c>
      <c r="H1626" s="3">
        <v>14753.4</v>
      </c>
      <c r="I1626" s="3">
        <v>14753.4</v>
      </c>
      <c r="J1626">
        <v>0</v>
      </c>
      <c r="K1626" s="3">
        <v>16966.41</v>
      </c>
      <c r="L1626" s="3">
        <v>1596.24</v>
      </c>
      <c r="M1626" s="3">
        <v>1021.23</v>
      </c>
      <c r="N1626" t="s">
        <v>75</v>
      </c>
      <c r="O1626" t="s">
        <v>53</v>
      </c>
      <c r="P1626" t="s">
        <v>53</v>
      </c>
      <c r="Q1626" t="s">
        <v>53</v>
      </c>
      <c r="R1626" t="s">
        <v>54</v>
      </c>
      <c r="S1626" t="s">
        <v>54</v>
      </c>
      <c r="T1626" t="s">
        <v>55</v>
      </c>
      <c r="U1626">
        <v>43</v>
      </c>
      <c r="W1626" t="s">
        <v>72</v>
      </c>
      <c r="X1626" s="4">
        <v>0</v>
      </c>
      <c r="Y1626" t="s">
        <v>58</v>
      </c>
      <c r="Z1626">
        <v>0</v>
      </c>
      <c r="AA1626">
        <v>0</v>
      </c>
      <c r="AB1626" s="3">
        <v>1596.24</v>
      </c>
      <c r="AC1626">
        <v>0</v>
      </c>
      <c r="AD1626">
        <v>0</v>
      </c>
      <c r="AE1626" s="3">
        <v>1080</v>
      </c>
      <c r="AF1626" t="s">
        <v>54</v>
      </c>
      <c r="AG1626" t="s">
        <v>59</v>
      </c>
      <c r="AI1626" t="s">
        <v>73</v>
      </c>
      <c r="AJ1626" t="s">
        <v>73</v>
      </c>
      <c r="AK1626" s="5">
        <v>46001.453750000001</v>
      </c>
      <c r="AO1626" t="s">
        <v>54</v>
      </c>
      <c r="AP1626">
        <v>0</v>
      </c>
      <c r="AR1626" t="s">
        <v>54</v>
      </c>
      <c r="AS1626" t="s">
        <v>54</v>
      </c>
      <c r="AT1626">
        <v>4694</v>
      </c>
      <c r="AU1626" t="s">
        <v>55</v>
      </c>
    </row>
    <row r="1627" spans="1:47" hidden="1" x14ac:dyDescent="0.25">
      <c r="A1627" t="s">
        <v>47</v>
      </c>
      <c r="B1627" s="1">
        <v>38373</v>
      </c>
      <c r="C1627" t="s">
        <v>48</v>
      </c>
      <c r="D1627" t="s">
        <v>49</v>
      </c>
      <c r="E1627" s="2">
        <v>46001</v>
      </c>
      <c r="F1627" t="s">
        <v>202</v>
      </c>
      <c r="G1627" t="s">
        <v>122</v>
      </c>
      <c r="H1627" s="3">
        <v>12914.32</v>
      </c>
      <c r="I1627" s="3">
        <v>12914.32</v>
      </c>
      <c r="J1627">
        <v>0</v>
      </c>
      <c r="K1627" s="3">
        <v>14851.47</v>
      </c>
      <c r="L1627" s="3">
        <v>1411.32</v>
      </c>
      <c r="M1627" s="3">
        <v>917.03</v>
      </c>
      <c r="N1627" t="s">
        <v>75</v>
      </c>
      <c r="O1627" t="s">
        <v>53</v>
      </c>
      <c r="P1627" t="s">
        <v>53</v>
      </c>
      <c r="Q1627" t="s">
        <v>53</v>
      </c>
      <c r="R1627" t="s">
        <v>54</v>
      </c>
      <c r="S1627" t="s">
        <v>54</v>
      </c>
      <c r="T1627" t="s">
        <v>55</v>
      </c>
      <c r="U1627">
        <v>43</v>
      </c>
      <c r="W1627" t="s">
        <v>72</v>
      </c>
      <c r="X1627" s="4">
        <v>0</v>
      </c>
      <c r="Y1627" t="s">
        <v>58</v>
      </c>
      <c r="Z1627">
        <v>0</v>
      </c>
      <c r="AA1627">
        <v>0</v>
      </c>
      <c r="AB1627" s="3">
        <v>1411.32</v>
      </c>
      <c r="AC1627">
        <v>0</v>
      </c>
      <c r="AD1627">
        <v>0</v>
      </c>
      <c r="AE1627" s="3">
        <v>986</v>
      </c>
      <c r="AF1627" t="s">
        <v>54</v>
      </c>
      <c r="AG1627" t="s">
        <v>59</v>
      </c>
      <c r="AI1627" t="s">
        <v>73</v>
      </c>
      <c r="AJ1627" t="s">
        <v>73</v>
      </c>
      <c r="AK1627" s="5">
        <v>46001.455428240741</v>
      </c>
      <c r="AO1627" t="s">
        <v>54</v>
      </c>
      <c r="AP1627">
        <v>0</v>
      </c>
      <c r="AR1627" t="s">
        <v>54</v>
      </c>
      <c r="AS1627" t="s">
        <v>54</v>
      </c>
      <c r="AT1627">
        <v>4694</v>
      </c>
      <c r="AU1627" t="s">
        <v>55</v>
      </c>
    </row>
    <row r="1628" spans="1:47" hidden="1" x14ac:dyDescent="0.25">
      <c r="A1628" t="s">
        <v>47</v>
      </c>
      <c r="B1628" s="1">
        <v>38374</v>
      </c>
      <c r="C1628" t="s">
        <v>48</v>
      </c>
      <c r="D1628" s="3" t="s">
        <v>49</v>
      </c>
      <c r="E1628" s="2">
        <v>46001</v>
      </c>
      <c r="F1628" t="s">
        <v>384</v>
      </c>
      <c r="G1628" s="3" t="s">
        <v>69</v>
      </c>
      <c r="H1628" s="3">
        <v>4535</v>
      </c>
      <c r="I1628" s="3">
        <v>4535</v>
      </c>
      <c r="J1628">
        <v>0</v>
      </c>
      <c r="K1628" s="3">
        <v>5215.25</v>
      </c>
      <c r="L1628" s="3">
        <v>735</v>
      </c>
      <c r="M1628" s="3">
        <v>437.33</v>
      </c>
      <c r="N1628" t="s">
        <v>77</v>
      </c>
      <c r="O1628" t="s">
        <v>53</v>
      </c>
      <c r="P1628" t="s">
        <v>53</v>
      </c>
      <c r="Q1628" t="s">
        <v>53</v>
      </c>
      <c r="R1628" t="s">
        <v>54</v>
      </c>
      <c r="S1628" t="s">
        <v>54</v>
      </c>
      <c r="T1628" t="s">
        <v>55</v>
      </c>
      <c r="U1628">
        <v>83</v>
      </c>
      <c r="V1628" t="s">
        <v>119</v>
      </c>
      <c r="W1628" t="s">
        <v>94</v>
      </c>
      <c r="X1628" s="4">
        <v>0</v>
      </c>
      <c r="Y1628" t="s">
        <v>62</v>
      </c>
      <c r="AB1628" s="3"/>
      <c r="AK1628" s="5"/>
    </row>
    <row r="1629" spans="1:47" hidden="1" x14ac:dyDescent="0.25">
      <c r="A1629" t="s">
        <v>63</v>
      </c>
      <c r="B1629" s="1">
        <v>0</v>
      </c>
      <c r="C1629">
        <v>0</v>
      </c>
      <c r="D1629" s="3">
        <v>735</v>
      </c>
      <c r="E1629" s="2">
        <v>0</v>
      </c>
      <c r="F1629">
        <v>0</v>
      </c>
      <c r="G1629" s="3">
        <v>500</v>
      </c>
      <c r="H1629" s="3" t="s">
        <v>54</v>
      </c>
      <c r="I1629" s="3" t="s">
        <v>59</v>
      </c>
      <c r="J1629" t="s">
        <v>79</v>
      </c>
      <c r="K1629" s="3" t="s">
        <v>80</v>
      </c>
      <c r="L1629" s="3" t="s">
        <v>73</v>
      </c>
      <c r="M1629" s="3">
        <v>46001.606909722221</v>
      </c>
      <c r="Q1629" t="s">
        <v>54</v>
      </c>
      <c r="R1629">
        <v>0</v>
      </c>
      <c r="T1629" t="s">
        <v>54</v>
      </c>
      <c r="U1629" t="s">
        <v>54</v>
      </c>
      <c r="V1629">
        <v>7588</v>
      </c>
      <c r="W1629" t="s">
        <v>55</v>
      </c>
      <c r="X1629" s="4"/>
      <c r="Z1629" s="3"/>
      <c r="AE1629" s="3"/>
      <c r="AK1629" s="5"/>
    </row>
    <row r="1630" spans="1:47" hidden="1" x14ac:dyDescent="0.25">
      <c r="A1630" t="s">
        <v>81</v>
      </c>
      <c r="B1630" s="1">
        <v>38375</v>
      </c>
      <c r="C1630" t="s">
        <v>48</v>
      </c>
      <c r="D1630" t="s">
        <v>49</v>
      </c>
      <c r="E1630" s="2">
        <v>46001</v>
      </c>
      <c r="F1630" t="s">
        <v>333</v>
      </c>
      <c r="G1630" t="s">
        <v>69</v>
      </c>
      <c r="H1630" s="3">
        <v>4722.5</v>
      </c>
      <c r="I1630" s="3">
        <v>4722.5</v>
      </c>
      <c r="J1630">
        <v>0</v>
      </c>
      <c r="K1630" s="3">
        <v>4722.5</v>
      </c>
      <c r="L1630" s="3">
        <v>825</v>
      </c>
      <c r="M1630" s="3">
        <v>369.6</v>
      </c>
      <c r="N1630" t="s">
        <v>77</v>
      </c>
      <c r="O1630" t="s">
        <v>53</v>
      </c>
      <c r="P1630" t="s">
        <v>53</v>
      </c>
      <c r="Q1630" t="s">
        <v>53</v>
      </c>
      <c r="R1630" t="s">
        <v>54</v>
      </c>
      <c r="S1630" t="s">
        <v>54</v>
      </c>
      <c r="T1630" t="s">
        <v>55</v>
      </c>
      <c r="U1630">
        <v>83</v>
      </c>
      <c r="W1630" t="s">
        <v>132</v>
      </c>
      <c r="X1630" s="4">
        <v>0</v>
      </c>
      <c r="Y1630" t="s">
        <v>58</v>
      </c>
      <c r="Z1630" s="3">
        <v>825</v>
      </c>
      <c r="AA1630">
        <v>0</v>
      </c>
      <c r="AB1630">
        <v>0</v>
      </c>
      <c r="AC1630">
        <v>0</v>
      </c>
      <c r="AD1630">
        <v>0</v>
      </c>
      <c r="AE1630" s="3">
        <v>250</v>
      </c>
      <c r="AF1630" t="s">
        <v>54</v>
      </c>
      <c r="AG1630" t="s">
        <v>59</v>
      </c>
      <c r="AI1630" t="s">
        <v>80</v>
      </c>
      <c r="AJ1630" t="s">
        <v>73</v>
      </c>
      <c r="AK1630" s="5">
        <v>46001.606527777774</v>
      </c>
      <c r="AO1630" t="s">
        <v>54</v>
      </c>
      <c r="AP1630">
        <v>0</v>
      </c>
      <c r="AR1630" t="s">
        <v>54</v>
      </c>
      <c r="AS1630" t="s">
        <v>54</v>
      </c>
      <c r="AT1630">
        <v>4097</v>
      </c>
      <c r="AU1630" t="s">
        <v>55</v>
      </c>
    </row>
    <row r="1631" spans="1:47" hidden="1" x14ac:dyDescent="0.25">
      <c r="A1631" t="s">
        <v>47</v>
      </c>
      <c r="B1631" s="1">
        <v>38376</v>
      </c>
      <c r="C1631" t="s">
        <v>48</v>
      </c>
      <c r="D1631" t="s">
        <v>49</v>
      </c>
      <c r="E1631" s="2">
        <v>46002</v>
      </c>
      <c r="F1631" s="3" t="s">
        <v>107</v>
      </c>
      <c r="G1631" s="3" t="s">
        <v>108</v>
      </c>
      <c r="H1631" s="3">
        <v>51810</v>
      </c>
      <c r="I1631" s="3">
        <v>51810</v>
      </c>
      <c r="J1631">
        <v>0</v>
      </c>
      <c r="K1631" s="3">
        <v>51810</v>
      </c>
      <c r="L1631" s="3">
        <v>6401</v>
      </c>
      <c r="M1631" s="3">
        <v>3898.97</v>
      </c>
      <c r="N1631" t="s">
        <v>83</v>
      </c>
      <c r="O1631" t="s">
        <v>53</v>
      </c>
      <c r="P1631" t="s">
        <v>53</v>
      </c>
      <c r="Q1631" t="s">
        <v>53</v>
      </c>
      <c r="R1631" t="s">
        <v>54</v>
      </c>
      <c r="S1631" t="s">
        <v>54</v>
      </c>
      <c r="T1631" t="s">
        <v>55</v>
      </c>
      <c r="U1631">
        <v>9</v>
      </c>
      <c r="V1631" t="s">
        <v>56</v>
      </c>
      <c r="W1631" t="s">
        <v>109</v>
      </c>
      <c r="X1631" s="4">
        <v>0</v>
      </c>
      <c r="Y1631" t="s">
        <v>58</v>
      </c>
      <c r="Z1631">
        <v>0</v>
      </c>
      <c r="AA1631">
        <v>0</v>
      </c>
      <c r="AB1631" s="3">
        <v>6401</v>
      </c>
      <c r="AC1631">
        <v>0</v>
      </c>
      <c r="AD1631">
        <v>0</v>
      </c>
      <c r="AE1631" s="3">
        <v>6000</v>
      </c>
      <c r="AF1631" t="s">
        <v>54</v>
      </c>
      <c r="AG1631" t="s">
        <v>59</v>
      </c>
      <c r="AI1631" t="s">
        <v>91</v>
      </c>
      <c r="AJ1631" t="s">
        <v>91</v>
      </c>
      <c r="AK1631" s="5">
        <v>46002.435162037036</v>
      </c>
      <c r="AO1631" t="s">
        <v>54</v>
      </c>
      <c r="AP1631">
        <v>0</v>
      </c>
      <c r="AR1631" t="s">
        <v>54</v>
      </c>
      <c r="AS1631" t="s">
        <v>54</v>
      </c>
      <c r="AT1631">
        <v>3124</v>
      </c>
      <c r="AU1631" t="s">
        <v>55</v>
      </c>
    </row>
    <row r="1632" spans="1:47" hidden="1" x14ac:dyDescent="0.25">
      <c r="A1632" t="s">
        <v>81</v>
      </c>
      <c r="B1632" s="1">
        <v>38377</v>
      </c>
      <c r="C1632" t="s">
        <v>48</v>
      </c>
      <c r="D1632" t="s">
        <v>49</v>
      </c>
      <c r="E1632" s="2">
        <v>46002</v>
      </c>
      <c r="F1632" t="s">
        <v>333</v>
      </c>
      <c r="G1632" t="s">
        <v>69</v>
      </c>
      <c r="H1632" s="3">
        <v>3752.5</v>
      </c>
      <c r="I1632" s="3">
        <v>3752.5</v>
      </c>
      <c r="J1632">
        <v>0</v>
      </c>
      <c r="K1632" s="3">
        <v>3752.5</v>
      </c>
      <c r="L1632" s="3">
        <v>638.4</v>
      </c>
      <c r="M1632" s="3">
        <v>300.05</v>
      </c>
      <c r="N1632" t="s">
        <v>77</v>
      </c>
      <c r="O1632" t="s">
        <v>53</v>
      </c>
      <c r="P1632" t="s">
        <v>53</v>
      </c>
      <c r="Q1632" t="s">
        <v>53</v>
      </c>
      <c r="R1632" t="s">
        <v>54</v>
      </c>
      <c r="S1632" t="s">
        <v>54</v>
      </c>
      <c r="T1632" t="s">
        <v>55</v>
      </c>
      <c r="U1632">
        <v>83</v>
      </c>
      <c r="W1632" t="s">
        <v>132</v>
      </c>
      <c r="X1632" s="4">
        <v>0</v>
      </c>
      <c r="Y1632" t="s">
        <v>58</v>
      </c>
      <c r="Z1632">
        <v>0</v>
      </c>
      <c r="AA1632">
        <v>0</v>
      </c>
      <c r="AB1632" s="3">
        <v>0</v>
      </c>
      <c r="AC1632">
        <v>0</v>
      </c>
      <c r="AD1632">
        <v>638.4</v>
      </c>
      <c r="AE1632" s="3">
        <v>950</v>
      </c>
      <c r="AF1632" t="s">
        <v>54</v>
      </c>
      <c r="AG1632" t="s">
        <v>59</v>
      </c>
      <c r="AI1632" t="s">
        <v>80</v>
      </c>
      <c r="AJ1632" t="s">
        <v>91</v>
      </c>
      <c r="AK1632" s="5">
        <v>46002.517893518518</v>
      </c>
      <c r="AO1632" t="s">
        <v>54</v>
      </c>
      <c r="AP1632">
        <v>0</v>
      </c>
      <c r="AR1632" t="s">
        <v>54</v>
      </c>
      <c r="AS1632" t="s">
        <v>54</v>
      </c>
      <c r="AT1632">
        <v>4097</v>
      </c>
      <c r="AU1632" t="s">
        <v>55</v>
      </c>
    </row>
    <row r="1633" spans="1:47" hidden="1" x14ac:dyDescent="0.25">
      <c r="A1633" t="s">
        <v>47</v>
      </c>
      <c r="B1633" s="1">
        <v>38378</v>
      </c>
      <c r="C1633" t="s">
        <v>48</v>
      </c>
      <c r="D1633" t="s">
        <v>49</v>
      </c>
      <c r="E1633" s="2">
        <v>46002</v>
      </c>
      <c r="F1633" s="3" t="s">
        <v>364</v>
      </c>
      <c r="G1633" t="s">
        <v>155</v>
      </c>
      <c r="H1633" s="3">
        <v>4220</v>
      </c>
      <c r="I1633" s="3">
        <v>4220</v>
      </c>
      <c r="J1633">
        <v>0</v>
      </c>
      <c r="K1633" s="3">
        <v>4220</v>
      </c>
      <c r="L1633" s="3">
        <v>952</v>
      </c>
      <c r="M1633" s="3">
        <v>276.08</v>
      </c>
      <c r="N1633" t="s">
        <v>75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43</v>
      </c>
      <c r="W1633" t="s">
        <v>169</v>
      </c>
      <c r="X1633" s="4">
        <v>0</v>
      </c>
      <c r="Y1633" t="s">
        <v>62</v>
      </c>
      <c r="AB1633" s="3"/>
      <c r="AE1633" s="3"/>
      <c r="AK1633" s="5"/>
    </row>
    <row r="1634" spans="1:47" hidden="1" x14ac:dyDescent="0.25">
      <c r="A1634" t="s">
        <v>63</v>
      </c>
      <c r="B1634" s="1">
        <v>952</v>
      </c>
      <c r="C1634">
        <v>0</v>
      </c>
      <c r="D1634">
        <v>0</v>
      </c>
      <c r="E1634" s="2">
        <v>0</v>
      </c>
      <c r="F1634">
        <v>0</v>
      </c>
      <c r="G1634" s="3">
        <v>2000</v>
      </c>
      <c r="H1634" s="3" t="s">
        <v>54</v>
      </c>
      <c r="I1634" s="3" t="s">
        <v>59</v>
      </c>
      <c r="J1634" t="s">
        <v>178</v>
      </c>
      <c r="K1634" s="3" t="s">
        <v>73</v>
      </c>
      <c r="L1634" s="3" t="s">
        <v>73</v>
      </c>
      <c r="M1634" s="3">
        <v>46003.325810185182</v>
      </c>
      <c r="Q1634" t="s">
        <v>54</v>
      </c>
      <c r="R1634">
        <v>0</v>
      </c>
      <c r="T1634" t="s">
        <v>54</v>
      </c>
      <c r="U1634" t="s">
        <v>54</v>
      </c>
      <c r="V1634">
        <v>6061</v>
      </c>
      <c r="W1634" t="s">
        <v>55</v>
      </c>
      <c r="X1634" s="4"/>
      <c r="Z1634" s="3"/>
      <c r="AE1634" s="3"/>
      <c r="AK1634" s="5"/>
    </row>
    <row r="1635" spans="1:47" hidden="1" x14ac:dyDescent="0.25">
      <c r="A1635" t="s">
        <v>81</v>
      </c>
      <c r="B1635" s="1">
        <v>38379</v>
      </c>
      <c r="C1635" t="s">
        <v>48</v>
      </c>
      <c r="D1635" t="s">
        <v>49</v>
      </c>
      <c r="E1635" s="2">
        <v>46002</v>
      </c>
      <c r="F1635" t="s">
        <v>401</v>
      </c>
      <c r="G1635" s="3" t="s">
        <v>402</v>
      </c>
      <c r="H1635" s="3">
        <v>600</v>
      </c>
      <c r="I1635" s="3">
        <v>600</v>
      </c>
      <c r="J1635">
        <v>0</v>
      </c>
      <c r="K1635" s="3">
        <v>600</v>
      </c>
      <c r="L1635" s="3">
        <v>93.2</v>
      </c>
      <c r="M1635" s="3">
        <v>39.14</v>
      </c>
      <c r="N1635" t="s">
        <v>83</v>
      </c>
      <c r="O1635" t="s">
        <v>53</v>
      </c>
      <c r="P1635" t="s">
        <v>53</v>
      </c>
      <c r="Q1635" t="s">
        <v>53</v>
      </c>
      <c r="R1635" t="s">
        <v>54</v>
      </c>
      <c r="S1635" t="s">
        <v>54</v>
      </c>
      <c r="T1635" t="s">
        <v>55</v>
      </c>
      <c r="U1635">
        <v>9</v>
      </c>
      <c r="W1635" t="s">
        <v>113</v>
      </c>
      <c r="X1635" s="4">
        <v>0</v>
      </c>
      <c r="Y1635" t="s">
        <v>62</v>
      </c>
      <c r="Z1635" s="3"/>
      <c r="AE1635" s="3"/>
      <c r="AK1635" s="5"/>
    </row>
    <row r="1636" spans="1:47" hidden="1" x14ac:dyDescent="0.25">
      <c r="A1636" t="s">
        <v>63</v>
      </c>
      <c r="B1636" s="1">
        <v>0</v>
      </c>
      <c r="C1636">
        <v>93.2</v>
      </c>
      <c r="D1636">
        <v>0</v>
      </c>
      <c r="E1636" s="2">
        <v>0</v>
      </c>
      <c r="F1636">
        <v>0</v>
      </c>
      <c r="G1636" s="3">
        <v>50</v>
      </c>
      <c r="H1636" s="3" t="s">
        <v>54</v>
      </c>
      <c r="I1636" s="3" t="s">
        <v>59</v>
      </c>
      <c r="J1636" t="s">
        <v>79</v>
      </c>
      <c r="K1636" s="3" t="s">
        <v>73</v>
      </c>
      <c r="L1636" s="3" t="s">
        <v>73</v>
      </c>
      <c r="M1636" s="3">
        <v>46002.653067129628</v>
      </c>
      <c r="Q1636" t="s">
        <v>54</v>
      </c>
      <c r="R1636">
        <v>0</v>
      </c>
      <c r="T1636" t="s">
        <v>54</v>
      </c>
      <c r="U1636" t="s">
        <v>54</v>
      </c>
      <c r="V1636">
        <v>8818</v>
      </c>
      <c r="W1636" t="s">
        <v>55</v>
      </c>
      <c r="X1636" s="4"/>
      <c r="AB1636" s="3"/>
      <c r="AE1636" s="3"/>
      <c r="AK1636" s="5"/>
    </row>
    <row r="1637" spans="1:47" hidden="1" x14ac:dyDescent="0.25">
      <c r="A1637" t="s">
        <v>47</v>
      </c>
      <c r="B1637" s="1">
        <v>38381</v>
      </c>
      <c r="C1637" t="s">
        <v>48</v>
      </c>
      <c r="D1637" t="s">
        <v>49</v>
      </c>
      <c r="E1637" s="2">
        <v>46003</v>
      </c>
      <c r="F1637" t="s">
        <v>302</v>
      </c>
      <c r="G1637" s="3" t="s">
        <v>86</v>
      </c>
      <c r="H1637" s="3">
        <v>14000</v>
      </c>
      <c r="I1637" s="3">
        <v>14000</v>
      </c>
      <c r="J1637">
        <v>0</v>
      </c>
      <c r="K1637" s="3">
        <v>16100</v>
      </c>
      <c r="L1637" s="3">
        <v>2082</v>
      </c>
      <c r="M1637" s="3">
        <v>1249.2</v>
      </c>
      <c r="N1637" t="s">
        <v>52</v>
      </c>
      <c r="O1637" t="s">
        <v>53</v>
      </c>
      <c r="P1637" t="s">
        <v>53</v>
      </c>
      <c r="Q1637" t="s">
        <v>53</v>
      </c>
      <c r="R1637" t="s">
        <v>54</v>
      </c>
      <c r="S1637" t="s">
        <v>54</v>
      </c>
      <c r="T1637" t="s">
        <v>55</v>
      </c>
      <c r="U1637">
        <v>126</v>
      </c>
      <c r="V1637" t="s">
        <v>56</v>
      </c>
      <c r="W1637" t="s">
        <v>174</v>
      </c>
      <c r="X1637" s="4">
        <v>0</v>
      </c>
      <c r="Y1637" t="s">
        <v>62</v>
      </c>
      <c r="AD1637" s="3"/>
      <c r="AE1637" s="3"/>
      <c r="AK1637" s="5"/>
    </row>
    <row r="1638" spans="1:47" hidden="1" x14ac:dyDescent="0.25">
      <c r="A1638" t="s">
        <v>63</v>
      </c>
      <c r="B1638" s="1">
        <v>0</v>
      </c>
      <c r="C1638">
        <v>0</v>
      </c>
      <c r="D1638" s="3">
        <v>2082</v>
      </c>
      <c r="E1638" s="2">
        <v>0</v>
      </c>
      <c r="F1638">
        <v>0</v>
      </c>
      <c r="G1638" s="3">
        <v>2000</v>
      </c>
      <c r="H1638" s="3" t="s">
        <v>54</v>
      </c>
      <c r="I1638" s="3" t="s">
        <v>59</v>
      </c>
      <c r="K1638" s="3" t="s">
        <v>73</v>
      </c>
      <c r="L1638" s="3" t="s">
        <v>73</v>
      </c>
      <c r="M1638" s="3">
        <v>46003.332175925927</v>
      </c>
      <c r="Q1638" t="s">
        <v>54</v>
      </c>
      <c r="R1638">
        <v>0</v>
      </c>
      <c r="T1638" t="s">
        <v>54</v>
      </c>
      <c r="U1638" t="s">
        <v>54</v>
      </c>
      <c r="V1638">
        <v>7376</v>
      </c>
      <c r="W1638" t="s">
        <v>55</v>
      </c>
      <c r="X1638" s="4"/>
      <c r="Z1638" s="3"/>
      <c r="AD1638" s="3"/>
      <c r="AE1638" s="3"/>
      <c r="AK1638" s="5"/>
    </row>
    <row r="1639" spans="1:47" hidden="1" x14ac:dyDescent="0.25">
      <c r="A1639" t="s">
        <v>95</v>
      </c>
      <c r="B1639" s="1">
        <v>38382</v>
      </c>
      <c r="C1639" t="s">
        <v>48</v>
      </c>
      <c r="D1639" s="3" t="s">
        <v>49</v>
      </c>
      <c r="E1639" s="2">
        <v>46003</v>
      </c>
      <c r="F1639" t="s">
        <v>283</v>
      </c>
      <c r="G1639" s="3" t="s">
        <v>213</v>
      </c>
      <c r="H1639" s="3">
        <v>8780</v>
      </c>
      <c r="I1639" s="3">
        <v>8780</v>
      </c>
      <c r="J1639">
        <v>0</v>
      </c>
      <c r="K1639" s="3">
        <v>8780</v>
      </c>
      <c r="L1639" s="3">
        <v>1825</v>
      </c>
      <c r="M1639" s="3">
        <v>711.75</v>
      </c>
      <c r="N1639" t="s">
        <v>105</v>
      </c>
      <c r="O1639" t="s">
        <v>53</v>
      </c>
      <c r="P1639" t="s">
        <v>53</v>
      </c>
      <c r="Q1639" t="s">
        <v>53</v>
      </c>
      <c r="R1639" t="s">
        <v>54</v>
      </c>
      <c r="S1639" t="s">
        <v>54</v>
      </c>
      <c r="T1639" t="s">
        <v>55</v>
      </c>
      <c r="U1639">
        <v>145</v>
      </c>
      <c r="V1639" t="s">
        <v>144</v>
      </c>
      <c r="W1639" t="s">
        <v>284</v>
      </c>
      <c r="X1639" s="4">
        <v>0</v>
      </c>
      <c r="Y1639" t="s">
        <v>58</v>
      </c>
      <c r="Z1639" s="3">
        <v>1825</v>
      </c>
      <c r="AA1639">
        <v>0</v>
      </c>
      <c r="AB1639">
        <v>0</v>
      </c>
      <c r="AC1639">
        <v>0</v>
      </c>
      <c r="AD1639" s="3">
        <v>0</v>
      </c>
      <c r="AE1639" s="3">
        <v>5000</v>
      </c>
      <c r="AF1639" t="s">
        <v>54</v>
      </c>
      <c r="AG1639" t="s">
        <v>59</v>
      </c>
      <c r="AI1639" t="s">
        <v>73</v>
      </c>
      <c r="AJ1639" t="s">
        <v>73</v>
      </c>
      <c r="AK1639" s="5">
        <v>46003.596770833334</v>
      </c>
      <c r="AO1639" t="s">
        <v>54</v>
      </c>
      <c r="AP1639">
        <v>0</v>
      </c>
      <c r="AR1639" t="s">
        <v>54</v>
      </c>
      <c r="AS1639" t="s">
        <v>54</v>
      </c>
      <c r="AT1639">
        <v>5017</v>
      </c>
      <c r="AU1639" t="s">
        <v>55</v>
      </c>
    </row>
    <row r="1640" spans="1:47" hidden="1" x14ac:dyDescent="0.25">
      <c r="A1640" t="s">
        <v>47</v>
      </c>
      <c r="B1640" s="1">
        <v>38383</v>
      </c>
      <c r="C1640" t="s">
        <v>48</v>
      </c>
      <c r="D1640" t="s">
        <v>49</v>
      </c>
      <c r="E1640" s="2">
        <v>46003</v>
      </c>
      <c r="F1640" t="s">
        <v>153</v>
      </c>
      <c r="G1640" t="s">
        <v>88</v>
      </c>
      <c r="H1640" s="3">
        <v>930</v>
      </c>
      <c r="I1640" s="3">
        <v>930</v>
      </c>
      <c r="J1640">
        <v>0</v>
      </c>
      <c r="K1640" s="3">
        <v>1069.5</v>
      </c>
      <c r="L1640" s="3">
        <v>50.04</v>
      </c>
      <c r="M1640" s="3">
        <v>31.02</v>
      </c>
      <c r="N1640" t="s">
        <v>105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145</v>
      </c>
      <c r="V1640" t="s">
        <v>144</v>
      </c>
      <c r="W1640" t="s">
        <v>84</v>
      </c>
      <c r="X1640" s="4">
        <v>0</v>
      </c>
      <c r="Y1640" t="s">
        <v>62</v>
      </c>
      <c r="Z1640" s="3"/>
      <c r="AD1640" s="3"/>
      <c r="AE1640" s="3"/>
      <c r="AK1640" s="5"/>
    </row>
    <row r="1641" spans="1:47" hidden="1" x14ac:dyDescent="0.25">
      <c r="A1641" t="s">
        <v>63</v>
      </c>
      <c r="B1641" s="1">
        <v>0</v>
      </c>
      <c r="C1641">
        <v>0</v>
      </c>
      <c r="D1641">
        <v>50.04</v>
      </c>
      <c r="E1641" s="2">
        <v>0</v>
      </c>
      <c r="F1641">
        <v>0</v>
      </c>
      <c r="G1641">
        <v>120</v>
      </c>
      <c r="H1641" s="3" t="s">
        <v>54</v>
      </c>
      <c r="I1641" s="3" t="s">
        <v>59</v>
      </c>
      <c r="J1641" t="s">
        <v>147</v>
      </c>
      <c r="K1641" s="3" t="s">
        <v>73</v>
      </c>
      <c r="L1641" s="3" t="s">
        <v>73</v>
      </c>
      <c r="M1641" s="3">
        <v>46003.711365740739</v>
      </c>
      <c r="Q1641" t="s">
        <v>54</v>
      </c>
      <c r="R1641">
        <v>0</v>
      </c>
      <c r="T1641" t="s">
        <v>54</v>
      </c>
      <c r="U1641" t="s">
        <v>54</v>
      </c>
      <c r="V1641">
        <v>7814</v>
      </c>
      <c r="W1641" t="s">
        <v>55</v>
      </c>
      <c r="X1641" s="4"/>
      <c r="AB1641" s="3"/>
      <c r="AE1641" s="3"/>
      <c r="AK1641" s="5"/>
    </row>
    <row r="1642" spans="1:47" hidden="1" x14ac:dyDescent="0.25">
      <c r="A1642" t="s">
        <v>81</v>
      </c>
      <c r="B1642" s="1">
        <v>38384</v>
      </c>
      <c r="C1642" t="s">
        <v>48</v>
      </c>
      <c r="D1642" t="s">
        <v>49</v>
      </c>
      <c r="E1642" s="2">
        <v>46006</v>
      </c>
      <c r="F1642" t="s">
        <v>405</v>
      </c>
      <c r="G1642" t="s">
        <v>88</v>
      </c>
      <c r="H1642" s="3">
        <v>10300</v>
      </c>
      <c r="I1642" s="3">
        <v>10300</v>
      </c>
      <c r="J1642">
        <v>0</v>
      </c>
      <c r="K1642" s="3">
        <v>10300</v>
      </c>
      <c r="L1642" s="3">
        <v>1614</v>
      </c>
      <c r="M1642" s="3">
        <v>968.4</v>
      </c>
      <c r="N1642" t="s">
        <v>52</v>
      </c>
      <c r="O1642" t="s">
        <v>53</v>
      </c>
      <c r="P1642" t="s">
        <v>53</v>
      </c>
      <c r="Q1642" t="s">
        <v>53</v>
      </c>
      <c r="R1642" t="s">
        <v>54</v>
      </c>
      <c r="S1642" t="s">
        <v>54</v>
      </c>
      <c r="T1642" t="s">
        <v>55</v>
      </c>
      <c r="U1642">
        <v>126</v>
      </c>
      <c r="V1642" t="s">
        <v>56</v>
      </c>
      <c r="W1642" t="s">
        <v>406</v>
      </c>
      <c r="X1642" s="4">
        <v>0</v>
      </c>
      <c r="Y1642" t="s">
        <v>58</v>
      </c>
      <c r="Z1642">
        <v>0</v>
      </c>
      <c r="AA1642">
        <v>0</v>
      </c>
      <c r="AB1642" s="3">
        <v>1614</v>
      </c>
      <c r="AC1642">
        <v>0</v>
      </c>
      <c r="AD1642">
        <v>0</v>
      </c>
      <c r="AE1642" s="3">
        <v>2000</v>
      </c>
      <c r="AF1642" t="s">
        <v>54</v>
      </c>
      <c r="AG1642" t="s">
        <v>59</v>
      </c>
      <c r="AH1642" t="s">
        <v>147</v>
      </c>
      <c r="AI1642" t="s">
        <v>73</v>
      </c>
      <c r="AJ1642" t="s">
        <v>73</v>
      </c>
      <c r="AK1642" s="5">
        <v>46006.696863425925</v>
      </c>
      <c r="AO1642" t="s">
        <v>54</v>
      </c>
      <c r="AP1642">
        <v>0</v>
      </c>
      <c r="AR1642" t="s">
        <v>54</v>
      </c>
      <c r="AS1642" t="s">
        <v>54</v>
      </c>
      <c r="AT1642">
        <v>5603</v>
      </c>
      <c r="AU1642" t="s">
        <v>55</v>
      </c>
    </row>
    <row r="1643" spans="1:47" hidden="1" x14ac:dyDescent="0.25">
      <c r="A1643" t="s">
        <v>47</v>
      </c>
      <c r="B1643" s="1">
        <v>38385</v>
      </c>
      <c r="C1643" t="s">
        <v>48</v>
      </c>
      <c r="D1643" s="3" t="s">
        <v>49</v>
      </c>
      <c r="E1643" s="2">
        <v>46006</v>
      </c>
      <c r="F1643" t="s">
        <v>166</v>
      </c>
      <c r="G1643" s="3" t="s">
        <v>69</v>
      </c>
      <c r="H1643" s="3">
        <v>5518.5</v>
      </c>
      <c r="I1643" s="3">
        <v>5518.5</v>
      </c>
      <c r="J1643">
        <v>0</v>
      </c>
      <c r="K1643" s="3">
        <v>6346.27</v>
      </c>
      <c r="L1643" s="3">
        <v>699.43</v>
      </c>
      <c r="M1643" s="3">
        <v>402.17</v>
      </c>
      <c r="N1643" t="s">
        <v>77</v>
      </c>
      <c r="O1643" t="s">
        <v>53</v>
      </c>
      <c r="P1643" t="s">
        <v>53</v>
      </c>
      <c r="Q1643" t="s">
        <v>53</v>
      </c>
      <c r="R1643" t="s">
        <v>54</v>
      </c>
      <c r="S1643" t="s">
        <v>54</v>
      </c>
      <c r="T1643" t="s">
        <v>55</v>
      </c>
      <c r="U1643">
        <v>83</v>
      </c>
      <c r="W1643" t="s">
        <v>132</v>
      </c>
      <c r="X1643" s="4">
        <v>0</v>
      </c>
      <c r="Y1643" t="s">
        <v>58</v>
      </c>
      <c r="Z1643">
        <v>0</v>
      </c>
      <c r="AA1643" s="3">
        <v>0</v>
      </c>
      <c r="AB1643">
        <v>699.43</v>
      </c>
      <c r="AC1643">
        <v>0</v>
      </c>
      <c r="AD1643">
        <v>0</v>
      </c>
      <c r="AE1643" s="3">
        <v>870</v>
      </c>
      <c r="AF1643" t="s">
        <v>54</v>
      </c>
      <c r="AG1643" t="s">
        <v>59</v>
      </c>
      <c r="AI1643" t="s">
        <v>80</v>
      </c>
      <c r="AJ1643" t="s">
        <v>73</v>
      </c>
      <c r="AK1643" s="5">
        <v>46006.674016203702</v>
      </c>
      <c r="AO1643" t="s">
        <v>54</v>
      </c>
      <c r="AP1643">
        <v>0</v>
      </c>
      <c r="AR1643" t="s">
        <v>54</v>
      </c>
      <c r="AS1643" t="s">
        <v>54</v>
      </c>
      <c r="AT1643">
        <v>7312</v>
      </c>
      <c r="AU1643" t="s">
        <v>55</v>
      </c>
    </row>
    <row r="1644" spans="1:47" hidden="1" x14ac:dyDescent="0.25">
      <c r="A1644" t="s">
        <v>95</v>
      </c>
      <c r="B1644" s="1">
        <v>38386</v>
      </c>
      <c r="C1644" t="s">
        <v>48</v>
      </c>
      <c r="D1644" s="3" t="s">
        <v>49</v>
      </c>
      <c r="E1644" s="2">
        <v>46006</v>
      </c>
      <c r="F1644" t="s">
        <v>149</v>
      </c>
      <c r="G1644" s="3" t="s">
        <v>150</v>
      </c>
      <c r="H1644" s="3">
        <v>3645</v>
      </c>
      <c r="I1644" s="3">
        <v>3645</v>
      </c>
      <c r="J1644">
        <v>0</v>
      </c>
      <c r="K1644" s="3">
        <v>3645</v>
      </c>
      <c r="L1644" s="3">
        <v>591.5</v>
      </c>
      <c r="M1644" s="3">
        <v>264.99</v>
      </c>
      <c r="N1644" t="s">
        <v>52</v>
      </c>
      <c r="O1644" t="s">
        <v>53</v>
      </c>
      <c r="P1644" t="s">
        <v>53</v>
      </c>
      <c r="Q1644" t="s">
        <v>53</v>
      </c>
      <c r="R1644" t="s">
        <v>54</v>
      </c>
      <c r="S1644" t="s">
        <v>54</v>
      </c>
      <c r="T1644" t="s">
        <v>55</v>
      </c>
      <c r="U1644">
        <v>126</v>
      </c>
      <c r="V1644" t="s">
        <v>56</v>
      </c>
      <c r="W1644" t="s">
        <v>151</v>
      </c>
      <c r="X1644" s="4">
        <v>0</v>
      </c>
      <c r="Y1644" t="s">
        <v>58</v>
      </c>
      <c r="Z1644" s="3">
        <v>591.5</v>
      </c>
      <c r="AA1644" s="3">
        <v>0</v>
      </c>
      <c r="AB1644" s="3">
        <v>0</v>
      </c>
      <c r="AC1644">
        <v>0</v>
      </c>
      <c r="AD1644">
        <v>0</v>
      </c>
      <c r="AE1644" s="3">
        <v>500</v>
      </c>
      <c r="AF1644" t="s">
        <v>54</v>
      </c>
      <c r="AG1644" t="s">
        <v>59</v>
      </c>
      <c r="AI1644" t="s">
        <v>73</v>
      </c>
      <c r="AJ1644" t="s">
        <v>73</v>
      </c>
      <c r="AK1644" s="5">
        <v>46006.67900462963</v>
      </c>
      <c r="AO1644" t="s">
        <v>54</v>
      </c>
      <c r="AP1644">
        <v>0</v>
      </c>
      <c r="AR1644" t="s">
        <v>54</v>
      </c>
      <c r="AS1644" t="s">
        <v>54</v>
      </c>
      <c r="AT1644">
        <v>4340</v>
      </c>
      <c r="AU1644" t="s">
        <v>55</v>
      </c>
    </row>
    <row r="1645" spans="1:47" hidden="1" x14ac:dyDescent="0.25">
      <c r="A1645" t="s">
        <v>47</v>
      </c>
      <c r="B1645" s="1">
        <v>38387</v>
      </c>
      <c r="C1645" t="s">
        <v>48</v>
      </c>
      <c r="D1645" t="s">
        <v>49</v>
      </c>
      <c r="E1645" s="2">
        <v>46007</v>
      </c>
      <c r="F1645" t="s">
        <v>87</v>
      </c>
      <c r="G1645" t="s">
        <v>88</v>
      </c>
      <c r="H1645" s="3">
        <v>3880</v>
      </c>
      <c r="I1645" s="3">
        <v>3880</v>
      </c>
      <c r="J1645">
        <v>0</v>
      </c>
      <c r="K1645" s="3">
        <v>4462</v>
      </c>
      <c r="L1645" s="3">
        <v>495</v>
      </c>
      <c r="M1645" s="3">
        <v>168.23</v>
      </c>
      <c r="N1645" t="s">
        <v>83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9</v>
      </c>
      <c r="V1645" t="s">
        <v>71</v>
      </c>
      <c r="W1645" t="s">
        <v>89</v>
      </c>
      <c r="X1645" s="4">
        <v>0</v>
      </c>
      <c r="Y1645" t="s">
        <v>62</v>
      </c>
      <c r="Z1645" s="3"/>
      <c r="AB1645" s="3"/>
      <c r="AE1645" s="3"/>
      <c r="AK1645" s="5"/>
    </row>
    <row r="1646" spans="1:47" hidden="1" x14ac:dyDescent="0.25">
      <c r="A1646" t="s">
        <v>63</v>
      </c>
      <c r="B1646" s="1">
        <v>132</v>
      </c>
      <c r="C1646">
        <v>0</v>
      </c>
      <c r="D1646" s="3">
        <v>0</v>
      </c>
      <c r="E1646" s="2">
        <v>363</v>
      </c>
      <c r="F1646">
        <v>0</v>
      </c>
      <c r="G1646" s="3">
        <v>3000</v>
      </c>
      <c r="H1646" s="3" t="s">
        <v>54</v>
      </c>
      <c r="I1646" s="3" t="s">
        <v>90</v>
      </c>
      <c r="K1646" s="3" t="s">
        <v>91</v>
      </c>
      <c r="L1646" s="3" t="s">
        <v>91</v>
      </c>
      <c r="M1646" s="3">
        <v>46007.594224537039</v>
      </c>
      <c r="Q1646" t="s">
        <v>54</v>
      </c>
      <c r="R1646">
        <v>0</v>
      </c>
      <c r="T1646" t="s">
        <v>54</v>
      </c>
      <c r="U1646" t="s">
        <v>54</v>
      </c>
      <c r="V1646">
        <v>2291</v>
      </c>
      <c r="W1646" t="s">
        <v>55</v>
      </c>
      <c r="X1646" s="4"/>
      <c r="Z1646" s="3"/>
      <c r="AE1646" s="3"/>
      <c r="AK1646" s="5"/>
    </row>
    <row r="1647" spans="1:47" hidden="1" x14ac:dyDescent="0.25">
      <c r="A1647" t="s">
        <v>47</v>
      </c>
      <c r="B1647" s="1">
        <v>38388</v>
      </c>
      <c r="C1647" t="s">
        <v>48</v>
      </c>
      <c r="D1647" s="3" t="s">
        <v>49</v>
      </c>
      <c r="E1647" s="2">
        <v>46007</v>
      </c>
      <c r="F1647" t="s">
        <v>100</v>
      </c>
      <c r="G1647" s="3" t="s">
        <v>93</v>
      </c>
      <c r="H1647" s="3">
        <v>1940</v>
      </c>
      <c r="I1647" s="3">
        <v>1940</v>
      </c>
      <c r="J1647">
        <v>0</v>
      </c>
      <c r="K1647" s="3">
        <v>2231</v>
      </c>
      <c r="L1647" s="3">
        <v>414</v>
      </c>
      <c r="M1647" s="3">
        <v>144.9</v>
      </c>
      <c r="N1647" t="s">
        <v>83</v>
      </c>
      <c r="O1647" t="s">
        <v>53</v>
      </c>
      <c r="P1647" t="s">
        <v>53</v>
      </c>
      <c r="Q1647" t="s">
        <v>53</v>
      </c>
      <c r="R1647" t="s">
        <v>54</v>
      </c>
      <c r="S1647" t="s">
        <v>54</v>
      </c>
      <c r="T1647" t="s">
        <v>55</v>
      </c>
      <c r="U1647">
        <v>9</v>
      </c>
      <c r="V1647" t="s">
        <v>71</v>
      </c>
      <c r="W1647" t="s">
        <v>101</v>
      </c>
      <c r="X1647" s="4">
        <v>0</v>
      </c>
      <c r="Y1647" t="s">
        <v>58</v>
      </c>
      <c r="Z1647">
        <v>414</v>
      </c>
      <c r="AA1647">
        <v>0</v>
      </c>
      <c r="AB1647" s="3">
        <v>0</v>
      </c>
      <c r="AC1647">
        <v>0</v>
      </c>
      <c r="AD1647" s="3">
        <v>0</v>
      </c>
      <c r="AE1647" s="3">
        <v>2000</v>
      </c>
      <c r="AF1647" t="s">
        <v>54</v>
      </c>
      <c r="AG1647" t="s">
        <v>59</v>
      </c>
      <c r="AH1647" t="s">
        <v>102</v>
      </c>
      <c r="AI1647" t="s">
        <v>91</v>
      </c>
      <c r="AJ1647" t="s">
        <v>91</v>
      </c>
      <c r="AK1647" s="5">
        <v>46007.595277777778</v>
      </c>
      <c r="AO1647" t="s">
        <v>54</v>
      </c>
      <c r="AP1647">
        <v>0</v>
      </c>
      <c r="AR1647" t="s">
        <v>54</v>
      </c>
      <c r="AS1647" t="s">
        <v>54</v>
      </c>
      <c r="AT1647">
        <v>161</v>
      </c>
      <c r="AU1647" t="s">
        <v>55</v>
      </c>
    </row>
    <row r="1648" spans="1:47" hidden="1" x14ac:dyDescent="0.25">
      <c r="A1648" t="s">
        <v>81</v>
      </c>
      <c r="B1648" s="1">
        <v>38389</v>
      </c>
      <c r="C1648" t="s">
        <v>48</v>
      </c>
      <c r="D1648" t="s">
        <v>49</v>
      </c>
      <c r="E1648" s="2">
        <v>46007</v>
      </c>
      <c r="F1648" t="s">
        <v>138</v>
      </c>
      <c r="G1648" t="s">
        <v>139</v>
      </c>
      <c r="H1648" s="3">
        <v>8096.5</v>
      </c>
      <c r="I1648" s="3">
        <v>8096.5</v>
      </c>
      <c r="J1648">
        <v>0</v>
      </c>
      <c r="K1648" s="3">
        <v>8096.5</v>
      </c>
      <c r="L1648" s="3">
        <v>1809.55</v>
      </c>
      <c r="M1648" s="3">
        <v>692.44</v>
      </c>
      <c r="N1648" t="s">
        <v>77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83</v>
      </c>
      <c r="W1648" t="s">
        <v>198</v>
      </c>
      <c r="X1648" s="4">
        <v>0</v>
      </c>
      <c r="Y1648" t="s">
        <v>58</v>
      </c>
      <c r="Z1648" s="3">
        <v>1090</v>
      </c>
      <c r="AA1648">
        <v>0</v>
      </c>
      <c r="AB1648" s="3">
        <v>0</v>
      </c>
      <c r="AC1648">
        <v>0</v>
      </c>
      <c r="AD1648">
        <v>719.55</v>
      </c>
      <c r="AE1648" s="3">
        <v>1700</v>
      </c>
      <c r="AF1648" t="s">
        <v>54</v>
      </c>
      <c r="AG1648" t="s">
        <v>59</v>
      </c>
      <c r="AH1648" t="s">
        <v>102</v>
      </c>
      <c r="AI1648" t="s">
        <v>80</v>
      </c>
      <c r="AJ1648" t="s">
        <v>73</v>
      </c>
      <c r="AK1648" s="5">
        <v>46008.668807870374</v>
      </c>
      <c r="AO1648" t="s">
        <v>54</v>
      </c>
      <c r="AP1648">
        <v>0</v>
      </c>
      <c r="AR1648" t="s">
        <v>54</v>
      </c>
      <c r="AS1648" t="s">
        <v>54</v>
      </c>
      <c r="AT1648">
        <v>3465</v>
      </c>
      <c r="AU1648" t="s">
        <v>55</v>
      </c>
    </row>
    <row r="1649" spans="1:47" hidden="1" x14ac:dyDescent="0.25">
      <c r="A1649" t="s">
        <v>95</v>
      </c>
      <c r="B1649" s="1">
        <v>38390</v>
      </c>
      <c r="C1649" t="s">
        <v>48</v>
      </c>
      <c r="D1649" s="3" t="s">
        <v>49</v>
      </c>
      <c r="E1649" s="2">
        <v>46007</v>
      </c>
      <c r="F1649" t="s">
        <v>159</v>
      </c>
      <c r="G1649" t="s">
        <v>66</v>
      </c>
      <c r="H1649" s="3">
        <v>3530.4</v>
      </c>
      <c r="I1649" s="3">
        <v>3530.4</v>
      </c>
      <c r="J1649">
        <v>0</v>
      </c>
      <c r="K1649" s="3">
        <v>3530.4</v>
      </c>
      <c r="L1649" s="3">
        <v>578.4</v>
      </c>
      <c r="M1649" s="3">
        <v>344.15</v>
      </c>
      <c r="N1649" t="s">
        <v>52</v>
      </c>
      <c r="O1649" t="s">
        <v>53</v>
      </c>
      <c r="P1649" t="s">
        <v>53</v>
      </c>
      <c r="Q1649" t="s">
        <v>53</v>
      </c>
      <c r="R1649" t="s">
        <v>54</v>
      </c>
      <c r="S1649" t="s">
        <v>54</v>
      </c>
      <c r="T1649" t="s">
        <v>55</v>
      </c>
      <c r="U1649">
        <v>126</v>
      </c>
      <c r="V1649" t="s">
        <v>56</v>
      </c>
      <c r="W1649" t="s">
        <v>151</v>
      </c>
      <c r="X1649" s="4">
        <v>0</v>
      </c>
      <c r="Y1649" t="s">
        <v>197</v>
      </c>
      <c r="Z1649">
        <v>0</v>
      </c>
      <c r="AA1649">
        <v>0</v>
      </c>
      <c r="AB1649">
        <v>578.4</v>
      </c>
      <c r="AC1649">
        <v>0</v>
      </c>
      <c r="AD1649">
        <v>0</v>
      </c>
      <c r="AE1649">
        <v>800</v>
      </c>
      <c r="AF1649" t="s">
        <v>54</v>
      </c>
      <c r="AG1649" t="s">
        <v>59</v>
      </c>
      <c r="AH1649" t="s">
        <v>161</v>
      </c>
      <c r="AI1649" t="s">
        <v>60</v>
      </c>
      <c r="AJ1649" t="s">
        <v>91</v>
      </c>
      <c r="AK1649" s="5">
        <v>46009.621180555558</v>
      </c>
      <c r="AO1649" t="s">
        <v>54</v>
      </c>
      <c r="AP1649">
        <v>0</v>
      </c>
      <c r="AR1649" t="s">
        <v>54</v>
      </c>
      <c r="AS1649" t="s">
        <v>54</v>
      </c>
      <c r="AT1649">
        <v>5486</v>
      </c>
      <c r="AU1649" t="s">
        <v>55</v>
      </c>
    </row>
    <row r="1650" spans="1:47" hidden="1" x14ac:dyDescent="0.25">
      <c r="A1650" t="s">
        <v>47</v>
      </c>
      <c r="B1650" s="1">
        <v>38391</v>
      </c>
      <c r="C1650" t="s">
        <v>48</v>
      </c>
      <c r="D1650" t="s">
        <v>49</v>
      </c>
      <c r="E1650" s="2">
        <v>46008</v>
      </c>
      <c r="F1650" t="s">
        <v>100</v>
      </c>
      <c r="G1650" s="3" t="s">
        <v>93</v>
      </c>
      <c r="H1650" s="3">
        <v>3060</v>
      </c>
      <c r="I1650" s="3">
        <v>3060</v>
      </c>
      <c r="J1650">
        <v>0</v>
      </c>
      <c r="K1650" s="3">
        <v>3519</v>
      </c>
      <c r="L1650">
        <v>550</v>
      </c>
      <c r="M1650" s="3">
        <v>192.5</v>
      </c>
      <c r="N1650" t="s">
        <v>83</v>
      </c>
      <c r="O1650" t="s">
        <v>53</v>
      </c>
      <c r="P1650" t="s">
        <v>53</v>
      </c>
      <c r="Q1650" t="s">
        <v>53</v>
      </c>
      <c r="R1650" t="s">
        <v>54</v>
      </c>
      <c r="S1650" t="s">
        <v>54</v>
      </c>
      <c r="T1650" t="s">
        <v>55</v>
      </c>
      <c r="U1650">
        <v>9</v>
      </c>
      <c r="V1650" t="s">
        <v>71</v>
      </c>
      <c r="W1650" t="s">
        <v>101</v>
      </c>
      <c r="X1650" s="4">
        <v>0</v>
      </c>
      <c r="Y1650" t="s">
        <v>58</v>
      </c>
      <c r="Z1650">
        <v>550</v>
      </c>
      <c r="AA1650">
        <v>0</v>
      </c>
      <c r="AB1650">
        <v>0</v>
      </c>
      <c r="AC1650">
        <v>0</v>
      </c>
      <c r="AD1650">
        <v>0</v>
      </c>
      <c r="AE1650" s="3">
        <v>2000</v>
      </c>
      <c r="AF1650" t="s">
        <v>54</v>
      </c>
      <c r="AG1650" t="s">
        <v>59</v>
      </c>
      <c r="AH1650" t="s">
        <v>102</v>
      </c>
      <c r="AI1650" t="s">
        <v>73</v>
      </c>
      <c r="AJ1650" t="s">
        <v>73</v>
      </c>
      <c r="AK1650" s="5">
        <v>46008.669166666667</v>
      </c>
      <c r="AO1650" t="s">
        <v>54</v>
      </c>
      <c r="AP1650">
        <v>0</v>
      </c>
      <c r="AR1650" t="s">
        <v>54</v>
      </c>
      <c r="AS1650" t="s">
        <v>54</v>
      </c>
      <c r="AT1650">
        <v>161</v>
      </c>
      <c r="AU1650" t="s">
        <v>55</v>
      </c>
    </row>
    <row r="1651" spans="1:47" hidden="1" x14ac:dyDescent="0.25">
      <c r="A1651" t="s">
        <v>47</v>
      </c>
      <c r="B1651" s="1">
        <v>38392</v>
      </c>
      <c r="C1651" t="s">
        <v>48</v>
      </c>
      <c r="D1651" t="s">
        <v>49</v>
      </c>
      <c r="E1651" s="2">
        <v>46008</v>
      </c>
      <c r="F1651" t="s">
        <v>148</v>
      </c>
      <c r="G1651" t="s">
        <v>66</v>
      </c>
      <c r="H1651" s="3">
        <v>9606</v>
      </c>
      <c r="I1651" s="3">
        <v>9606</v>
      </c>
      <c r="J1651">
        <v>0</v>
      </c>
      <c r="K1651" s="3">
        <v>11046.9</v>
      </c>
      <c r="L1651" s="3">
        <v>1339.2</v>
      </c>
      <c r="M1651" s="3">
        <v>830.3</v>
      </c>
      <c r="N1651" t="s">
        <v>83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9</v>
      </c>
      <c r="V1651" t="s">
        <v>71</v>
      </c>
      <c r="W1651" t="s">
        <v>57</v>
      </c>
      <c r="X1651" s="4">
        <v>0</v>
      </c>
      <c r="Y1651" t="s">
        <v>58</v>
      </c>
      <c r="Z1651" s="3">
        <v>0</v>
      </c>
      <c r="AA1651">
        <v>0</v>
      </c>
      <c r="AB1651" s="3">
        <v>1339.2</v>
      </c>
      <c r="AC1651">
        <v>0</v>
      </c>
      <c r="AD1651" s="3">
        <v>0</v>
      </c>
      <c r="AE1651" s="3">
        <v>600</v>
      </c>
      <c r="AF1651" t="s">
        <v>54</v>
      </c>
      <c r="AG1651" t="s">
        <v>59</v>
      </c>
      <c r="AI1651" t="s">
        <v>73</v>
      </c>
      <c r="AJ1651" t="s">
        <v>73</v>
      </c>
      <c r="AK1651" s="5">
        <v>46008.417245370372</v>
      </c>
      <c r="AO1651" t="s">
        <v>54</v>
      </c>
      <c r="AP1651">
        <v>0</v>
      </c>
      <c r="AR1651" t="s">
        <v>54</v>
      </c>
      <c r="AS1651" t="s">
        <v>54</v>
      </c>
      <c r="AT1651">
        <v>1009</v>
      </c>
      <c r="AU1651" t="s">
        <v>55</v>
      </c>
    </row>
    <row r="1652" spans="1:47" hidden="1" x14ac:dyDescent="0.25">
      <c r="A1652" t="s">
        <v>47</v>
      </c>
      <c r="B1652" s="1">
        <v>38393</v>
      </c>
      <c r="C1652" t="s">
        <v>48</v>
      </c>
      <c r="D1652" t="s">
        <v>49</v>
      </c>
      <c r="E1652" s="2">
        <v>46008</v>
      </c>
      <c r="F1652" t="s">
        <v>254</v>
      </c>
      <c r="G1652" t="s">
        <v>69</v>
      </c>
      <c r="H1652" s="3">
        <v>12648.6</v>
      </c>
      <c r="I1652" s="3">
        <v>12648.6</v>
      </c>
      <c r="J1652">
        <v>0</v>
      </c>
      <c r="K1652" s="3">
        <v>14545.89</v>
      </c>
      <c r="L1652" s="3">
        <v>1395.24</v>
      </c>
      <c r="M1652" s="3">
        <v>791.74</v>
      </c>
      <c r="N1652" t="s">
        <v>77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83</v>
      </c>
      <c r="W1652" t="s">
        <v>113</v>
      </c>
      <c r="X1652" s="4">
        <v>0</v>
      </c>
      <c r="Y1652" t="s">
        <v>62</v>
      </c>
      <c r="Z1652" s="3"/>
      <c r="AB1652" s="3"/>
      <c r="AD1652" s="3"/>
      <c r="AE1652" s="3"/>
      <c r="AK1652" s="5"/>
    </row>
    <row r="1653" spans="1:47" hidden="1" x14ac:dyDescent="0.25">
      <c r="A1653" t="s">
        <v>63</v>
      </c>
      <c r="B1653" s="1">
        <v>0</v>
      </c>
      <c r="C1653">
        <v>0</v>
      </c>
      <c r="D1653" s="3">
        <v>1295</v>
      </c>
      <c r="E1653" s="2">
        <v>0</v>
      </c>
      <c r="F1653">
        <v>100.24</v>
      </c>
      <c r="G1653" s="3">
        <v>1410</v>
      </c>
      <c r="H1653" s="3" t="s">
        <v>54</v>
      </c>
      <c r="I1653" s="3" t="s">
        <v>59</v>
      </c>
      <c r="J1653" t="s">
        <v>79</v>
      </c>
      <c r="K1653" s="3" t="s">
        <v>80</v>
      </c>
      <c r="L1653" s="3" t="s">
        <v>73</v>
      </c>
      <c r="M1653" s="3">
        <v>46008.668958333335</v>
      </c>
      <c r="Q1653" t="s">
        <v>54</v>
      </c>
      <c r="R1653">
        <v>0</v>
      </c>
      <c r="T1653" t="s">
        <v>54</v>
      </c>
      <c r="U1653" t="s">
        <v>54</v>
      </c>
      <c r="V1653">
        <v>1920</v>
      </c>
      <c r="W1653" t="s">
        <v>55</v>
      </c>
      <c r="X1653" s="4"/>
      <c r="Z1653" s="3"/>
      <c r="AB1653" s="3"/>
      <c r="AD1653" s="3"/>
      <c r="AE1653" s="3"/>
      <c r="AK1653" s="5"/>
    </row>
    <row r="1654" spans="1:47" x14ac:dyDescent="0.25">
      <c r="B1654" s="1"/>
      <c r="D1654" s="3"/>
      <c r="E1654" s="2"/>
      <c r="G1654" s="3"/>
      <c r="H1654" s="3"/>
      <c r="I1654" s="3"/>
      <c r="K1654" s="3"/>
      <c r="L1654" s="3"/>
      <c r="X1654" s="4"/>
      <c r="Z1654" s="3"/>
      <c r="AB1654" s="3"/>
      <c r="AE1654" s="3"/>
      <c r="AK1654" s="5"/>
    </row>
    <row r="1655" spans="1:47" x14ac:dyDescent="0.25">
      <c r="B1655" s="1"/>
      <c r="E1655" s="2"/>
      <c r="H1655" s="3"/>
      <c r="I1655" s="3"/>
      <c r="K1655" s="3"/>
      <c r="L1655" s="3"/>
      <c r="X1655" s="4"/>
      <c r="Z1655" s="3"/>
      <c r="AB1655" s="3"/>
      <c r="AE1655" s="3"/>
      <c r="AK1655" s="5"/>
    </row>
    <row r="1656" spans="1:47" x14ac:dyDescent="0.25">
      <c r="B1656" s="1"/>
      <c r="D1656" s="3"/>
      <c r="E1656" s="2"/>
      <c r="G1656" s="3"/>
      <c r="H1656" s="3"/>
      <c r="I1656" s="3"/>
      <c r="K1656" s="3"/>
      <c r="L1656" s="3"/>
      <c r="X1656" s="4"/>
      <c r="Z1656" s="3"/>
      <c r="AB1656" s="3"/>
      <c r="AE1656" s="3"/>
      <c r="AK1656" s="5"/>
    </row>
    <row r="1657" spans="1:47" x14ac:dyDescent="0.25">
      <c r="B1657" s="1"/>
      <c r="D1657" s="3"/>
      <c r="E1657" s="2"/>
      <c r="G1657" s="3"/>
      <c r="H1657" s="3"/>
      <c r="I1657" s="3"/>
      <c r="K1657" s="3"/>
      <c r="L1657" s="3"/>
      <c r="X1657" s="4"/>
      <c r="AB1657" s="3"/>
      <c r="AK1657" s="5"/>
    </row>
    <row r="1658" spans="1:47" x14ac:dyDescent="0.25">
      <c r="B1658" s="1"/>
      <c r="E1658" s="2"/>
      <c r="G1658" s="3"/>
      <c r="H1658" s="3"/>
      <c r="I1658" s="3"/>
      <c r="K1658" s="3"/>
      <c r="L1658" s="3"/>
      <c r="X1658" s="4"/>
      <c r="Z1658" s="3"/>
      <c r="AB1658" s="3"/>
      <c r="AE1658" s="3"/>
      <c r="AK1658" s="5"/>
    </row>
    <row r="1659" spans="1:47" x14ac:dyDescent="0.25">
      <c r="B1659" s="1"/>
      <c r="E1659" s="2"/>
      <c r="H1659" s="3"/>
      <c r="I1659" s="3"/>
      <c r="K1659" s="3"/>
      <c r="L1659" s="3"/>
      <c r="X1659" s="4"/>
      <c r="AB1659" s="3"/>
      <c r="AD1659" s="3"/>
      <c r="AE1659" s="3"/>
      <c r="AK1659" s="5"/>
    </row>
    <row r="1660" spans="1:47" x14ac:dyDescent="0.25">
      <c r="B1660" s="1"/>
      <c r="E1660" s="2"/>
      <c r="H1660" s="3"/>
      <c r="I1660" s="3"/>
      <c r="K1660" s="3"/>
      <c r="L1660" s="3"/>
      <c r="X1660" s="4"/>
      <c r="AK1660" s="5"/>
    </row>
    <row r="1661" spans="1:47" x14ac:dyDescent="0.25">
      <c r="B1661" s="1"/>
      <c r="E1661" s="2"/>
      <c r="G1661" s="3"/>
      <c r="H1661" s="3"/>
      <c r="I1661" s="3"/>
      <c r="K1661" s="3"/>
      <c r="L1661" s="3"/>
      <c r="X1661" s="4"/>
      <c r="Z1661" s="3"/>
      <c r="AD1661" s="3"/>
      <c r="AE1661" s="3"/>
      <c r="AK1661" s="5"/>
    </row>
    <row r="1662" spans="1:47" x14ac:dyDescent="0.25">
      <c r="B1662" s="1"/>
      <c r="E1662" s="2"/>
      <c r="H1662" s="3"/>
      <c r="I1662" s="3"/>
      <c r="K1662" s="3"/>
      <c r="L1662" s="3"/>
      <c r="X1662" s="4"/>
      <c r="Z1662" s="3"/>
      <c r="AD1662" s="3"/>
      <c r="AE1662" s="3"/>
      <c r="AK1662" s="5"/>
    </row>
    <row r="1663" spans="1:47" x14ac:dyDescent="0.25">
      <c r="B1663" s="1"/>
      <c r="E1663" s="2"/>
      <c r="H1663" s="3"/>
      <c r="I1663" s="3"/>
      <c r="K1663" s="3"/>
      <c r="L1663" s="3"/>
      <c r="X1663" s="4"/>
      <c r="Z1663" s="3"/>
      <c r="AB1663" s="3"/>
      <c r="AD1663" s="3"/>
      <c r="AE1663" s="3"/>
      <c r="AK1663" s="5"/>
    </row>
    <row r="1664" spans="1:47" x14ac:dyDescent="0.25">
      <c r="B1664" s="1"/>
      <c r="E1664" s="2"/>
      <c r="H1664" s="3"/>
      <c r="I1664" s="3"/>
      <c r="K1664" s="3"/>
      <c r="L1664" s="3"/>
      <c r="X1664" s="4"/>
      <c r="AB1664" s="3"/>
      <c r="AE1664" s="3"/>
      <c r="AK1664" s="5"/>
    </row>
    <row r="1665" spans="2:37" x14ac:dyDescent="0.25">
      <c r="B1665" s="1"/>
      <c r="E1665" s="2"/>
      <c r="H1665" s="3"/>
      <c r="I1665" s="3"/>
      <c r="K1665" s="3"/>
      <c r="L1665" s="3"/>
      <c r="X1665" s="4"/>
      <c r="AB1665" s="3"/>
      <c r="AE1665" s="3"/>
      <c r="AK1665" s="5"/>
    </row>
    <row r="1666" spans="2:37" x14ac:dyDescent="0.25">
      <c r="B1666" s="1"/>
      <c r="E1666" s="2"/>
      <c r="G1666" s="3"/>
      <c r="H1666" s="3"/>
      <c r="I1666" s="3"/>
      <c r="K1666" s="3"/>
      <c r="L1666" s="3"/>
      <c r="X1666" s="4"/>
      <c r="AB1666" s="3"/>
      <c r="AE1666" s="3"/>
      <c r="AK1666" s="5"/>
    </row>
    <row r="1667" spans="2:37" x14ac:dyDescent="0.25">
      <c r="B1667" s="1"/>
      <c r="E1667" s="2"/>
      <c r="H1667" s="3"/>
      <c r="I1667" s="3"/>
      <c r="K1667" s="3"/>
      <c r="L1667" s="3"/>
      <c r="X1667" s="4"/>
      <c r="AB1667" s="3"/>
      <c r="AD1667" s="3"/>
      <c r="AE1667" s="3"/>
      <c r="AK1667" s="5"/>
    </row>
    <row r="1668" spans="2:37" x14ac:dyDescent="0.25">
      <c r="B1668" s="1"/>
      <c r="E1668" s="2"/>
      <c r="H1668" s="3"/>
      <c r="I1668" s="3"/>
      <c r="K1668" s="3"/>
      <c r="L1668" s="3"/>
      <c r="X1668" s="4"/>
      <c r="Z1668" s="3"/>
      <c r="AB1668" s="3"/>
      <c r="AD1668" s="3"/>
      <c r="AE1668" s="3"/>
      <c r="AK1668" s="5"/>
    </row>
    <row r="1669" spans="2:37" x14ac:dyDescent="0.25">
      <c r="B1669" s="1"/>
      <c r="E1669" s="2"/>
      <c r="H1669" s="3"/>
      <c r="I1669" s="3"/>
      <c r="K1669" s="3"/>
      <c r="L1669" s="3"/>
      <c r="X1669" s="4"/>
      <c r="Z1669" s="3"/>
      <c r="AD1669" s="3"/>
      <c r="AE1669" s="3"/>
      <c r="AK1669" s="5"/>
    </row>
    <row r="1670" spans="2:37" x14ac:dyDescent="0.25">
      <c r="B1670" s="1"/>
      <c r="E1670" s="2"/>
      <c r="H1670" s="3"/>
      <c r="I1670" s="3"/>
      <c r="K1670" s="3"/>
      <c r="L1670" s="3"/>
      <c r="X1670" s="4"/>
      <c r="AD1670" s="3"/>
      <c r="AE1670" s="3"/>
      <c r="AK1670" s="5"/>
    </row>
    <row r="1671" spans="2:37" x14ac:dyDescent="0.25">
      <c r="B1671" s="1"/>
      <c r="E1671" s="2"/>
      <c r="H1671" s="3"/>
      <c r="I1671" s="3"/>
      <c r="K1671" s="3"/>
      <c r="L1671" s="3"/>
      <c r="X1671" s="4"/>
      <c r="Z1671" s="3"/>
      <c r="AD1671" s="3"/>
      <c r="AE1671" s="3"/>
      <c r="AK1671" s="5"/>
    </row>
    <row r="1672" spans="2:37" x14ac:dyDescent="0.25">
      <c r="B1672" s="1"/>
      <c r="E1672" s="2"/>
      <c r="H1672" s="3"/>
      <c r="I1672" s="3"/>
      <c r="K1672" s="3"/>
      <c r="L1672" s="3"/>
      <c r="X1672" s="4"/>
      <c r="Z1672" s="3"/>
      <c r="AD1672" s="3"/>
      <c r="AE1672" s="3"/>
      <c r="AK1672" s="5"/>
    </row>
    <row r="1673" spans="2:37" x14ac:dyDescent="0.25">
      <c r="B1673" s="1"/>
      <c r="E1673" s="2"/>
      <c r="G1673" s="3"/>
      <c r="H1673" s="3"/>
      <c r="I1673" s="3"/>
      <c r="K1673" s="3"/>
      <c r="L1673" s="3"/>
      <c r="X1673" s="4"/>
      <c r="Z1673" s="3"/>
      <c r="AD1673" s="3"/>
      <c r="AE1673" s="3"/>
      <c r="AK1673" s="5"/>
    </row>
    <row r="1674" spans="2:37" x14ac:dyDescent="0.25">
      <c r="B1674" s="1"/>
      <c r="E1674" s="2"/>
      <c r="G1674" s="3"/>
      <c r="H1674" s="3"/>
      <c r="I1674" s="3"/>
      <c r="K1674" s="3"/>
      <c r="L1674" s="3"/>
      <c r="X1674" s="4"/>
      <c r="AD1674" s="3"/>
      <c r="AE1674" s="3"/>
      <c r="AK1674" s="5"/>
    </row>
    <row r="1675" spans="2:37" x14ac:dyDescent="0.25">
      <c r="B1675" s="1"/>
      <c r="E1675" s="2"/>
      <c r="F1675" s="3"/>
      <c r="G1675" s="3"/>
      <c r="H1675" s="3"/>
      <c r="I1675" s="3"/>
      <c r="K1675" s="3"/>
      <c r="L1675" s="3"/>
      <c r="X1675" s="4"/>
      <c r="AE1675" s="3"/>
      <c r="AK1675" s="5"/>
    </row>
    <row r="1676" spans="2:37" x14ac:dyDescent="0.25">
      <c r="B1676" s="1"/>
      <c r="E1676" s="2"/>
      <c r="F1676" s="3"/>
      <c r="G1676" s="3"/>
      <c r="H1676" s="3"/>
      <c r="I1676" s="3"/>
      <c r="K1676" s="3"/>
      <c r="L1676" s="3"/>
      <c r="X1676" s="4"/>
      <c r="AD1676" s="3"/>
      <c r="AE1676" s="3"/>
      <c r="AK1676" s="5"/>
    </row>
    <row r="1677" spans="2:37" x14ac:dyDescent="0.25">
      <c r="B1677" s="1"/>
      <c r="E1677" s="2"/>
      <c r="H1677" s="3"/>
      <c r="I1677" s="3"/>
      <c r="K1677" s="3"/>
      <c r="L1677" s="3"/>
      <c r="X1677" s="4"/>
      <c r="AB1677" s="3"/>
      <c r="AD1677" s="3"/>
      <c r="AE1677" s="3"/>
      <c r="AK1677" s="5"/>
    </row>
    <row r="1678" spans="2:37" x14ac:dyDescent="0.25">
      <c r="B1678" s="1"/>
      <c r="E1678" s="2"/>
      <c r="F1678" s="3"/>
      <c r="G1678" s="3"/>
      <c r="H1678" s="3"/>
      <c r="I1678" s="3"/>
      <c r="K1678" s="3"/>
      <c r="L1678" s="3"/>
      <c r="X1678" s="4"/>
      <c r="Z1678" s="3"/>
      <c r="AB1678" s="3"/>
      <c r="AD1678" s="3"/>
      <c r="AE1678" s="3"/>
      <c r="AK1678" s="5"/>
    </row>
    <row r="1679" spans="2:37" x14ac:dyDescent="0.25">
      <c r="B1679" s="1"/>
      <c r="E1679" s="2"/>
      <c r="H1679" s="3"/>
      <c r="I1679" s="3"/>
      <c r="K1679" s="3"/>
      <c r="L1679" s="3"/>
      <c r="X1679" s="4"/>
      <c r="Z1679" s="3"/>
      <c r="AD1679" s="3"/>
      <c r="AE1679" s="3"/>
      <c r="AK1679" s="5"/>
    </row>
    <row r="1680" spans="2:37" x14ac:dyDescent="0.25">
      <c r="B1680" s="1"/>
      <c r="D1680" s="3"/>
      <c r="E1680" s="2"/>
      <c r="H1680" s="3"/>
      <c r="I1680" s="3"/>
      <c r="K1680" s="3"/>
      <c r="L1680" s="3"/>
      <c r="X1680" s="4"/>
      <c r="Z1680" s="3"/>
      <c r="AB1680" s="3"/>
      <c r="AD1680" s="3"/>
      <c r="AE1680" s="3"/>
      <c r="AK1680" s="5"/>
    </row>
    <row r="1681" spans="2:37" x14ac:dyDescent="0.25">
      <c r="B1681" s="1"/>
      <c r="E1681" s="2"/>
      <c r="H1681" s="3"/>
      <c r="I1681" s="3"/>
      <c r="K1681" s="3"/>
      <c r="L1681" s="3"/>
      <c r="X1681" s="4"/>
      <c r="AD1681" s="3"/>
      <c r="AE1681" s="3"/>
      <c r="AK1681" s="5"/>
    </row>
    <row r="1682" spans="2:37" x14ac:dyDescent="0.25">
      <c r="B1682" s="1"/>
      <c r="E1682" s="2"/>
      <c r="F1682" s="3"/>
      <c r="G1682" s="3"/>
      <c r="H1682" s="3"/>
      <c r="I1682" s="3"/>
      <c r="K1682" s="3"/>
      <c r="L1682" s="3"/>
      <c r="X1682" s="4"/>
      <c r="AD1682" s="3"/>
      <c r="AE1682" s="3"/>
      <c r="AK1682" s="5"/>
    </row>
    <row r="1683" spans="2:37" x14ac:dyDescent="0.25">
      <c r="B1683" s="1"/>
      <c r="E1683" s="2"/>
      <c r="G1683" s="3"/>
      <c r="H1683" s="3"/>
      <c r="I1683" s="3"/>
      <c r="K1683" s="3"/>
      <c r="L1683" s="3"/>
      <c r="X1683" s="4"/>
      <c r="AB1683" s="3"/>
      <c r="AD1683" s="3"/>
      <c r="AE1683" s="3"/>
      <c r="AK1683" s="5"/>
    </row>
    <row r="1684" spans="2:37" x14ac:dyDescent="0.25">
      <c r="B1684" s="3"/>
      <c r="E1684" s="2"/>
      <c r="F1684" s="3"/>
      <c r="G1684" s="3"/>
      <c r="H1684" s="3"/>
      <c r="I1684" s="3"/>
      <c r="K1684" s="3"/>
      <c r="L1684" s="3"/>
      <c r="X1684" s="4"/>
      <c r="AB1684" s="3"/>
      <c r="AD1684" s="3"/>
      <c r="AE1684" s="3"/>
      <c r="AK1684" s="5"/>
    </row>
    <row r="1685" spans="2:37" x14ac:dyDescent="0.25">
      <c r="B1685" s="1"/>
      <c r="E1685" s="2"/>
      <c r="H1685" s="3"/>
      <c r="I1685" s="3"/>
      <c r="K1685" s="3"/>
      <c r="L1685" s="3"/>
      <c r="X1685" s="4"/>
      <c r="AE1685" s="3"/>
      <c r="AK1685" s="5"/>
    </row>
    <row r="1686" spans="2:37" x14ac:dyDescent="0.25">
      <c r="B1686" s="1"/>
      <c r="D1686" s="3"/>
      <c r="E1686" s="2"/>
      <c r="G1686" s="3"/>
      <c r="H1686" s="3"/>
      <c r="I1686" s="3"/>
      <c r="K1686" s="3"/>
      <c r="L1686" s="3"/>
      <c r="X1686" s="4"/>
      <c r="AA1686" s="3"/>
      <c r="AD1686" s="3"/>
      <c r="AE1686" s="3"/>
      <c r="AK1686" s="5"/>
    </row>
    <row r="1687" spans="2:37" x14ac:dyDescent="0.25">
      <c r="B1687" s="1"/>
      <c r="E1687" s="2"/>
      <c r="H1687" s="3"/>
      <c r="I1687" s="3"/>
      <c r="K1687" s="3"/>
      <c r="L1687" s="3"/>
      <c r="X1687" s="4"/>
      <c r="Z1687" s="3"/>
      <c r="AD1687" s="3"/>
      <c r="AE1687" s="3"/>
      <c r="AK1687" s="5"/>
    </row>
    <row r="1688" spans="2:37" x14ac:dyDescent="0.25">
      <c r="B1688" s="1"/>
      <c r="E1688" s="2"/>
      <c r="H1688" s="3"/>
      <c r="I1688" s="3"/>
      <c r="K1688" s="3"/>
      <c r="L1688" s="3"/>
      <c r="X1688" s="4"/>
      <c r="Z1688" s="3"/>
      <c r="AD1688" s="3"/>
      <c r="AE1688" s="3"/>
      <c r="AK1688" s="5"/>
    </row>
    <row r="1689" spans="2:37" x14ac:dyDescent="0.25">
      <c r="B1689" s="1"/>
      <c r="E1689" s="2"/>
      <c r="H1689" s="3"/>
      <c r="I1689" s="3"/>
      <c r="K1689" s="3"/>
      <c r="L1689" s="3"/>
      <c r="X1689" s="4"/>
      <c r="AD1689" s="3"/>
      <c r="AE1689" s="3"/>
      <c r="AK1689" s="5"/>
    </row>
    <row r="1690" spans="2:37" x14ac:dyDescent="0.25">
      <c r="B1690" s="1"/>
      <c r="E1690" s="2"/>
      <c r="G1690" s="3"/>
      <c r="H1690" s="3"/>
      <c r="I1690" s="3"/>
      <c r="K1690" s="3"/>
      <c r="L1690" s="3"/>
      <c r="X1690" s="4"/>
      <c r="AD1690" s="3"/>
      <c r="AE1690" s="3"/>
      <c r="AK1690" s="5"/>
    </row>
    <row r="1691" spans="2:37" x14ac:dyDescent="0.25">
      <c r="B1691" s="1"/>
      <c r="E1691" s="2"/>
      <c r="H1691" s="3"/>
      <c r="I1691" s="3"/>
      <c r="K1691" s="3"/>
      <c r="L1691" s="3"/>
      <c r="X1691" s="4"/>
      <c r="AD1691" s="3"/>
      <c r="AE1691" s="3"/>
      <c r="AK1691" s="5"/>
    </row>
    <row r="1692" spans="2:37" x14ac:dyDescent="0.25">
      <c r="B1692" s="1"/>
      <c r="D1692" s="3"/>
      <c r="E1692" s="2"/>
      <c r="G1692" s="3"/>
      <c r="H1692" s="3"/>
      <c r="I1692" s="3"/>
      <c r="K1692" s="3"/>
      <c r="L1692" s="3"/>
      <c r="X1692" s="4"/>
      <c r="AD1692" s="3"/>
      <c r="AE1692" s="3"/>
      <c r="AK1692" s="5"/>
    </row>
    <row r="1693" spans="2:37" x14ac:dyDescent="0.25">
      <c r="B1693" s="1"/>
      <c r="E1693" s="2"/>
      <c r="G1693" s="3"/>
      <c r="H1693" s="3"/>
      <c r="I1693" s="3"/>
      <c r="K1693" s="3"/>
      <c r="L1693" s="3"/>
      <c r="X1693" s="4"/>
      <c r="AA1693" s="3"/>
      <c r="AB1693" s="3"/>
      <c r="AD1693" s="3"/>
      <c r="AE1693" s="3"/>
      <c r="AK1693" s="5"/>
    </row>
    <row r="1694" spans="2:37" x14ac:dyDescent="0.25">
      <c r="B1694" s="1"/>
      <c r="E1694" s="2"/>
      <c r="G1694" s="3"/>
      <c r="H1694" s="3"/>
      <c r="I1694" s="3"/>
      <c r="K1694" s="3"/>
      <c r="L1694" s="3"/>
      <c r="X1694" s="4"/>
      <c r="AB1694" s="3"/>
      <c r="AD1694" s="3"/>
      <c r="AE1694" s="3"/>
      <c r="AK1694" s="5"/>
    </row>
    <row r="1695" spans="2:37" x14ac:dyDescent="0.25">
      <c r="B1695" s="1"/>
      <c r="E1695" s="2"/>
      <c r="H1695" s="3"/>
      <c r="I1695" s="3"/>
      <c r="K1695" s="3"/>
      <c r="L1695" s="3"/>
      <c r="X1695" s="4"/>
      <c r="Z1695" s="3"/>
      <c r="AD1695" s="3"/>
      <c r="AE1695" s="3"/>
      <c r="AK1695" s="5"/>
    </row>
    <row r="1696" spans="2:37" x14ac:dyDescent="0.25">
      <c r="B1696" s="1"/>
      <c r="E1696" s="2"/>
      <c r="H1696" s="3"/>
      <c r="I1696" s="3"/>
      <c r="K1696" s="3"/>
      <c r="L1696" s="3"/>
      <c r="X1696" s="4"/>
      <c r="Z1696" s="3"/>
      <c r="AE1696" s="3"/>
      <c r="AK1696" s="5"/>
    </row>
    <row r="1697" spans="2:37" x14ac:dyDescent="0.25">
      <c r="B1697" s="1"/>
      <c r="E1697" s="2"/>
      <c r="G1697" s="3"/>
      <c r="H1697" s="3"/>
      <c r="I1697" s="3"/>
      <c r="K1697" s="3"/>
      <c r="L1697" s="3"/>
      <c r="X1697" s="4"/>
      <c r="AK1697" s="5"/>
    </row>
    <row r="1698" spans="2:37" x14ac:dyDescent="0.25">
      <c r="B1698" s="1"/>
      <c r="D1698" s="3"/>
      <c r="E1698" s="2"/>
      <c r="G1698" s="3"/>
      <c r="H1698" s="3"/>
      <c r="I1698" s="3"/>
      <c r="K1698" s="3"/>
      <c r="L1698" s="3"/>
      <c r="X1698" s="4"/>
      <c r="AB1698" s="3"/>
      <c r="AE1698" s="3"/>
      <c r="AK1698" s="5"/>
    </row>
    <row r="1699" spans="2:37" x14ac:dyDescent="0.25">
      <c r="B1699" s="1"/>
      <c r="E1699" s="2"/>
      <c r="H1699" s="3"/>
      <c r="I1699" s="3"/>
      <c r="K1699" s="3"/>
      <c r="L1699" s="3"/>
      <c r="X1699" s="4"/>
      <c r="AB1699" s="3"/>
      <c r="AE1699" s="3"/>
      <c r="AK1699" s="5"/>
    </row>
    <row r="1700" spans="2:37" x14ac:dyDescent="0.25">
      <c r="B1700" s="1"/>
      <c r="D1700" s="3"/>
      <c r="E1700" s="2"/>
      <c r="G1700" s="3"/>
      <c r="H1700" s="3"/>
      <c r="I1700" s="3"/>
      <c r="K1700" s="3"/>
      <c r="L1700" s="3"/>
      <c r="X1700" s="4"/>
      <c r="AD1700" s="3"/>
      <c r="AE1700" s="3"/>
      <c r="AK1700" s="5"/>
    </row>
    <row r="1701" spans="2:37" x14ac:dyDescent="0.25">
      <c r="B1701" s="1"/>
      <c r="E1701" s="2"/>
      <c r="G1701" s="3"/>
      <c r="H1701" s="3"/>
      <c r="I1701" s="3"/>
      <c r="K1701" s="3"/>
      <c r="L1701" s="3"/>
      <c r="X1701" s="4"/>
      <c r="AK1701" s="5"/>
    </row>
    <row r="1702" spans="2:37" x14ac:dyDescent="0.25">
      <c r="B1702" s="1"/>
      <c r="E1702" s="2"/>
      <c r="G1702" s="3"/>
      <c r="H1702" s="3"/>
      <c r="I1702" s="3"/>
      <c r="K1702" s="3"/>
      <c r="L1702" s="3"/>
      <c r="X1702" s="4"/>
      <c r="Z1702" s="3"/>
      <c r="AE1702" s="3"/>
      <c r="AK1702" s="5"/>
    </row>
    <row r="1703" spans="2:37" x14ac:dyDescent="0.25">
      <c r="B1703" s="1"/>
      <c r="E1703" s="2"/>
      <c r="H1703" s="3"/>
      <c r="I1703" s="3"/>
      <c r="K1703" s="3"/>
      <c r="L1703" s="3"/>
      <c r="X1703" s="4"/>
      <c r="Z1703" s="3"/>
      <c r="AB1703" s="3"/>
      <c r="AD1703" s="3"/>
      <c r="AE1703" s="3"/>
      <c r="AK1703" s="5"/>
    </row>
    <row r="1704" spans="2:37" x14ac:dyDescent="0.25">
      <c r="B1704" s="1"/>
      <c r="E1704" s="2"/>
      <c r="G1704" s="3"/>
      <c r="H1704" s="3"/>
      <c r="I1704" s="3"/>
      <c r="K1704" s="3"/>
      <c r="L1704" s="3"/>
      <c r="X1704" s="4"/>
      <c r="Z1704" s="3"/>
      <c r="AB1704" s="3"/>
      <c r="AD1704" s="3"/>
      <c r="AE1704" s="3"/>
      <c r="AK1704" s="5"/>
    </row>
    <row r="1705" spans="2:37" x14ac:dyDescent="0.25">
      <c r="B1705" s="3"/>
      <c r="D1705" s="3"/>
      <c r="E1705" s="2"/>
      <c r="G1705" s="3"/>
      <c r="H1705" s="3"/>
      <c r="I1705" s="3"/>
      <c r="K1705" s="3"/>
      <c r="L1705" s="3"/>
      <c r="X1705" s="4"/>
      <c r="Z1705" s="3"/>
      <c r="AD1705" s="3"/>
      <c r="AE1705" s="3"/>
      <c r="AK1705" s="5"/>
    </row>
    <row r="1706" spans="2:37" x14ac:dyDescent="0.25">
      <c r="B1706" s="1"/>
      <c r="E1706" s="2"/>
      <c r="H1706" s="3"/>
      <c r="I1706" s="3"/>
      <c r="K1706" s="3"/>
      <c r="L1706" s="3"/>
      <c r="X1706" s="4"/>
      <c r="Z1706" s="3"/>
      <c r="AD1706" s="3"/>
      <c r="AE1706" s="3"/>
      <c r="AK1706" s="5"/>
    </row>
    <row r="1707" spans="2:37" x14ac:dyDescent="0.25">
      <c r="B1707" s="1"/>
      <c r="E1707" s="2"/>
      <c r="G1707" s="3"/>
      <c r="H1707" s="3"/>
      <c r="I1707" s="3"/>
      <c r="K1707" s="3"/>
      <c r="L1707" s="3"/>
      <c r="X1707" s="4"/>
      <c r="AD1707" s="3"/>
      <c r="AE1707" s="3"/>
      <c r="AK1707" s="5"/>
    </row>
    <row r="1708" spans="2:37" x14ac:dyDescent="0.25">
      <c r="B1708" s="3"/>
      <c r="E1708" s="2"/>
      <c r="G1708" s="3"/>
      <c r="H1708" s="3"/>
      <c r="I1708" s="3"/>
      <c r="K1708" s="3"/>
      <c r="L1708" s="3"/>
      <c r="X1708" s="4"/>
      <c r="AB1708" s="3"/>
      <c r="AD1708" s="3"/>
      <c r="AE1708" s="3"/>
      <c r="AK1708" s="5"/>
    </row>
    <row r="1709" spans="2:37" x14ac:dyDescent="0.25">
      <c r="B1709" s="1"/>
      <c r="E1709" s="2"/>
      <c r="H1709" s="3"/>
      <c r="I1709" s="3"/>
      <c r="K1709" s="3"/>
      <c r="L1709" s="3"/>
      <c r="X1709" s="4"/>
      <c r="AB1709" s="3"/>
      <c r="AD1709" s="3"/>
      <c r="AE1709" s="3"/>
      <c r="AK1709" s="5"/>
    </row>
    <row r="1710" spans="2:37" x14ac:dyDescent="0.25">
      <c r="B1710" s="1"/>
      <c r="E1710" s="2"/>
      <c r="G1710" s="3"/>
      <c r="H1710" s="3"/>
      <c r="I1710" s="3"/>
      <c r="K1710" s="3"/>
      <c r="L1710" s="3"/>
      <c r="X1710" s="4"/>
      <c r="AD1710" s="3"/>
      <c r="AE1710" s="3"/>
      <c r="AK1710" s="5"/>
    </row>
    <row r="1711" spans="2:37" x14ac:dyDescent="0.25">
      <c r="B1711" s="3"/>
      <c r="E1711" s="2"/>
      <c r="G1711" s="3"/>
      <c r="H1711" s="3"/>
      <c r="I1711" s="3"/>
      <c r="K1711" s="3"/>
      <c r="L1711" s="3"/>
      <c r="X1711" s="4"/>
      <c r="AD1711" s="3"/>
      <c r="AE1711" s="3"/>
      <c r="AK1711" s="5"/>
    </row>
    <row r="1712" spans="2:37" x14ac:dyDescent="0.25">
      <c r="B1712" s="1"/>
      <c r="E1712" s="2"/>
      <c r="H1712" s="3"/>
      <c r="I1712" s="3"/>
      <c r="K1712" s="3"/>
      <c r="L1712" s="3"/>
      <c r="X1712" s="4"/>
      <c r="Z1712" s="3"/>
      <c r="AE1712" s="3"/>
      <c r="AK1712" s="5"/>
    </row>
    <row r="1713" spans="2:37" x14ac:dyDescent="0.25">
      <c r="B1713" s="1"/>
      <c r="E1713" s="2"/>
      <c r="H1713" s="3"/>
      <c r="I1713" s="3"/>
      <c r="K1713" s="3"/>
      <c r="L1713" s="3"/>
      <c r="X1713" s="4"/>
      <c r="Z1713" s="3"/>
      <c r="AE1713" s="3"/>
      <c r="AK1713" s="5"/>
    </row>
    <row r="1714" spans="2:37" x14ac:dyDescent="0.25">
      <c r="B1714" s="1"/>
      <c r="D1714" s="3"/>
      <c r="E1714" s="2"/>
      <c r="G1714" s="3"/>
      <c r="H1714" s="3"/>
      <c r="I1714" s="3"/>
      <c r="K1714" s="3"/>
      <c r="L1714" s="3"/>
      <c r="X1714" s="4"/>
      <c r="AK1714" s="5"/>
    </row>
    <row r="1715" spans="2:37" x14ac:dyDescent="0.25">
      <c r="B1715" s="3"/>
      <c r="D1715" s="3"/>
      <c r="E1715" s="2"/>
      <c r="G1715" s="3"/>
      <c r="H1715" s="3"/>
      <c r="I1715" s="3"/>
      <c r="K1715" s="3"/>
      <c r="L1715" s="3"/>
      <c r="X1715" s="4"/>
      <c r="AB1715" s="3"/>
      <c r="AD1715" s="3"/>
      <c r="AE1715" s="3"/>
      <c r="AK1715" s="5"/>
    </row>
    <row r="1716" spans="2:37" x14ac:dyDescent="0.25">
      <c r="B1716" s="1"/>
      <c r="D1716" s="3"/>
      <c r="E1716" s="2"/>
      <c r="G1716" s="3"/>
      <c r="H1716" s="3"/>
      <c r="I1716" s="3"/>
      <c r="K1716" s="3"/>
      <c r="L1716" s="3"/>
      <c r="X1716" s="4"/>
      <c r="AD1716" s="3"/>
      <c r="AE1716" s="3"/>
      <c r="AK1716" s="5"/>
    </row>
    <row r="1717" spans="2:37" x14ac:dyDescent="0.25">
      <c r="B1717" s="1"/>
      <c r="D1717" s="3"/>
      <c r="E1717" s="2"/>
      <c r="G1717" s="3"/>
      <c r="H1717" s="3"/>
      <c r="I1717" s="3"/>
      <c r="K1717" s="3"/>
      <c r="L1717" s="3"/>
      <c r="X1717" s="4"/>
      <c r="AD1717" s="3"/>
      <c r="AE1717" s="3"/>
      <c r="AK1717" s="5"/>
    </row>
    <row r="1718" spans="2:37" x14ac:dyDescent="0.25">
      <c r="B1718" s="1"/>
      <c r="D1718" s="3"/>
      <c r="E1718" s="2"/>
      <c r="G1718" s="3"/>
      <c r="H1718" s="3"/>
      <c r="I1718" s="3"/>
      <c r="K1718" s="3"/>
      <c r="L1718" s="3"/>
      <c r="X1718" s="4"/>
      <c r="Z1718" s="3"/>
      <c r="AB1718" s="3"/>
      <c r="AD1718" s="3"/>
      <c r="AE1718" s="3"/>
      <c r="AK1718" s="5"/>
    </row>
    <row r="1719" spans="2:37" x14ac:dyDescent="0.25">
      <c r="B1719" s="1"/>
      <c r="D1719" s="3"/>
      <c r="E1719" s="2"/>
      <c r="G1719" s="3"/>
      <c r="H1719" s="3"/>
      <c r="I1719" s="3"/>
      <c r="K1719" s="3"/>
      <c r="L1719" s="3"/>
      <c r="X1719" s="4"/>
      <c r="Z1719" s="3"/>
      <c r="AB1719" s="3"/>
      <c r="AD1719" s="3"/>
      <c r="AE1719" s="3"/>
      <c r="AK1719" s="5"/>
    </row>
    <row r="1720" spans="2:37" x14ac:dyDescent="0.25">
      <c r="B1720" s="1"/>
      <c r="D1720" s="3"/>
      <c r="E1720" s="2"/>
      <c r="G1720" s="3"/>
      <c r="H1720" s="3"/>
      <c r="I1720" s="3"/>
      <c r="K1720" s="3"/>
      <c r="L1720" s="3"/>
      <c r="X1720" s="4"/>
      <c r="AB1720" s="3"/>
      <c r="AD1720" s="3"/>
      <c r="AE1720" s="3"/>
      <c r="AK1720" s="5"/>
    </row>
    <row r="1721" spans="2:37" x14ac:dyDescent="0.25">
      <c r="B1721" s="1"/>
      <c r="D1721" s="3"/>
      <c r="E1721" s="2"/>
      <c r="G1721" s="3"/>
      <c r="H1721" s="3"/>
      <c r="I1721" s="3"/>
      <c r="K1721" s="3"/>
      <c r="L1721" s="3"/>
      <c r="X1721" s="4"/>
      <c r="AD1721" s="3"/>
      <c r="AE1721" s="3"/>
      <c r="AK1721" s="5"/>
    </row>
    <row r="1722" spans="2:37" x14ac:dyDescent="0.25">
      <c r="B1722" s="1"/>
      <c r="E1722" s="2"/>
      <c r="G1722" s="3"/>
      <c r="H1722" s="3"/>
      <c r="I1722" s="3"/>
      <c r="K1722" s="3"/>
      <c r="L1722" s="3"/>
      <c r="X1722" s="4"/>
    </row>
    <row r="1723" spans="2:37" x14ac:dyDescent="0.25">
      <c r="B1723" s="3"/>
      <c r="E1723" s="2"/>
      <c r="G1723" s="3"/>
      <c r="H1723" s="3"/>
      <c r="I1723" s="3"/>
      <c r="K1723" s="3"/>
      <c r="L1723" s="3"/>
      <c r="X1723" s="4"/>
    </row>
    <row r="1724" spans="2:37" x14ac:dyDescent="0.25">
      <c r="B1724" s="1"/>
      <c r="D1724" s="3"/>
      <c r="E1724" s="2"/>
      <c r="G1724" s="3"/>
      <c r="H1724" s="3"/>
      <c r="I1724" s="3"/>
      <c r="K1724" s="3"/>
      <c r="L1724" s="3"/>
      <c r="X1724" s="4"/>
    </row>
    <row r="1725" spans="2:37" x14ac:dyDescent="0.25">
      <c r="B1725" s="3"/>
      <c r="D1725" s="3"/>
      <c r="E1725" s="2"/>
      <c r="G1725" s="3"/>
      <c r="H1725" s="3"/>
      <c r="I1725" s="3"/>
      <c r="K1725" s="3"/>
      <c r="L1725" s="3"/>
      <c r="X1725" s="4"/>
      <c r="AK1725" s="5"/>
    </row>
    <row r="1726" spans="2:37" x14ac:dyDescent="0.25">
      <c r="B1726" s="1"/>
      <c r="D1726" s="3"/>
      <c r="E1726" s="2"/>
      <c r="G1726" s="3"/>
      <c r="H1726" s="3"/>
      <c r="I1726" s="3"/>
      <c r="K1726" s="3"/>
      <c r="L1726" s="3"/>
      <c r="X1726" s="4"/>
      <c r="AD1726" s="3"/>
      <c r="AE1726" s="3"/>
      <c r="AK1726" s="5"/>
    </row>
    <row r="1727" spans="2:37" x14ac:dyDescent="0.25">
      <c r="B1727" s="3"/>
      <c r="D1727" s="3"/>
      <c r="E1727" s="2"/>
      <c r="G1727" s="3"/>
      <c r="H1727" s="3"/>
      <c r="I1727" s="3"/>
      <c r="K1727" s="3"/>
      <c r="L1727" s="3"/>
      <c r="X1727" s="4"/>
      <c r="AK1727" s="5"/>
    </row>
    <row r="1728" spans="2:37" x14ac:dyDescent="0.25">
      <c r="B1728" s="1"/>
      <c r="D1728" s="3"/>
      <c r="E1728" s="2"/>
      <c r="F1728" s="3"/>
      <c r="G1728" s="3"/>
      <c r="H1728" s="3"/>
      <c r="I1728" s="3"/>
      <c r="K1728" s="3"/>
      <c r="L1728" s="3"/>
      <c r="X1728" s="4"/>
      <c r="AB1728" s="3"/>
      <c r="AE1728" s="3"/>
      <c r="AK1728" s="5"/>
    </row>
    <row r="1729" spans="2:37" x14ac:dyDescent="0.25">
      <c r="B1729" s="1"/>
      <c r="D1729" s="3"/>
      <c r="E1729" s="2"/>
      <c r="F1729" s="3"/>
      <c r="G1729" s="3"/>
      <c r="H1729" s="3"/>
      <c r="I1729" s="3"/>
      <c r="K1729" s="3"/>
      <c r="L1729" s="3"/>
      <c r="X1729" s="4"/>
      <c r="AB1729" s="3"/>
      <c r="AD1729" s="3"/>
      <c r="AE1729" s="3"/>
      <c r="AK1729" s="5"/>
    </row>
    <row r="1730" spans="2:37" x14ac:dyDescent="0.25">
      <c r="B1730" s="1"/>
      <c r="D1730" s="3"/>
      <c r="E1730" s="2"/>
      <c r="G1730" s="3"/>
      <c r="H1730" s="3"/>
      <c r="I1730" s="3"/>
      <c r="K1730" s="3"/>
      <c r="L1730" s="3"/>
      <c r="X1730" s="4"/>
      <c r="AB1730" s="3"/>
      <c r="AE1730" s="3"/>
      <c r="AK1730" s="5"/>
    </row>
    <row r="1731" spans="2:37" x14ac:dyDescent="0.25">
      <c r="B1731" s="1"/>
      <c r="D1731" s="3"/>
      <c r="E1731" s="2"/>
      <c r="F1731" s="3"/>
      <c r="G1731" s="3"/>
      <c r="H1731" s="3"/>
      <c r="I1731" s="3"/>
      <c r="K1731" s="3"/>
      <c r="L1731" s="3"/>
      <c r="X1731" s="4"/>
      <c r="Z1731" s="3"/>
      <c r="AE1731" s="3"/>
      <c r="AK1731" s="5"/>
    </row>
    <row r="1732" spans="2:37" x14ac:dyDescent="0.25">
      <c r="B1732" s="1"/>
      <c r="E1732" s="2"/>
      <c r="G1732" s="3"/>
      <c r="H1732" s="3"/>
      <c r="I1732" s="3"/>
      <c r="K1732" s="3"/>
      <c r="L1732" s="3"/>
      <c r="X1732" s="4"/>
      <c r="Z1732" s="3"/>
      <c r="AE1732" s="3"/>
      <c r="AK1732" s="5"/>
    </row>
    <row r="1733" spans="2:37" x14ac:dyDescent="0.25">
      <c r="B1733" s="1"/>
      <c r="E1733" s="2"/>
      <c r="G1733" s="3"/>
      <c r="H1733" s="3"/>
      <c r="I1733" s="3"/>
      <c r="K1733" s="3"/>
      <c r="X1733" s="4"/>
    </row>
    <row r="1734" spans="2:37" x14ac:dyDescent="0.25">
      <c r="B1734" s="1"/>
      <c r="E1734" s="2"/>
      <c r="G1734" s="3"/>
      <c r="H1734" s="3"/>
      <c r="I1734" s="3"/>
      <c r="K1734" s="3"/>
      <c r="L1734" s="3"/>
      <c r="X1734" s="4"/>
    </row>
    <row r="1735" spans="2:37" x14ac:dyDescent="0.25">
      <c r="B1735" s="1"/>
      <c r="E1735" s="2"/>
      <c r="G1735" s="3"/>
      <c r="H1735" s="3"/>
      <c r="I1735" s="3"/>
      <c r="K1735" s="3"/>
      <c r="L1735" s="3"/>
      <c r="X1735" s="4"/>
      <c r="AK1735" s="5"/>
    </row>
    <row r="1736" spans="2:37" x14ac:dyDescent="0.25">
      <c r="B1736" s="1"/>
      <c r="E1736" s="2"/>
      <c r="G1736" s="3"/>
      <c r="H1736" s="3"/>
      <c r="I1736" s="3"/>
      <c r="K1736" s="3"/>
      <c r="L1736" s="3"/>
      <c r="X1736" s="4"/>
      <c r="Z1736" s="3"/>
      <c r="AB1736" s="3"/>
      <c r="AE1736" s="3"/>
      <c r="AK1736" s="5"/>
    </row>
    <row r="1737" spans="2:37" x14ac:dyDescent="0.25">
      <c r="B1737" s="1"/>
      <c r="E1737" s="2"/>
      <c r="H1737" s="3"/>
      <c r="I1737" s="3"/>
      <c r="K1737" s="3"/>
      <c r="L1737" s="3"/>
      <c r="X1737" s="4"/>
      <c r="Z1737" s="3"/>
      <c r="AE1737" s="3"/>
      <c r="AK1737" s="5"/>
    </row>
    <row r="1738" spans="2:37" x14ac:dyDescent="0.25">
      <c r="B1738" s="1"/>
      <c r="E1738" s="2"/>
      <c r="F1738" s="3"/>
      <c r="G1738" s="3"/>
      <c r="H1738" s="3"/>
      <c r="I1738" s="3"/>
      <c r="K1738" s="3"/>
      <c r="L1738" s="3"/>
      <c r="X1738" s="4"/>
      <c r="Z1738" s="3"/>
      <c r="AB1738" s="3"/>
      <c r="AE1738" s="3"/>
      <c r="AK1738" s="5"/>
    </row>
    <row r="1739" spans="2:37" x14ac:dyDescent="0.25">
      <c r="B1739" s="1"/>
      <c r="E1739" s="2"/>
      <c r="F1739" s="3"/>
      <c r="G1739" s="3"/>
      <c r="H1739" s="3"/>
      <c r="I1739" s="3"/>
      <c r="K1739" s="3"/>
      <c r="L1739" s="3"/>
      <c r="X1739" s="4"/>
      <c r="Z1739" s="3"/>
      <c r="AB1739" s="3"/>
      <c r="AE1739" s="3"/>
      <c r="AK1739" s="5"/>
    </row>
    <row r="1740" spans="2:37" x14ac:dyDescent="0.25">
      <c r="B1740" s="1"/>
      <c r="E1740" s="2"/>
      <c r="H1740" s="3"/>
      <c r="I1740" s="3"/>
      <c r="K1740" s="3"/>
      <c r="L1740" s="3"/>
      <c r="X1740" s="4"/>
      <c r="AB1740" s="3"/>
      <c r="AD1740" s="3"/>
      <c r="AE1740" s="3"/>
      <c r="AK1740" s="5"/>
    </row>
    <row r="1741" spans="2:37" x14ac:dyDescent="0.25">
      <c r="B1741" s="1"/>
      <c r="D1741" s="3"/>
      <c r="E1741" s="2"/>
      <c r="G1741" s="3"/>
      <c r="H1741" s="3"/>
      <c r="I1741" s="3"/>
      <c r="K1741" s="3"/>
      <c r="L1741" s="3"/>
      <c r="X1741" s="4"/>
      <c r="Z1741" s="3"/>
      <c r="AD1741" s="3"/>
      <c r="AE1741" s="3"/>
      <c r="AK1741" s="5"/>
    </row>
    <row r="1742" spans="2:37" x14ac:dyDescent="0.25">
      <c r="B1742" s="1"/>
      <c r="E1742" s="2"/>
      <c r="H1742" s="3"/>
      <c r="I1742" s="3"/>
      <c r="K1742" s="3"/>
      <c r="L1742" s="3"/>
      <c r="X1742" s="4"/>
      <c r="Z1742" s="3"/>
      <c r="AE1742" s="3"/>
      <c r="AK1742" s="5"/>
    </row>
    <row r="1743" spans="2:37" x14ac:dyDescent="0.25">
      <c r="B1743" s="1"/>
      <c r="E1743" s="2"/>
      <c r="G1743" s="3"/>
      <c r="H1743" s="3"/>
      <c r="I1743" s="3"/>
      <c r="K1743" s="3"/>
      <c r="X1743" s="4"/>
      <c r="AE1743" s="3"/>
      <c r="AK1743" s="5"/>
    </row>
    <row r="1744" spans="2:37" x14ac:dyDescent="0.25">
      <c r="B1744" s="1"/>
      <c r="E1744" s="2"/>
      <c r="H1744" s="3"/>
      <c r="I1744" s="3"/>
      <c r="K1744" s="3"/>
      <c r="L1744" s="3"/>
      <c r="X1744" s="4"/>
      <c r="AB1744" s="3"/>
      <c r="AE1744" s="3"/>
      <c r="AK1744" s="5"/>
    </row>
    <row r="1745" spans="2:37" x14ac:dyDescent="0.25">
      <c r="B1745" s="1"/>
      <c r="E1745" s="2"/>
      <c r="G1745" s="3"/>
      <c r="H1745" s="3"/>
      <c r="I1745" s="3"/>
      <c r="K1745" s="3"/>
      <c r="L1745" s="3"/>
      <c r="X1745" s="4"/>
      <c r="AB1745" s="3"/>
      <c r="AE1745" s="3"/>
      <c r="AK1745" s="5"/>
    </row>
    <row r="1746" spans="2:37" x14ac:dyDescent="0.25">
      <c r="B1746" s="3"/>
      <c r="E1746" s="2"/>
      <c r="G1746" s="3"/>
      <c r="H1746" s="3"/>
      <c r="I1746" s="3"/>
      <c r="K1746" s="3"/>
      <c r="L1746" s="3"/>
      <c r="X1746" s="4"/>
      <c r="Z1746" s="3"/>
      <c r="AE1746" s="3"/>
      <c r="AK1746" s="5"/>
    </row>
    <row r="1747" spans="2:37" x14ac:dyDescent="0.25">
      <c r="B1747" s="1"/>
      <c r="D1747" s="3"/>
      <c r="E1747" s="2"/>
      <c r="G1747" s="3"/>
      <c r="H1747" s="3"/>
      <c r="I1747" s="3"/>
      <c r="K1747" s="3"/>
      <c r="L1747" s="3"/>
      <c r="X1747" s="4"/>
      <c r="Z1747" s="3"/>
      <c r="AE1747" s="3"/>
      <c r="AK1747" s="5"/>
    </row>
    <row r="1748" spans="2:37" x14ac:dyDescent="0.25">
      <c r="B1748" s="1"/>
      <c r="E1748" s="2"/>
      <c r="F1748" s="3"/>
      <c r="G1748" s="3"/>
      <c r="H1748" s="3"/>
      <c r="I1748" s="3"/>
      <c r="K1748" s="3"/>
      <c r="L1748" s="3"/>
      <c r="X1748" s="4"/>
      <c r="AK1748" s="5"/>
    </row>
    <row r="1749" spans="2:37" x14ac:dyDescent="0.25">
      <c r="B1749" s="1"/>
      <c r="D1749" s="3"/>
      <c r="E1749" s="2"/>
      <c r="F1749" s="3"/>
      <c r="G1749" s="3"/>
      <c r="H1749" s="3"/>
      <c r="I1749" s="3"/>
      <c r="K1749" s="3"/>
      <c r="L1749" s="3"/>
      <c r="X1749" s="4"/>
      <c r="Z1749" s="3"/>
      <c r="AB1749" s="3"/>
      <c r="AE1749" s="3"/>
      <c r="AK1749" s="5"/>
    </row>
    <row r="1750" spans="2:37" x14ac:dyDescent="0.25">
      <c r="B1750" s="1"/>
      <c r="E1750" s="2"/>
      <c r="G1750" s="3"/>
      <c r="H1750" s="3"/>
      <c r="I1750" s="3"/>
      <c r="K1750" s="3"/>
      <c r="L1750" s="3"/>
      <c r="X1750" s="4"/>
      <c r="AB1750" s="3"/>
      <c r="AD1750" s="3"/>
      <c r="AE1750" s="3"/>
      <c r="AK1750" s="5"/>
    </row>
    <row r="1751" spans="2:37" x14ac:dyDescent="0.25">
      <c r="B1751" s="1"/>
      <c r="D1751" s="3"/>
      <c r="E1751" s="2"/>
      <c r="G1751" s="3"/>
      <c r="H1751" s="3"/>
      <c r="I1751" s="3"/>
      <c r="K1751" s="3"/>
      <c r="L1751" s="3"/>
      <c r="X1751" s="4"/>
      <c r="AD1751" s="3"/>
      <c r="AE1751" s="3"/>
      <c r="AK1751" s="5"/>
    </row>
    <row r="1752" spans="2:37" x14ac:dyDescent="0.25">
      <c r="B1752" s="1"/>
      <c r="D1752" s="3"/>
      <c r="E1752" s="2"/>
      <c r="G1752" s="3"/>
      <c r="H1752" s="3"/>
      <c r="I1752" s="3"/>
      <c r="K1752" s="3"/>
      <c r="L1752" s="3"/>
      <c r="X1752" s="4"/>
      <c r="AD1752" s="3"/>
      <c r="AE1752" s="3"/>
      <c r="AK1752" s="5"/>
    </row>
    <row r="1753" spans="2:37" x14ac:dyDescent="0.25">
      <c r="B1753" s="1"/>
      <c r="E1753" s="2"/>
      <c r="G1753" s="3"/>
      <c r="H1753" s="3"/>
      <c r="I1753" s="3"/>
      <c r="K1753" s="3"/>
      <c r="L1753" s="3"/>
      <c r="X1753" s="4"/>
      <c r="Z1753" s="3"/>
      <c r="AB1753" s="3"/>
      <c r="AD1753" s="3"/>
      <c r="AE1753" s="3"/>
      <c r="AK1753" s="5"/>
    </row>
    <row r="1754" spans="2:37" x14ac:dyDescent="0.25">
      <c r="B1754" s="1"/>
      <c r="E1754" s="2"/>
      <c r="H1754" s="3"/>
      <c r="I1754" s="3"/>
      <c r="K1754" s="3"/>
      <c r="L1754" s="3"/>
      <c r="X1754" s="4"/>
      <c r="Z1754" s="3"/>
      <c r="AB1754" s="3"/>
      <c r="AE1754" s="3"/>
      <c r="AK1754" s="5"/>
    </row>
    <row r="1755" spans="2:37" x14ac:dyDescent="0.25">
      <c r="B1755" s="1"/>
      <c r="E1755" s="2"/>
      <c r="G1755" s="3"/>
      <c r="H1755" s="3"/>
      <c r="I1755" s="3"/>
      <c r="K1755" s="3"/>
      <c r="L1755" s="3"/>
      <c r="X1755" s="4"/>
      <c r="AB1755" s="3"/>
      <c r="AE1755" s="3"/>
      <c r="AK1755" s="5"/>
    </row>
    <row r="1756" spans="2:37" x14ac:dyDescent="0.25">
      <c r="B1756" s="1"/>
      <c r="E1756" s="2"/>
      <c r="F1756" s="3"/>
      <c r="G1756" s="3"/>
      <c r="H1756" s="3"/>
      <c r="I1756" s="3"/>
      <c r="K1756" s="3"/>
      <c r="L1756" s="3"/>
      <c r="X1756" s="4"/>
    </row>
    <row r="1757" spans="2:37" x14ac:dyDescent="0.25">
      <c r="B1757" s="3"/>
      <c r="E1757" s="2"/>
      <c r="G1757" s="3"/>
      <c r="H1757" s="3"/>
      <c r="I1757" s="3"/>
      <c r="K1757" s="3"/>
      <c r="X1757" s="4"/>
      <c r="AE1757" s="3"/>
      <c r="AK1757" s="5"/>
    </row>
    <row r="1758" spans="2:37" x14ac:dyDescent="0.25">
      <c r="B1758" s="1"/>
      <c r="E1758" s="2"/>
      <c r="G1758" s="3"/>
      <c r="H1758" s="3"/>
      <c r="I1758" s="3"/>
      <c r="K1758" s="3"/>
      <c r="L1758" s="3"/>
      <c r="X1758" s="4"/>
      <c r="Z1758" s="3"/>
      <c r="AE1758" s="3"/>
      <c r="AK1758" s="5"/>
    </row>
    <row r="1759" spans="2:37" x14ac:dyDescent="0.25">
      <c r="B1759" s="1"/>
      <c r="E1759" s="2"/>
      <c r="G1759" s="3"/>
      <c r="H1759" s="3"/>
      <c r="I1759" s="3"/>
      <c r="K1759" s="3"/>
      <c r="L1759" s="3"/>
      <c r="X1759" s="4"/>
      <c r="Z1759" s="3"/>
      <c r="AE1759" s="3"/>
      <c r="AK1759" s="5"/>
    </row>
    <row r="1760" spans="2:37" x14ac:dyDescent="0.25">
      <c r="B1760" s="1"/>
      <c r="E1760" s="2"/>
      <c r="F1760" s="3"/>
      <c r="G1760" s="3"/>
      <c r="H1760" s="3"/>
      <c r="I1760" s="3"/>
      <c r="K1760" s="3"/>
      <c r="L1760" s="3"/>
      <c r="X1760" s="4"/>
      <c r="Z1760" s="3"/>
      <c r="AE1760" s="3"/>
      <c r="AK1760" s="5"/>
    </row>
    <row r="1761" spans="2:37" x14ac:dyDescent="0.25">
      <c r="B1761" s="1"/>
      <c r="E1761" s="2"/>
      <c r="F1761" s="3"/>
      <c r="G1761" s="3"/>
      <c r="H1761" s="3"/>
      <c r="I1761" s="3"/>
      <c r="K1761" s="3"/>
      <c r="L1761" s="3"/>
      <c r="X1761" s="4"/>
      <c r="AD1761" s="3"/>
      <c r="AE1761" s="3"/>
      <c r="AK1761" s="5"/>
    </row>
    <row r="1762" spans="2:37" x14ac:dyDescent="0.25">
      <c r="B1762" s="1"/>
      <c r="E1762" s="2"/>
      <c r="F1762" s="3"/>
      <c r="G1762" s="3"/>
      <c r="H1762" s="3"/>
      <c r="I1762" s="3"/>
      <c r="K1762" s="3"/>
      <c r="L1762" s="3"/>
      <c r="X1762" s="4"/>
      <c r="Z1762" s="3"/>
      <c r="AD1762" s="3"/>
      <c r="AE1762" s="3"/>
      <c r="AK1762" s="5"/>
    </row>
    <row r="1763" spans="2:37" x14ac:dyDescent="0.25">
      <c r="B1763" s="1"/>
      <c r="E1763" s="2"/>
      <c r="F1763" s="3"/>
      <c r="G1763" s="3"/>
      <c r="H1763" s="3"/>
      <c r="I1763" s="3"/>
      <c r="K1763" s="3"/>
      <c r="L1763" s="3"/>
      <c r="X1763" s="4"/>
      <c r="Z1763" s="3"/>
      <c r="AB1763" s="3"/>
      <c r="AE1763" s="3"/>
      <c r="AK1763" s="5"/>
    </row>
    <row r="1764" spans="2:37" x14ac:dyDescent="0.25">
      <c r="B1764" s="1"/>
      <c r="D1764" s="3"/>
      <c r="E1764" s="2"/>
      <c r="H1764" s="3"/>
      <c r="I1764" s="3"/>
      <c r="K1764" s="3"/>
      <c r="X1764" s="4"/>
    </row>
    <row r="1765" spans="2:37" x14ac:dyDescent="0.25">
      <c r="B1765" s="1"/>
      <c r="E1765" s="2"/>
      <c r="H1765" s="3"/>
      <c r="I1765" s="3"/>
      <c r="K1765" s="3"/>
      <c r="L1765" s="3"/>
      <c r="X1765" s="4"/>
      <c r="AA1765" s="3"/>
      <c r="AE1765" s="3"/>
      <c r="AK1765" s="5"/>
    </row>
    <row r="1766" spans="2:37" x14ac:dyDescent="0.25">
      <c r="B1766" s="1"/>
      <c r="E1766" s="2"/>
      <c r="G1766" s="3"/>
      <c r="H1766" s="3"/>
      <c r="I1766" s="3"/>
      <c r="K1766" s="3"/>
      <c r="L1766" s="3"/>
      <c r="X1766" s="4"/>
      <c r="Z1766" s="3"/>
      <c r="AA1766" s="3"/>
      <c r="AE1766" s="3"/>
      <c r="AK1766" s="5"/>
    </row>
    <row r="1767" spans="2:37" x14ac:dyDescent="0.25">
      <c r="B1767" s="1"/>
      <c r="E1767" s="2"/>
      <c r="G1767" s="3"/>
      <c r="H1767" s="3"/>
      <c r="I1767" s="3"/>
      <c r="K1767" s="3"/>
      <c r="L1767" s="3"/>
      <c r="X1767" s="4"/>
      <c r="Z1767" s="3"/>
      <c r="AE1767" s="3"/>
      <c r="AK1767" s="5"/>
    </row>
    <row r="1768" spans="2:37" x14ac:dyDescent="0.25">
      <c r="B1768" s="1"/>
      <c r="D1768" s="3"/>
      <c r="E1768" s="2"/>
      <c r="G1768" s="3"/>
      <c r="H1768" s="3"/>
      <c r="I1768" s="3"/>
      <c r="K1768" s="3"/>
      <c r="X1768" s="4"/>
      <c r="AE1768" s="3"/>
      <c r="AK1768" s="5"/>
    </row>
    <row r="1769" spans="2:37" x14ac:dyDescent="0.25">
      <c r="B1769" s="1"/>
      <c r="E1769" s="2"/>
      <c r="H1769" s="3"/>
      <c r="I1769" s="3"/>
      <c r="K1769" s="3"/>
      <c r="L1769" s="3"/>
      <c r="X1769" s="4"/>
    </row>
    <row r="1770" spans="2:37" x14ac:dyDescent="0.25">
      <c r="B1770" s="1"/>
      <c r="E1770" s="2"/>
      <c r="F1770" s="3"/>
      <c r="G1770" s="3"/>
      <c r="H1770" s="3"/>
      <c r="I1770" s="3"/>
      <c r="K1770" s="3"/>
      <c r="L1770" s="3"/>
      <c r="X1770" s="4"/>
    </row>
    <row r="1771" spans="2:37" x14ac:dyDescent="0.25">
      <c r="B1771" s="3"/>
      <c r="E1771" s="2"/>
      <c r="G1771" s="3"/>
      <c r="H1771" s="3"/>
      <c r="I1771" s="3"/>
      <c r="K1771" s="3"/>
      <c r="L1771" s="3"/>
      <c r="X1771" s="4"/>
      <c r="Z1771" s="3"/>
      <c r="AE1771" s="3"/>
      <c r="AK1771" s="5"/>
    </row>
    <row r="1772" spans="2:37" x14ac:dyDescent="0.25">
      <c r="B1772" s="1"/>
      <c r="E1772" s="2"/>
      <c r="F1772" s="3"/>
      <c r="G1772" s="3"/>
      <c r="H1772" s="3"/>
      <c r="I1772" s="3"/>
      <c r="K1772" s="3"/>
      <c r="L1772" s="3"/>
      <c r="X1772" s="4"/>
      <c r="AE1772" s="3"/>
      <c r="AK1772" s="5"/>
    </row>
    <row r="1773" spans="2:37" x14ac:dyDescent="0.25">
      <c r="B1773" s="1"/>
      <c r="D1773" s="3"/>
      <c r="E1773" s="2"/>
      <c r="G1773" s="3"/>
      <c r="H1773" s="3"/>
      <c r="I1773" s="3"/>
      <c r="K1773" s="3"/>
      <c r="L1773" s="3"/>
      <c r="X1773" s="4"/>
      <c r="AB1773" s="3"/>
      <c r="AE1773" s="3"/>
    </row>
    <row r="1774" spans="2:37" x14ac:dyDescent="0.25">
      <c r="B1774" s="1"/>
      <c r="D1774" s="3"/>
      <c r="E1774" s="2"/>
      <c r="G1774" s="3"/>
      <c r="H1774" s="3"/>
      <c r="I1774" s="3"/>
      <c r="K1774" s="3"/>
      <c r="L1774" s="3"/>
      <c r="X1774" s="4"/>
    </row>
    <row r="1775" spans="2:37" x14ac:dyDescent="0.25">
      <c r="B1775" s="1"/>
      <c r="E1775" s="2"/>
      <c r="G1775" s="3"/>
      <c r="H1775" s="3"/>
      <c r="I1775" s="3"/>
      <c r="K1775" s="3"/>
      <c r="L1775" s="3"/>
      <c r="X1775" s="4"/>
      <c r="AA1775" s="3"/>
      <c r="AE1775" s="3"/>
      <c r="AK1775" s="5"/>
    </row>
    <row r="1776" spans="2:37" x14ac:dyDescent="0.25">
      <c r="B1776" s="1"/>
      <c r="E1776" s="2"/>
      <c r="H1776" s="3"/>
      <c r="I1776" s="3"/>
      <c r="K1776" s="3"/>
      <c r="L1776" s="3"/>
      <c r="X1776" s="4"/>
      <c r="Z1776" s="3"/>
      <c r="AE1776" s="3"/>
      <c r="AK1776" s="5"/>
    </row>
    <row r="1777" spans="2:37" x14ac:dyDescent="0.25">
      <c r="B1777" s="1"/>
      <c r="D1777" s="3"/>
      <c r="E1777" s="2"/>
      <c r="G1777" s="3"/>
      <c r="H1777" s="3"/>
      <c r="I1777" s="3"/>
      <c r="K1777" s="3"/>
      <c r="L1777" s="3"/>
      <c r="X1777" s="4"/>
    </row>
    <row r="1778" spans="2:37" x14ac:dyDescent="0.25">
      <c r="B1778" s="1"/>
      <c r="D1778" s="3"/>
      <c r="E1778" s="2"/>
      <c r="G1778" s="3"/>
      <c r="H1778" s="3"/>
      <c r="I1778" s="3"/>
      <c r="K1778" s="3"/>
      <c r="L1778" s="3"/>
      <c r="X1778" s="4"/>
      <c r="Z1778" s="3"/>
      <c r="AK1778" s="5"/>
    </row>
    <row r="1779" spans="2:37" x14ac:dyDescent="0.25">
      <c r="B1779" s="1"/>
      <c r="D1779" s="3"/>
      <c r="E1779" s="2"/>
      <c r="G1779" s="3"/>
      <c r="H1779" s="3"/>
      <c r="I1779" s="3"/>
      <c r="K1779" s="3"/>
      <c r="L1779" s="3"/>
      <c r="X1779" s="4"/>
      <c r="Z1779" s="3"/>
      <c r="AB1779" s="3"/>
      <c r="AE1779" s="3"/>
      <c r="AK1779" s="5"/>
    </row>
    <row r="1780" spans="2:37" x14ac:dyDescent="0.25">
      <c r="B1780" s="1"/>
      <c r="E1780" s="2"/>
      <c r="G1780" s="3"/>
      <c r="H1780" s="3"/>
      <c r="I1780" s="3"/>
      <c r="K1780" s="3"/>
      <c r="L1780" s="3"/>
      <c r="X1780" s="4"/>
      <c r="AB1780" s="3"/>
      <c r="AE1780" s="3"/>
      <c r="AK1780" s="5"/>
    </row>
    <row r="1781" spans="2:37" x14ac:dyDescent="0.25">
      <c r="B1781" s="1"/>
      <c r="E1781" s="2"/>
      <c r="H1781" s="3"/>
      <c r="I1781" s="3"/>
      <c r="K1781" s="3"/>
      <c r="L1781" s="3"/>
      <c r="X1781" s="4"/>
      <c r="AE1781" s="3"/>
      <c r="AK1781" s="5"/>
    </row>
    <row r="1782" spans="2:37" x14ac:dyDescent="0.25">
      <c r="B1782" s="1"/>
      <c r="C1782" s="3"/>
      <c r="E1782" s="2"/>
      <c r="G1782" s="3"/>
      <c r="H1782" s="3"/>
      <c r="I1782" s="3"/>
      <c r="K1782" s="3"/>
      <c r="L1782" s="3"/>
      <c r="X1782" s="4"/>
    </row>
    <row r="1783" spans="2:37" x14ac:dyDescent="0.25">
      <c r="B1783" s="1"/>
      <c r="D1783" s="3"/>
      <c r="E1783" s="2"/>
      <c r="G1783" s="3"/>
      <c r="X1783" s="4"/>
      <c r="AK1783" s="5"/>
    </row>
    <row r="1784" spans="2:37" x14ac:dyDescent="0.25">
      <c r="B1784" s="1"/>
      <c r="E1784" s="2"/>
      <c r="H1784" s="3"/>
      <c r="I1784" s="3"/>
      <c r="K1784" s="3"/>
      <c r="L1784" s="3"/>
      <c r="X1784" s="4"/>
      <c r="Z1784" s="3"/>
      <c r="AE1784" s="3"/>
      <c r="AK1784" s="5"/>
    </row>
    <row r="1785" spans="2:37" x14ac:dyDescent="0.25">
      <c r="B1785" s="1"/>
      <c r="E1785" s="2"/>
      <c r="H1785" s="3"/>
      <c r="I1785" s="3"/>
      <c r="K1785" s="3"/>
      <c r="L1785" s="3"/>
      <c r="X1785" s="4"/>
      <c r="Z1785" s="3"/>
      <c r="AE1785" s="3"/>
      <c r="AK1785" s="5"/>
    </row>
    <row r="1786" spans="2:37" x14ac:dyDescent="0.25">
      <c r="B1786" s="1"/>
      <c r="E1786" s="2"/>
      <c r="H1786" s="3"/>
      <c r="I1786" s="3"/>
      <c r="K1786" s="3"/>
      <c r="L1786" s="3"/>
      <c r="X1786" s="4"/>
    </row>
    <row r="1787" spans="2:37" x14ac:dyDescent="0.25">
      <c r="B1787" s="1"/>
      <c r="D1787" s="3"/>
      <c r="E1787" s="2"/>
      <c r="G1787" s="3"/>
      <c r="H1787" s="3"/>
      <c r="I1787" s="3"/>
      <c r="K1787" s="3"/>
      <c r="X1787" s="4"/>
    </row>
    <row r="1788" spans="2:37" x14ac:dyDescent="0.25">
      <c r="B1788" s="1"/>
      <c r="E1788" s="2"/>
      <c r="H1788" s="3"/>
      <c r="I1788" s="3"/>
      <c r="K1788" s="3"/>
      <c r="L1788" s="3"/>
      <c r="X1788" s="4"/>
      <c r="Z1788" s="3"/>
      <c r="AK1788" s="5"/>
    </row>
    <row r="1789" spans="2:37" x14ac:dyDescent="0.25">
      <c r="B1789" s="1"/>
      <c r="E1789" s="2"/>
      <c r="H1789" s="3"/>
      <c r="I1789" s="3"/>
      <c r="K1789" s="3"/>
      <c r="L1789" s="3"/>
      <c r="X1789" s="4"/>
      <c r="AB1789" s="3"/>
      <c r="AE1789" s="3"/>
      <c r="AK1789" s="5"/>
    </row>
    <row r="1790" spans="2:37" x14ac:dyDescent="0.25">
      <c r="B1790" s="1"/>
      <c r="E1790" s="2"/>
      <c r="G1790" s="3"/>
      <c r="H1790" s="3"/>
      <c r="I1790" s="3"/>
      <c r="K1790" s="3"/>
      <c r="L1790" s="3"/>
      <c r="X1790" s="4"/>
      <c r="AE1790" s="3"/>
      <c r="AK1790" s="5"/>
    </row>
    <row r="1791" spans="2:37" x14ac:dyDescent="0.25">
      <c r="B1791" s="1"/>
      <c r="E1791" s="2"/>
      <c r="G1791" s="3"/>
      <c r="H1791" s="3"/>
      <c r="I1791" s="3"/>
      <c r="K1791" s="3"/>
      <c r="L1791" s="3"/>
      <c r="X1791" s="4"/>
      <c r="Z1791" s="3"/>
      <c r="AB1791" s="3"/>
      <c r="AE1791" s="3"/>
      <c r="AK1791" s="5"/>
    </row>
    <row r="1792" spans="2:37" x14ac:dyDescent="0.25">
      <c r="B1792" s="1"/>
      <c r="C1792" s="3"/>
      <c r="E1792" s="2"/>
      <c r="G1792" s="3"/>
      <c r="H1792" s="3"/>
      <c r="I1792" s="3"/>
      <c r="K1792" s="3"/>
      <c r="L1792" s="3"/>
      <c r="X1792" s="4"/>
    </row>
    <row r="1793" spans="2:37" x14ac:dyDescent="0.25">
      <c r="B1793" s="3"/>
      <c r="E1793" s="2"/>
      <c r="G1793" s="3"/>
      <c r="X1793" s="4"/>
      <c r="AK1793" s="5"/>
    </row>
    <row r="1794" spans="2:37" x14ac:dyDescent="0.25">
      <c r="B1794" s="1"/>
      <c r="E1794" s="2"/>
      <c r="H1794" s="3"/>
      <c r="I1794" s="3"/>
      <c r="K1794" s="3"/>
      <c r="L1794" s="3"/>
      <c r="X1794" s="4"/>
      <c r="Z1794" s="3"/>
      <c r="AD1794" s="3"/>
      <c r="AE1794" s="3"/>
      <c r="AK1794" s="5"/>
    </row>
    <row r="1795" spans="2:37" x14ac:dyDescent="0.25">
      <c r="B1795" s="1"/>
      <c r="E1795" s="2"/>
      <c r="H1795" s="3"/>
      <c r="I1795" s="3"/>
      <c r="K1795" s="3"/>
      <c r="L1795" s="3"/>
      <c r="X1795" s="4"/>
      <c r="Z1795" s="3"/>
      <c r="AE1795" s="3"/>
      <c r="AK1795" s="5"/>
    </row>
    <row r="1796" spans="2:37" x14ac:dyDescent="0.25">
      <c r="B1796" s="1"/>
      <c r="E1796" s="2"/>
      <c r="G1796" s="3"/>
      <c r="H1796" s="3"/>
      <c r="I1796" s="3"/>
      <c r="K1796" s="3"/>
      <c r="L1796" s="3"/>
      <c r="X1796" s="4"/>
    </row>
    <row r="1797" spans="2:37" x14ac:dyDescent="0.25">
      <c r="B1797" s="1"/>
      <c r="E1797" s="2"/>
      <c r="G1797" s="3"/>
      <c r="H1797" s="3"/>
      <c r="I1797" s="3"/>
      <c r="K1797" s="3"/>
      <c r="L1797" s="3"/>
      <c r="X1797" s="4"/>
    </row>
    <row r="1798" spans="2:37" x14ac:dyDescent="0.25">
      <c r="B1798" s="1"/>
      <c r="E1798" s="2"/>
      <c r="F1798" s="3"/>
      <c r="G1798" s="3"/>
      <c r="H1798" s="3"/>
      <c r="I1798" s="3"/>
      <c r="K1798" s="3"/>
      <c r="X1798" s="4"/>
    </row>
    <row r="1799" spans="2:37" x14ac:dyDescent="0.25">
      <c r="B1799" s="1"/>
      <c r="E1799" s="2"/>
      <c r="H1799" s="3"/>
      <c r="I1799" s="3"/>
      <c r="K1799" s="3"/>
      <c r="X1799" s="4"/>
      <c r="AK1799" s="5"/>
    </row>
    <row r="1800" spans="2:37" x14ac:dyDescent="0.25">
      <c r="B1800" s="1"/>
      <c r="E1800" s="2"/>
      <c r="H1800" s="3"/>
      <c r="I1800" s="3"/>
      <c r="K1800" s="3"/>
      <c r="L1800" s="3"/>
      <c r="X1800" s="4"/>
      <c r="Z1800" s="3"/>
      <c r="AE1800" s="3"/>
      <c r="AK1800" s="5"/>
    </row>
    <row r="1801" spans="2:37" x14ac:dyDescent="0.25">
      <c r="B1801" s="1"/>
      <c r="E1801" s="2"/>
      <c r="G1801" s="3"/>
      <c r="H1801" s="3"/>
      <c r="I1801" s="3"/>
      <c r="K1801" s="3"/>
      <c r="X1801" s="4"/>
      <c r="AK1801" s="5"/>
    </row>
    <row r="1802" spans="2:37" x14ac:dyDescent="0.25">
      <c r="B1802" s="1"/>
      <c r="E1802" s="2"/>
      <c r="H1802" s="3"/>
      <c r="I1802" s="3"/>
      <c r="K1802" s="3"/>
      <c r="L1802" s="3"/>
      <c r="X1802" s="4"/>
      <c r="AE1802" s="3"/>
      <c r="AK1802" s="5"/>
    </row>
    <row r="1803" spans="2:37" x14ac:dyDescent="0.25">
      <c r="B1803" s="1"/>
      <c r="E1803" s="2"/>
      <c r="G1803" s="3"/>
      <c r="H1803" s="3"/>
      <c r="I1803" s="3"/>
      <c r="K1803" s="3"/>
      <c r="X1803" s="4"/>
      <c r="AK1803" s="5"/>
    </row>
    <row r="1804" spans="2:37" x14ac:dyDescent="0.25">
      <c r="B1804" s="1"/>
      <c r="E1804" s="2"/>
      <c r="H1804" s="3"/>
      <c r="I1804" s="3"/>
      <c r="K1804" s="3"/>
      <c r="L1804" s="3"/>
      <c r="X1804" s="4"/>
      <c r="AD1804" s="3"/>
      <c r="AE1804" s="3"/>
      <c r="AK1804" s="5"/>
    </row>
    <row r="1805" spans="2:37" x14ac:dyDescent="0.25">
      <c r="B1805" s="1"/>
      <c r="E1805" s="2"/>
      <c r="H1805" s="3"/>
      <c r="I1805" s="3"/>
      <c r="K1805" s="3"/>
      <c r="X1805" s="4"/>
      <c r="AE1805" s="3"/>
      <c r="AK1805" s="5"/>
    </row>
    <row r="1806" spans="2:37" x14ac:dyDescent="0.25">
      <c r="B1806" s="1"/>
      <c r="E1806" s="2"/>
      <c r="G1806" s="3"/>
      <c r="H1806" s="3"/>
      <c r="I1806" s="3"/>
      <c r="K1806" s="3"/>
      <c r="L1806" s="3"/>
      <c r="M1806" s="5"/>
      <c r="X1806" s="4"/>
    </row>
    <row r="1807" spans="2:37" x14ac:dyDescent="0.25">
      <c r="B1807" s="1"/>
      <c r="E1807" s="2"/>
      <c r="G1807" s="3"/>
      <c r="H1807" s="3"/>
      <c r="I1807" s="3"/>
      <c r="K1807" s="3"/>
      <c r="L1807" s="3"/>
      <c r="X1807" s="4"/>
      <c r="Z1807" s="3"/>
      <c r="AE1807" s="3"/>
      <c r="AK1807" s="5"/>
    </row>
    <row r="1808" spans="2:37" x14ac:dyDescent="0.25">
      <c r="B1808" s="1"/>
      <c r="E1808" s="2"/>
      <c r="H1808" s="3"/>
      <c r="I1808" s="3"/>
      <c r="K1808" s="3"/>
      <c r="L1808" s="3"/>
      <c r="X1808" s="4"/>
      <c r="AB1808" s="3"/>
      <c r="AE1808" s="3"/>
      <c r="AK1808" s="5"/>
    </row>
    <row r="1809" spans="2:37" x14ac:dyDescent="0.25">
      <c r="F1809" s="3"/>
      <c r="G1809" s="3"/>
    </row>
    <row r="1810" spans="2:37" x14ac:dyDescent="0.25">
      <c r="B1810" s="1"/>
      <c r="E1810" s="2"/>
      <c r="H1810" s="3"/>
      <c r="I1810" s="3"/>
      <c r="K1810" s="3"/>
      <c r="X1810" s="4"/>
      <c r="AK1810" s="5"/>
    </row>
    <row r="1811" spans="2:37" x14ac:dyDescent="0.25">
      <c r="B1811" s="1"/>
      <c r="E1811" s="2"/>
      <c r="H1811" s="3"/>
      <c r="I1811" s="3"/>
      <c r="K1811" s="3"/>
      <c r="L1811" s="3"/>
      <c r="X1811" s="4"/>
      <c r="Z1811" s="3"/>
      <c r="AE1811" s="3"/>
      <c r="AK1811" s="5"/>
    </row>
    <row r="1812" spans="2:37" x14ac:dyDescent="0.25">
      <c r="B1812" s="1"/>
      <c r="E1812" s="2"/>
      <c r="H1812" s="3"/>
      <c r="I1812" s="3"/>
      <c r="K1812" s="3"/>
      <c r="X1812" s="4"/>
      <c r="AK1812" s="5"/>
    </row>
    <row r="1813" spans="2:37" x14ac:dyDescent="0.25">
      <c r="B1813" s="1"/>
      <c r="E1813" s="2"/>
      <c r="H1813" s="3"/>
      <c r="I1813" s="3"/>
      <c r="K1813" s="3"/>
      <c r="X1813" s="4"/>
      <c r="AE1813" s="3"/>
      <c r="AK1813" s="5"/>
    </row>
    <row r="1814" spans="2:37" x14ac:dyDescent="0.25">
      <c r="B1814" s="1"/>
      <c r="E1814" s="2"/>
      <c r="H1814" s="3"/>
      <c r="I1814" s="3"/>
      <c r="K1814" s="3"/>
      <c r="X1814" s="4"/>
      <c r="AK1814" s="5"/>
    </row>
    <row r="1815" spans="2:37" x14ac:dyDescent="0.25">
      <c r="B1815" s="1"/>
      <c r="E1815" s="2"/>
      <c r="H1815" s="3"/>
      <c r="I1815" s="3"/>
      <c r="K1815" s="3"/>
      <c r="X1815" s="4"/>
      <c r="AE1815" s="3"/>
      <c r="AK1815" s="5"/>
    </row>
    <row r="1816" spans="2:37" x14ac:dyDescent="0.25">
      <c r="B1816" s="1"/>
      <c r="E1816" s="2"/>
      <c r="H1816" s="3"/>
      <c r="I1816" s="3"/>
      <c r="K1816" s="3"/>
      <c r="X1816" s="4"/>
      <c r="AK1816" s="5"/>
    </row>
    <row r="1817" spans="2:37" x14ac:dyDescent="0.25">
      <c r="B1817" s="1"/>
      <c r="E1817" s="2"/>
      <c r="H1817" s="3"/>
      <c r="I1817" s="3"/>
      <c r="K1817" s="3"/>
      <c r="X1817" s="4"/>
      <c r="AE1817" s="3"/>
      <c r="AK1817" s="5"/>
    </row>
    <row r="1818" spans="2:37" x14ac:dyDescent="0.25">
      <c r="B1818" s="1"/>
      <c r="E1818" s="2"/>
      <c r="H1818" s="3"/>
      <c r="I1818" s="3"/>
      <c r="K1818" s="3"/>
      <c r="L1818" s="3"/>
      <c r="X1818" s="4"/>
    </row>
    <row r="1819" spans="2:37" x14ac:dyDescent="0.25">
      <c r="B1819" s="3"/>
      <c r="G1819" s="3"/>
    </row>
    <row r="1830" spans="7:8" x14ac:dyDescent="0.25">
      <c r="H1830" s="6"/>
    </row>
    <row r="1831" spans="7:8" x14ac:dyDescent="0.25">
      <c r="H1831" s="6"/>
    </row>
    <row r="1832" spans="7:8" x14ac:dyDescent="0.25">
      <c r="G1832" s="3"/>
      <c r="H1832" s="7"/>
    </row>
    <row r="1833" spans="7:8" x14ac:dyDescent="0.25">
      <c r="H1833" s="6"/>
    </row>
    <row r="1834" spans="7:8" x14ac:dyDescent="0.25">
      <c r="H1834" s="6"/>
    </row>
    <row r="1839" spans="7:8" x14ac:dyDescent="0.25">
      <c r="H1839" s="6"/>
    </row>
    <row r="1840" spans="7:8" x14ac:dyDescent="0.25">
      <c r="H1840" s="6"/>
    </row>
    <row r="1841" spans="7:8" x14ac:dyDescent="0.25">
      <c r="G1841" s="3"/>
      <c r="H1841" s="7"/>
    </row>
    <row r="1842" spans="7:8" x14ac:dyDescent="0.25">
      <c r="H1842" s="6"/>
    </row>
    <row r="1843" spans="7:8" x14ac:dyDescent="0.25">
      <c r="H1843" s="6"/>
    </row>
  </sheetData>
  <autoFilter ref="A1:AU1653" xr:uid="{5695F443-BC3D-48D0-8CD1-D8C4D00277A1}">
    <filterColumn colId="4">
      <filters>
        <dateGroupItem year="2025" month="2" day="3" dateTimeGrouping="day"/>
        <dateGroupItem year="2025" month="2" day="4" dateTimeGrouping="day"/>
        <dateGroupItem year="2025" month="2" day="5" dateTimeGrouping="day"/>
      </filters>
    </filterColumn>
  </autoFilter>
  <conditionalFormatting sqref="B1:B1823 B1825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0B83-4E64-4F1B-8B90-7D43E0DBAFFA}">
  <dimension ref="B3:C10"/>
  <sheetViews>
    <sheetView workbookViewId="0">
      <selection activeCell="B3" sqref="B3:C10"/>
    </sheetView>
  </sheetViews>
  <sheetFormatPr defaultRowHeight="14.3" x14ac:dyDescent="0.25"/>
  <cols>
    <col min="2" max="2" width="15.625" bestFit="1" customWidth="1"/>
    <col min="3" max="3" width="13.875" bestFit="1" customWidth="1"/>
  </cols>
  <sheetData>
    <row r="3" spans="2:3" x14ac:dyDescent="0.25">
      <c r="B3">
        <v>2025</v>
      </c>
      <c r="C3" s="8"/>
    </row>
    <row r="4" spans="2:3" x14ac:dyDescent="0.25">
      <c r="B4" t="s">
        <v>10</v>
      </c>
      <c r="C4" s="8">
        <f>SUBTOTAL(9,Planilha1!K2:K1656)</f>
        <v>136341.22000000003</v>
      </c>
    </row>
    <row r="5" spans="2:3" x14ac:dyDescent="0.25">
      <c r="B5" t="s">
        <v>11</v>
      </c>
      <c r="C5" s="9">
        <f>SUBTOTAL(9,Planilha1!L2:L1656)</f>
        <v>19637.32</v>
      </c>
    </row>
    <row r="6" spans="2:3" x14ac:dyDescent="0.25">
      <c r="B6" s="3" t="s">
        <v>12</v>
      </c>
      <c r="C6" s="9">
        <f>SUBTOTAL(9,Planilha1!M2:M1656)</f>
        <v>9668.9699999999993</v>
      </c>
    </row>
    <row r="7" spans="2:3" x14ac:dyDescent="0.25">
      <c r="B7" t="s">
        <v>437</v>
      </c>
      <c r="C7" s="10">
        <f>SUBTOTAL(3,Planilha1!E3:E1822)</f>
        <v>18</v>
      </c>
    </row>
    <row r="8" spans="2:3" x14ac:dyDescent="0.25">
      <c r="B8" t="s">
        <v>440</v>
      </c>
      <c r="C8" s="8">
        <f>C4/C7</f>
        <v>7574.5122222222235</v>
      </c>
    </row>
    <row r="9" spans="2:3" x14ac:dyDescent="0.25">
      <c r="B9" t="s">
        <v>438</v>
      </c>
      <c r="C9" s="8">
        <f>C4/C5</f>
        <v>6.9429647222737128</v>
      </c>
    </row>
    <row r="10" spans="2:3" x14ac:dyDescent="0.25">
      <c r="B10" t="s">
        <v>439</v>
      </c>
      <c r="C10" s="8">
        <f>C4/C6</f>
        <v>14.100904232819012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2026-02-12T16:08:58Z</dcterms:modified>
</cp:coreProperties>
</file>