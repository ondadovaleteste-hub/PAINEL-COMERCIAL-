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816C05D5-3F64-43BE-B097-D1DD1E084D04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  <sheet name="Planilha2" sheetId="2" r:id="rId2"/>
  </sheets>
  <definedNames>
    <definedName name="_xlnm._FilterDatabase" localSheetId="0" hidden="1">Planilha1!$A$1:$AU$1816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9" i="2" s="1"/>
  <c r="B6" i="2"/>
  <c r="B4" i="2"/>
  <c r="B3" i="2"/>
  <c r="B7" i="2" s="1"/>
  <c r="B8" i="2" l="1"/>
</calcChain>
</file>

<file path=xl/sharedStrings.xml><?xml version="1.0" encoding="utf-8"?>
<sst xmlns="http://schemas.openxmlformats.org/spreadsheetml/2006/main" count="30276" uniqueCount="429">
  <si>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</si>
  <si>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</si>
  <si>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</si>
  <si>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</si>
  <si>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</si>
  <si>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</si>
  <si>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</si>
  <si>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</si>
  <si>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</si>
  <si>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</si>
  <si>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</si>
  <si>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</si>
  <si>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</si>
  <si>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</si>
  <si>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</si>
  <si>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</si>
  <si>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</si>
  <si>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</si>
  <si>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</si>
  <si>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</si>
  <si>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</si>
  <si>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</si>
  <si>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</si>
  <si>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</si>
  <si>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</si>
  <si>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</si>
  <si>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</si>
  <si>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</si>
  <si>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</si>
  <si>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</si>
  <si>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</si>
  <si>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</si>
  <si>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</si>
  <si>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</si>
  <si>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</si>
  <si>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</si>
  <si>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</si>
  <si>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</si>
  <si>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</si>
  <si>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</si>
  <si>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</si>
  <si>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</si>
  <si>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</si>
  <si>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</si>
  <si>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</si>
  <si>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</si>
  <si>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</si>
  <si>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</si>
  <si>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</si>
  <si>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</si>
  <si>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</si>
  <si>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</si>
  <si>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</si>
  <si>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</si>
  <si>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</si>
  <si>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</si>
  <si>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</si>
  <si>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</si>
  <si>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</si>
  <si>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</si>
  <si>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</si>
  <si>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</si>
  <si>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</si>
  <si>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</si>
  <si>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</si>
  <si>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</si>
  <si>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</si>
  <si>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</si>
  <si>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</si>
  <si>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</si>
  <si>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</si>
  <si>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</si>
  <si>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</si>
  <si>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</si>
  <si>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</si>
  <si>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</si>
  <si>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</si>
  <si>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</si>
  <si>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</si>
  <si>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</si>
  <si>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</si>
  <si>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</si>
  <si>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 xml:space="preserve">JORANI 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</si>
  <si>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</si>
  <si>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</si>
  <si>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</si>
  <si>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</si>
  <si>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</si>
  <si>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</si>
  <si>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</si>
  <si>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</si>
  <si>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</si>
  <si>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</si>
  <si>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</si>
  <si>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</si>
  <si>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</si>
  <si>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</si>
  <si>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</si>
  <si>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</si>
  <si>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</si>
  <si>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</si>
  <si>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</si>
  <si>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</si>
  <si>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</si>
  <si>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</si>
  <si>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</si>
  <si>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</si>
  <si>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</si>
  <si>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</si>
  <si>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</si>
  <si>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</si>
  <si>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</si>
  <si>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</si>
  <si>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</si>
  <si>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</si>
  <si>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</si>
  <si>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</si>
  <si>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</si>
  <si>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</si>
  <si>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</si>
  <si>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</si>
  <si>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</si>
  <si>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</si>
  <si>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</si>
  <si>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</si>
  <si>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</si>
  <si>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</si>
  <si>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</si>
  <si>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</si>
  <si>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</si>
  <si>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</si>
  <si>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</si>
  <si>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</si>
  <si>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</si>
  <si>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</si>
  <si>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</si>
  <si>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</si>
  <si>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</si>
  <si>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</si>
  <si>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</si>
  <si>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</si>
  <si>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</si>
  <si>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</si>
  <si>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</si>
  <si>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</si>
  <si>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</si>
  <si>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</si>
  <si>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</si>
  <si>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</si>
  <si>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</si>
  <si>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</si>
  <si>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</si>
  <si>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</si>
  <si>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</si>
  <si>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</si>
  <si>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</si>
  <si>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</si>
  <si>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</si>
  <si>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DELICIAS DA TERRINHA</t>
  </si>
  <si>
    <t>GUARULHOS</t>
  </si>
  <si>
    <t>SC GARUVA</t>
  </si>
  <si>
    <t>RIVATTI</t>
  </si>
  <si>
    <t>28 42 56 72 DD</t>
  </si>
  <si>
    <t>SEVEN TEXTIL</t>
  </si>
  <si>
    <t>30 DD</t>
  </si>
  <si>
    <t>SC BRUSQUE</t>
  </si>
  <si>
    <t>BILITON</t>
  </si>
  <si>
    <t>GASPAR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</si>
  <si>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</si>
  <si>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</si>
  <si>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</si>
  <si>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</si>
  <si>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</si>
  <si>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</si>
  <si>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</si>
  <si>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</si>
  <si>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ELTON ROBERTO LAMIM</t>
  </si>
  <si>
    <t>ELTON</t>
  </si>
  <si>
    <t>42 DD</t>
  </si>
  <si>
    <t>MOZART CRISTAIS</t>
  </si>
  <si>
    <t>POD BEBIDAS</t>
  </si>
  <si>
    <t>28 35 42 49 DD</t>
  </si>
  <si>
    <t>SC *** Nenhuma ***</t>
  </si>
  <si>
    <t>IMPORTADORA CASCAVEL</t>
  </si>
  <si>
    <t xml:space="preserve">SPEZIA </t>
  </si>
  <si>
    <t>LUIS ALVES</t>
  </si>
  <si>
    <t>ALFACOMEX</t>
  </si>
  <si>
    <t>SUNNY BRINQUEDOS</t>
  </si>
  <si>
    <t>NEOFOODS ALIMENTOS (NAO USAR)</t>
  </si>
  <si>
    <t>SAO PAULO</t>
  </si>
  <si>
    <t>SC LUIS ALVES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</si>
  <si>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</si>
  <si>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</si>
  <si>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</si>
  <si>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</si>
  <si>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</si>
  <si>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</si>
  <si>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</si>
  <si>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</si>
  <si>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>LYNUS</t>
  </si>
  <si>
    <t>Prazo médio do pagamento acima do que foi configurado para o cliente.</t>
  </si>
  <si>
    <t>Limite de crédito inferior à soma dos valores pendentes.</t>
  </si>
  <si>
    <t>28 35 42 49 56 DD</t>
  </si>
  <si>
    <t xml:space="preserve">TMX 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</si>
  <si>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</si>
  <si>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</si>
  <si>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</si>
  <si>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</si>
  <si>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</si>
  <si>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</si>
  <si>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</si>
  <si>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</si>
  <si>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</si>
  <si>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</si>
  <si>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</si>
  <si>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 xml:space="preserve">IMPOMAX </t>
  </si>
  <si>
    <t>MERITMEDICAL</t>
  </si>
  <si>
    <t>POMERODE</t>
  </si>
  <si>
    <t>AMANDA</t>
  </si>
  <si>
    <t>TESSIMATEX - TMX KIDS</t>
  </si>
  <si>
    <t>PAPINHA BABY</t>
  </si>
  <si>
    <t xml:space="preserve">BELA FLOR </t>
  </si>
  <si>
    <t>SC BALNEARIO CAMBORIU</t>
  </si>
  <si>
    <t>30 45 60 75 DD</t>
  </si>
  <si>
    <t>15 30 45 DD</t>
  </si>
  <si>
    <t>SAMIRA INJETADOS LTDA</t>
  </si>
  <si>
    <t>SAO JOAO BATISTA</t>
  </si>
  <si>
    <t>GRAMKOW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</si>
  <si>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</si>
  <si>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</si>
  <si>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</si>
  <si>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</si>
  <si>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</si>
  <si>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</si>
  <si>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</si>
  <si>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</si>
  <si>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</si>
  <si>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</si>
  <si>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</si>
  <si>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</si>
  <si>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</si>
  <si>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</si>
  <si>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</si>
  <si>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</si>
  <si>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</si>
  <si>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</si>
  <si>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</si>
  <si>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</si>
  <si>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</si>
  <si>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</si>
  <si>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</si>
  <si>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</si>
  <si>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</si>
  <si>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</si>
  <si>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</si>
  <si>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</si>
  <si>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</si>
  <si>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</si>
  <si>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</si>
  <si>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</si>
  <si>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</si>
  <si>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</si>
  <si>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</si>
  <si>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</si>
  <si>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</si>
  <si>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</si>
  <si>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</si>
  <si>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</si>
  <si>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</si>
  <si>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</si>
  <si>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</si>
  <si>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</si>
  <si>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</si>
  <si>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</si>
  <si>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</si>
  <si>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</si>
  <si>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</si>
  <si>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</si>
  <si>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</si>
  <si>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</si>
  <si>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</si>
  <si>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</si>
  <si>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</si>
  <si>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</si>
  <si>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</si>
  <si>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</si>
  <si>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</si>
  <si>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</si>
  <si>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</si>
  <si>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</si>
  <si>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</si>
  <si>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</si>
  <si>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</si>
  <si>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</si>
  <si>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</si>
  <si>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</si>
  <si>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</si>
  <si>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</si>
  <si>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</si>
  <si>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</si>
  <si>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</si>
  <si>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</si>
  <si>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</si>
  <si>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</si>
  <si>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</si>
  <si>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</si>
  <si>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</si>
  <si>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</si>
  <si>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</si>
  <si>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</si>
  <si>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</si>
  <si>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</si>
  <si>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</si>
  <si>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</si>
  <si>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</si>
  <si>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</si>
  <si>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</si>
  <si>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</si>
  <si>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</si>
  <si>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</si>
  <si>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</si>
  <si>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</si>
  <si>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</si>
  <si>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</si>
  <si>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</si>
  <si>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</si>
  <si>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</si>
  <si>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</si>
  <si>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</si>
  <si>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</si>
  <si>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</si>
  <si>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</si>
  <si>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</si>
  <si>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</si>
  <si>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</si>
  <si>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</si>
  <si>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</si>
  <si>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</si>
  <si>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</si>
  <si>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</si>
  <si>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</si>
  <si>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</si>
  <si>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</si>
  <si>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</si>
  <si>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</si>
  <si>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</si>
  <si>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</si>
  <si>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</si>
  <si>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</si>
  <si>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</si>
  <si>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</si>
  <si>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</si>
  <si>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</si>
  <si>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</si>
  <si>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</si>
  <si>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</si>
  <si>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</si>
  <si>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</si>
  <si>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</si>
  <si>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</si>
  <si>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</si>
  <si>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</si>
  <si>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</si>
  <si>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</si>
  <si>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</si>
  <si>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</si>
  <si>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</si>
  <si>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</si>
  <si>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</si>
  <si>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</si>
  <si>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</si>
  <si>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</si>
  <si>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</si>
  <si>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</si>
  <si>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</si>
  <si>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</si>
  <si>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</si>
  <si>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</si>
  <si>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</si>
  <si>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</si>
  <si>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</si>
  <si>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</si>
  <si>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</si>
  <si>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</si>
  <si>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</si>
  <si>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</si>
  <si>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</si>
  <si>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</si>
  <si>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</si>
  <si>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</si>
  <si>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</si>
  <si>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</si>
  <si>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</si>
  <si>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</si>
  <si>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</si>
  <si>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</si>
  <si>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</si>
  <si>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</si>
  <si>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</si>
  <si>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</si>
  <si>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</si>
  <si>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</si>
  <si>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</si>
  <si>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</si>
  <si>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</si>
  <si>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</si>
  <si>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</si>
  <si>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</si>
  <si>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</si>
  <si>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</si>
  <si>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</si>
  <si>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</si>
  <si>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</si>
  <si>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</si>
  <si>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</si>
  <si>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</si>
  <si>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</si>
  <si>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</si>
  <si>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</si>
  <si>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CIAPLASTIC</t>
  </si>
  <si>
    <t>JORANI - GARDENMIX</t>
  </si>
  <si>
    <t>ANTROPOCENO ENGENHARIA</t>
  </si>
  <si>
    <t>total de pedidos</t>
  </si>
  <si>
    <t>KG PREÇO MEDIO</t>
  </si>
  <si>
    <t>M² PREÇO MEDIO</t>
  </si>
  <si>
    <t>TICKT MEDIO</t>
  </si>
  <si>
    <t>FLASH WAY</t>
  </si>
  <si>
    <t>KREUMAC - PRAYON - FERMONT</t>
  </si>
  <si>
    <t>MS COSMETICOS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</si>
</sst>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44" fontId="0" fillId="2" borderId="0" xfId="1" applyFont="1" applyFill="1"/>
    <xf numFmtId="164" fontId="0" fillId="3" borderId="0" xfId="1" applyNumberFormat="1" applyFont="1" applyFill="1"/>
    <xf numFmtId="44" fontId="0" fillId="3" borderId="0" xfId="1" applyFont="1" applyFill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843"/>
  <sheetViews>
    <sheetView tabSelected="1" zoomScaleNormal="100" workbookViewId="0">
      <pane ySplit="1" topLeftCell="A129" activePane="bottomLeft" state="frozen"/>
      <selection pane="bottomLeft" activeCell="E140" sqref="E140"/>
    </sheetView>
  </sheetViews>
  <sheetFormatPr defaultRowHeight="14.3" x14ac:dyDescent="0.25"/>
  <cols>
    <col min="1" max="1" width="18.25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s="1">
        <v>38394</v>
      </c>
      <c r="C2" t="s">
        <v>48</v>
      </c>
      <c r="D2" t="s">
        <v>49</v>
      </c>
      <c r="E2" s="2">
        <v>46027</v>
      </c>
      <c r="F2" t="s">
        <v>50</v>
      </c>
      <c r="G2" t="s">
        <v>51</v>
      </c>
      <c r="H2" s="3">
        <v>26483</v>
      </c>
      <c r="I2" s="3">
        <v>26483</v>
      </c>
      <c r="J2">
        <v>0</v>
      </c>
      <c r="K2" s="3">
        <v>30455.45</v>
      </c>
      <c r="L2" s="3">
        <v>3792.3</v>
      </c>
      <c r="M2" s="3">
        <v>1900.38</v>
      </c>
      <c r="N2" t="s">
        <v>52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126</v>
      </c>
      <c r="V2" t="s">
        <v>56</v>
      </c>
      <c r="W2" t="s">
        <v>57</v>
      </c>
      <c r="X2" s="4">
        <v>0</v>
      </c>
      <c r="Y2" t="s">
        <v>58</v>
      </c>
      <c r="Z2" s="3">
        <v>3792.3</v>
      </c>
      <c r="AA2">
        <v>0</v>
      </c>
      <c r="AB2" s="3">
        <v>0</v>
      </c>
      <c r="AC2">
        <v>0</v>
      </c>
      <c r="AD2">
        <v>0</v>
      </c>
      <c r="AE2" s="3">
        <v>1600</v>
      </c>
      <c r="AF2" t="s">
        <v>54</v>
      </c>
      <c r="AG2" t="s">
        <v>59</v>
      </c>
      <c r="AI2" t="s">
        <v>60</v>
      </c>
      <c r="AJ2" t="s">
        <v>60</v>
      </c>
      <c r="AK2" s="5">
        <v>46027.438668981478</v>
      </c>
      <c r="AO2" t="s">
        <v>54</v>
      </c>
      <c r="AP2">
        <v>0</v>
      </c>
      <c r="AR2" t="s">
        <v>54</v>
      </c>
      <c r="AS2" t="s">
        <v>54</v>
      </c>
      <c r="AT2">
        <v>6611</v>
      </c>
      <c r="AU2" t="s">
        <v>55</v>
      </c>
    </row>
    <row r="3" spans="1:47" x14ac:dyDescent="0.25">
      <c r="A3" t="s">
        <v>47</v>
      </c>
      <c r="B3" s="1">
        <v>38395</v>
      </c>
      <c r="C3" t="s">
        <v>48</v>
      </c>
      <c r="D3" t="s">
        <v>49</v>
      </c>
      <c r="E3" s="2">
        <v>46027</v>
      </c>
      <c r="F3" t="s">
        <v>61</v>
      </c>
      <c r="G3" t="s">
        <v>51</v>
      </c>
      <c r="H3" s="3">
        <v>13167</v>
      </c>
      <c r="I3" s="3">
        <v>13167</v>
      </c>
      <c r="J3">
        <v>0</v>
      </c>
      <c r="K3" s="3">
        <v>15142.05</v>
      </c>
      <c r="L3" s="3">
        <v>1604.7</v>
      </c>
      <c r="M3" s="3">
        <v>994.91</v>
      </c>
      <c r="N3" t="s">
        <v>52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126</v>
      </c>
      <c r="V3" t="s">
        <v>56</v>
      </c>
      <c r="W3" t="s">
        <v>57</v>
      </c>
      <c r="X3" s="4">
        <v>0</v>
      </c>
      <c r="Y3" t="s">
        <v>62</v>
      </c>
      <c r="Z3" s="3"/>
      <c r="AE3" s="3"/>
      <c r="AK3" s="5"/>
    </row>
    <row r="4" spans="1:47" x14ac:dyDescent="0.25">
      <c r="A4" t="s">
        <v>63</v>
      </c>
      <c r="B4" s="1">
        <v>0</v>
      </c>
      <c r="C4">
        <v>0</v>
      </c>
      <c r="D4" s="3">
        <v>1604.7</v>
      </c>
      <c r="E4" s="2">
        <v>0</v>
      </c>
      <c r="F4">
        <v>0</v>
      </c>
      <c r="G4" s="3">
        <v>1600</v>
      </c>
      <c r="H4" s="3" t="s">
        <v>54</v>
      </c>
      <c r="I4" s="3" t="s">
        <v>59</v>
      </c>
      <c r="J4" t="s">
        <v>64</v>
      </c>
      <c r="K4" s="3" t="s">
        <v>60</v>
      </c>
      <c r="L4" s="3" t="s">
        <v>60</v>
      </c>
      <c r="M4" s="3">
        <v>46027.476736111108</v>
      </c>
      <c r="Q4" t="s">
        <v>54</v>
      </c>
      <c r="R4">
        <v>0</v>
      </c>
      <c r="T4" t="s">
        <v>54</v>
      </c>
      <c r="U4" t="s">
        <v>54</v>
      </c>
      <c r="V4">
        <v>7006</v>
      </c>
      <c r="W4" t="s">
        <v>55</v>
      </c>
      <c r="X4" s="4"/>
      <c r="AE4" s="3"/>
      <c r="AK4" s="5"/>
    </row>
    <row r="5" spans="1:47" x14ac:dyDescent="0.25">
      <c r="A5" t="s">
        <v>47</v>
      </c>
      <c r="B5" s="1">
        <v>38396</v>
      </c>
      <c r="C5" s="3" t="s">
        <v>48</v>
      </c>
      <c r="D5" t="s">
        <v>49</v>
      </c>
      <c r="E5" s="2">
        <v>46027</v>
      </c>
      <c r="F5" t="s">
        <v>65</v>
      </c>
      <c r="G5" s="3" t="s">
        <v>66</v>
      </c>
      <c r="H5" s="3">
        <v>11994</v>
      </c>
      <c r="I5" s="3">
        <v>11994</v>
      </c>
      <c r="J5">
        <v>0</v>
      </c>
      <c r="K5" s="3">
        <v>13793.1</v>
      </c>
      <c r="L5" s="3">
        <v>1168</v>
      </c>
      <c r="M5" s="3">
        <v>724.16</v>
      </c>
      <c r="N5" t="s">
        <v>52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126</v>
      </c>
      <c r="V5" t="s">
        <v>56</v>
      </c>
      <c r="W5" t="s">
        <v>67</v>
      </c>
      <c r="X5" s="4">
        <v>0</v>
      </c>
      <c r="Y5" t="s">
        <v>58</v>
      </c>
      <c r="Z5">
        <v>0</v>
      </c>
      <c r="AA5">
        <v>0</v>
      </c>
      <c r="AB5" s="3">
        <v>1168</v>
      </c>
      <c r="AC5">
        <v>0</v>
      </c>
      <c r="AD5">
        <v>0</v>
      </c>
      <c r="AE5">
        <v>400</v>
      </c>
      <c r="AF5" t="s">
        <v>54</v>
      </c>
      <c r="AG5" t="s">
        <v>59</v>
      </c>
      <c r="AI5" t="s">
        <v>60</v>
      </c>
      <c r="AJ5" t="s">
        <v>60</v>
      </c>
      <c r="AK5" s="5">
        <v>46027.627013888887</v>
      </c>
      <c r="AO5" t="s">
        <v>54</v>
      </c>
      <c r="AP5">
        <v>0</v>
      </c>
      <c r="AR5" t="s">
        <v>54</v>
      </c>
      <c r="AS5" t="s">
        <v>54</v>
      </c>
      <c r="AT5">
        <v>1269</v>
      </c>
      <c r="AU5" t="s">
        <v>55</v>
      </c>
    </row>
    <row r="6" spans="1:47" x14ac:dyDescent="0.25">
      <c r="A6" t="s">
        <v>47</v>
      </c>
      <c r="B6" s="1">
        <v>38397</v>
      </c>
      <c r="C6" t="s">
        <v>48</v>
      </c>
      <c r="D6" t="s">
        <v>49</v>
      </c>
      <c r="E6" s="2">
        <v>46028</v>
      </c>
      <c r="F6" t="s">
        <v>68</v>
      </c>
      <c r="G6" t="s">
        <v>69</v>
      </c>
      <c r="H6" s="3">
        <v>3220</v>
      </c>
      <c r="I6" s="3">
        <v>3220</v>
      </c>
      <c r="J6">
        <v>0</v>
      </c>
      <c r="K6" s="3">
        <v>3703</v>
      </c>
      <c r="L6" s="3">
        <v>516</v>
      </c>
      <c r="M6" s="3">
        <v>242.52</v>
      </c>
      <c r="N6" t="s">
        <v>70</v>
      </c>
      <c r="O6" t="s">
        <v>53</v>
      </c>
      <c r="P6" t="s">
        <v>53</v>
      </c>
      <c r="Q6" t="s">
        <v>53</v>
      </c>
      <c r="R6" t="s">
        <v>54</v>
      </c>
      <c r="S6" t="s">
        <v>54</v>
      </c>
      <c r="T6" t="s">
        <v>55</v>
      </c>
      <c r="U6">
        <v>76</v>
      </c>
      <c r="V6" t="s">
        <v>71</v>
      </c>
      <c r="W6" t="s">
        <v>72</v>
      </c>
      <c r="X6" s="4">
        <v>0</v>
      </c>
      <c r="Y6" t="s">
        <v>62</v>
      </c>
      <c r="AB6" s="3"/>
      <c r="AE6" s="3"/>
      <c r="AK6" s="5"/>
    </row>
    <row r="7" spans="1:47" x14ac:dyDescent="0.25">
      <c r="A7" t="s">
        <v>63</v>
      </c>
      <c r="B7" s="1">
        <v>0</v>
      </c>
      <c r="C7">
        <v>0</v>
      </c>
      <c r="D7">
        <v>0</v>
      </c>
      <c r="E7" s="2">
        <v>0</v>
      </c>
      <c r="F7">
        <v>516</v>
      </c>
      <c r="G7" s="3">
        <v>400</v>
      </c>
      <c r="H7" s="3" t="s">
        <v>54</v>
      </c>
      <c r="I7" s="3" t="s">
        <v>59</v>
      </c>
      <c r="K7" s="3" t="s">
        <v>73</v>
      </c>
      <c r="L7" s="3" t="s">
        <v>73</v>
      </c>
      <c r="M7" s="3">
        <v>46028.488078703704</v>
      </c>
      <c r="Q7" t="s">
        <v>54</v>
      </c>
      <c r="R7">
        <v>0</v>
      </c>
      <c r="T7" t="s">
        <v>54</v>
      </c>
      <c r="U7" t="s">
        <v>54</v>
      </c>
      <c r="V7">
        <v>139</v>
      </c>
      <c r="W7" t="s">
        <v>55</v>
      </c>
      <c r="X7" s="4"/>
      <c r="Z7" s="3"/>
      <c r="AE7" s="3"/>
      <c r="AK7" s="5"/>
    </row>
    <row r="8" spans="1:47" x14ac:dyDescent="0.25">
      <c r="A8" t="s">
        <v>47</v>
      </c>
      <c r="B8" s="1">
        <v>38398</v>
      </c>
      <c r="C8" t="s">
        <v>48</v>
      </c>
      <c r="D8" t="s">
        <v>49</v>
      </c>
      <c r="E8" s="2">
        <v>46028</v>
      </c>
      <c r="F8" s="3" t="s">
        <v>74</v>
      </c>
      <c r="G8" s="3" t="s">
        <v>51</v>
      </c>
      <c r="H8" s="3">
        <v>3283</v>
      </c>
      <c r="I8" s="3">
        <v>3283</v>
      </c>
      <c r="J8">
        <v>0</v>
      </c>
      <c r="K8" s="3">
        <v>3775.45</v>
      </c>
      <c r="L8" s="3">
        <v>353</v>
      </c>
      <c r="M8" s="3">
        <v>218.86</v>
      </c>
      <c r="N8" t="s">
        <v>75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43</v>
      </c>
      <c r="W8" t="s">
        <v>72</v>
      </c>
      <c r="X8" s="4">
        <v>0</v>
      </c>
      <c r="Y8" t="s">
        <v>58</v>
      </c>
      <c r="Z8" s="3">
        <v>0</v>
      </c>
      <c r="AA8">
        <v>0</v>
      </c>
      <c r="AB8" s="3">
        <v>353</v>
      </c>
      <c r="AC8">
        <v>0</v>
      </c>
      <c r="AD8">
        <v>0</v>
      </c>
      <c r="AE8" s="3">
        <v>200</v>
      </c>
      <c r="AF8" t="s">
        <v>54</v>
      </c>
      <c r="AG8" t="s">
        <v>59</v>
      </c>
      <c r="AI8" t="s">
        <v>73</v>
      </c>
      <c r="AJ8" t="s">
        <v>73</v>
      </c>
      <c r="AK8" s="5">
        <v>46044.706817129627</v>
      </c>
      <c r="AO8" t="s">
        <v>54</v>
      </c>
      <c r="AP8">
        <v>0</v>
      </c>
      <c r="AR8" t="s">
        <v>54</v>
      </c>
      <c r="AS8" t="s">
        <v>54</v>
      </c>
      <c r="AT8">
        <v>8469</v>
      </c>
      <c r="AU8" t="s">
        <v>55</v>
      </c>
    </row>
    <row r="9" spans="1:47" x14ac:dyDescent="0.25">
      <c r="A9" t="s">
        <v>47</v>
      </c>
      <c r="B9" s="1">
        <v>38399</v>
      </c>
      <c r="C9" t="s">
        <v>48</v>
      </c>
      <c r="D9" t="s">
        <v>49</v>
      </c>
      <c r="E9" s="2">
        <v>46028</v>
      </c>
      <c r="F9" t="s">
        <v>76</v>
      </c>
      <c r="G9" t="s">
        <v>69</v>
      </c>
      <c r="H9" s="3">
        <v>14397</v>
      </c>
      <c r="I9" s="3">
        <v>14397</v>
      </c>
      <c r="J9">
        <v>0</v>
      </c>
      <c r="K9" s="3">
        <v>16556.55</v>
      </c>
      <c r="L9" s="3">
        <v>2219.1</v>
      </c>
      <c r="M9" s="3">
        <v>1042.99</v>
      </c>
      <c r="N9" t="s">
        <v>77</v>
      </c>
      <c r="O9" t="s">
        <v>53</v>
      </c>
      <c r="P9" t="s">
        <v>53</v>
      </c>
      <c r="Q9" t="s">
        <v>53</v>
      </c>
      <c r="R9" t="s">
        <v>54</v>
      </c>
      <c r="S9" t="s">
        <v>54</v>
      </c>
      <c r="T9" t="s">
        <v>55</v>
      </c>
      <c r="U9">
        <v>83</v>
      </c>
      <c r="W9" t="s">
        <v>78</v>
      </c>
      <c r="X9" s="4">
        <v>0</v>
      </c>
      <c r="Y9" t="s">
        <v>58</v>
      </c>
      <c r="Z9">
        <v>0</v>
      </c>
      <c r="AA9">
        <v>0</v>
      </c>
      <c r="AB9" s="3">
        <v>0</v>
      </c>
      <c r="AC9">
        <v>0</v>
      </c>
      <c r="AD9" s="3">
        <v>2219.1</v>
      </c>
      <c r="AE9" s="3">
        <v>2600</v>
      </c>
      <c r="AF9" t="s">
        <v>54</v>
      </c>
      <c r="AG9" t="s">
        <v>59</v>
      </c>
      <c r="AH9" t="s">
        <v>79</v>
      </c>
      <c r="AI9" t="s">
        <v>80</v>
      </c>
      <c r="AJ9" t="s">
        <v>73</v>
      </c>
      <c r="AK9" s="5">
        <v>46028.701481481483</v>
      </c>
      <c r="AO9" t="s">
        <v>54</v>
      </c>
      <c r="AP9">
        <v>0</v>
      </c>
      <c r="AR9" t="s">
        <v>54</v>
      </c>
      <c r="AS9" t="s">
        <v>54</v>
      </c>
      <c r="AT9">
        <v>3870</v>
      </c>
      <c r="AU9" t="s">
        <v>55</v>
      </c>
    </row>
    <row r="10" spans="1:47" x14ac:dyDescent="0.25">
      <c r="A10" t="s">
        <v>47</v>
      </c>
      <c r="B10" s="1">
        <v>38400</v>
      </c>
      <c r="C10" t="s">
        <v>48</v>
      </c>
      <c r="D10" t="s">
        <v>49</v>
      </c>
      <c r="E10" s="2">
        <v>46028</v>
      </c>
      <c r="F10" t="s">
        <v>76</v>
      </c>
      <c r="G10" s="3" t="s">
        <v>69</v>
      </c>
      <c r="H10" s="3">
        <v>14397</v>
      </c>
      <c r="I10" s="3">
        <v>14397</v>
      </c>
      <c r="J10">
        <v>0</v>
      </c>
      <c r="K10" s="3">
        <v>16556.55</v>
      </c>
      <c r="L10" s="3">
        <v>2219.1</v>
      </c>
      <c r="M10" s="3">
        <v>1042.99</v>
      </c>
      <c r="N10" t="s">
        <v>77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83</v>
      </c>
      <c r="W10" t="s">
        <v>78</v>
      </c>
      <c r="X10" s="4">
        <v>0</v>
      </c>
      <c r="Y10" t="s">
        <v>58</v>
      </c>
      <c r="Z10" s="3">
        <v>0</v>
      </c>
      <c r="AA10">
        <v>0</v>
      </c>
      <c r="AB10">
        <v>0</v>
      </c>
      <c r="AC10">
        <v>0</v>
      </c>
      <c r="AD10" s="3">
        <v>2219.1</v>
      </c>
      <c r="AE10" s="3">
        <v>2600</v>
      </c>
      <c r="AF10" t="s">
        <v>54</v>
      </c>
      <c r="AG10" t="s">
        <v>59</v>
      </c>
      <c r="AH10" t="s">
        <v>79</v>
      </c>
      <c r="AI10" t="s">
        <v>80</v>
      </c>
      <c r="AJ10" t="s">
        <v>73</v>
      </c>
      <c r="AK10" s="5">
        <v>46028.703252314815</v>
      </c>
      <c r="AO10" t="s">
        <v>54</v>
      </c>
      <c r="AP10">
        <v>0</v>
      </c>
      <c r="AR10" t="s">
        <v>54</v>
      </c>
      <c r="AS10" t="s">
        <v>54</v>
      </c>
      <c r="AT10">
        <v>3870</v>
      </c>
      <c r="AU10" t="s">
        <v>55</v>
      </c>
    </row>
    <row r="11" spans="1:47" x14ac:dyDescent="0.25">
      <c r="A11" t="s">
        <v>81</v>
      </c>
      <c r="B11" s="1">
        <v>38401</v>
      </c>
      <c r="C11" t="s">
        <v>48</v>
      </c>
      <c r="D11" t="s">
        <v>49</v>
      </c>
      <c r="E11" s="2">
        <v>46029</v>
      </c>
      <c r="F11" t="s">
        <v>82</v>
      </c>
      <c r="G11" t="s">
        <v>83</v>
      </c>
      <c r="H11" s="3">
        <v>2475</v>
      </c>
      <c r="I11" s="3">
        <v>2475</v>
      </c>
      <c r="J11">
        <v>0</v>
      </c>
      <c r="K11" s="3">
        <v>2475</v>
      </c>
      <c r="L11" s="3">
        <v>622.75</v>
      </c>
      <c r="M11" s="3">
        <v>228.55</v>
      </c>
      <c r="N11" t="s">
        <v>84</v>
      </c>
      <c r="O11" t="s">
        <v>53</v>
      </c>
      <c r="P11" t="s">
        <v>53</v>
      </c>
      <c r="Q11" t="s">
        <v>53</v>
      </c>
      <c r="R11" t="s">
        <v>54</v>
      </c>
      <c r="S11" t="s">
        <v>54</v>
      </c>
      <c r="T11" t="s">
        <v>55</v>
      </c>
      <c r="U11">
        <v>9</v>
      </c>
      <c r="V11" t="s">
        <v>71</v>
      </c>
      <c r="W11" t="s">
        <v>85</v>
      </c>
      <c r="X11" s="4">
        <v>0</v>
      </c>
      <c r="Y11" t="s">
        <v>62</v>
      </c>
      <c r="AB11" s="3"/>
      <c r="AE11" s="3"/>
      <c r="AK11" s="5"/>
    </row>
    <row r="12" spans="1:47" x14ac:dyDescent="0.25">
      <c r="A12" t="s">
        <v>63</v>
      </c>
      <c r="B12" s="1">
        <v>622.75</v>
      </c>
      <c r="C12">
        <v>0</v>
      </c>
      <c r="D12">
        <v>0</v>
      </c>
      <c r="E12" s="2">
        <v>0</v>
      </c>
      <c r="F12">
        <v>0</v>
      </c>
      <c r="G12">
        <v>500</v>
      </c>
      <c r="H12" s="3" t="s">
        <v>54</v>
      </c>
      <c r="I12" s="3" t="s">
        <v>59</v>
      </c>
      <c r="K12" s="3" t="s">
        <v>73</v>
      </c>
      <c r="L12" s="3" t="s">
        <v>73</v>
      </c>
      <c r="M12" s="3">
        <v>46029.349988425929</v>
      </c>
      <c r="Q12" t="s">
        <v>54</v>
      </c>
      <c r="R12">
        <v>0</v>
      </c>
      <c r="T12" t="s">
        <v>54</v>
      </c>
      <c r="U12" t="s">
        <v>54</v>
      </c>
      <c r="V12">
        <v>2154</v>
      </c>
      <c r="W12" t="s">
        <v>55</v>
      </c>
      <c r="X12" s="4"/>
      <c r="Z12" s="3"/>
      <c r="AD12" s="3"/>
      <c r="AE12" s="3"/>
      <c r="AK12" s="5"/>
    </row>
    <row r="13" spans="1:47" x14ac:dyDescent="0.25">
      <c r="A13" t="s">
        <v>81</v>
      </c>
      <c r="B13" s="3">
        <v>38402</v>
      </c>
      <c r="C13" t="s">
        <v>48</v>
      </c>
      <c r="D13" t="s">
        <v>49</v>
      </c>
      <c r="E13" s="2">
        <v>46029</v>
      </c>
      <c r="F13" t="s">
        <v>86</v>
      </c>
      <c r="G13" s="3" t="s">
        <v>87</v>
      </c>
      <c r="H13" s="3">
        <v>2475</v>
      </c>
      <c r="I13" s="3">
        <v>2475</v>
      </c>
      <c r="J13">
        <v>0</v>
      </c>
      <c r="K13" s="3">
        <v>2475</v>
      </c>
      <c r="L13" s="3">
        <v>622.75</v>
      </c>
      <c r="M13" s="3">
        <v>228.55</v>
      </c>
      <c r="N13" t="s">
        <v>84</v>
      </c>
      <c r="O13" t="s">
        <v>53</v>
      </c>
      <c r="P13" t="s">
        <v>53</v>
      </c>
      <c r="Q13" t="s">
        <v>53</v>
      </c>
      <c r="R13" t="s">
        <v>54</v>
      </c>
      <c r="S13" t="s">
        <v>54</v>
      </c>
      <c r="T13" t="s">
        <v>55</v>
      </c>
      <c r="U13">
        <v>9</v>
      </c>
      <c r="W13" t="s">
        <v>85</v>
      </c>
      <c r="X13" s="4">
        <v>0</v>
      </c>
      <c r="Y13" t="s">
        <v>62</v>
      </c>
      <c r="AK13" s="5"/>
    </row>
    <row r="14" spans="1:47" x14ac:dyDescent="0.25">
      <c r="A14" t="s">
        <v>63</v>
      </c>
      <c r="B14" s="1">
        <v>622.75</v>
      </c>
      <c r="C14" s="3">
        <v>0</v>
      </c>
      <c r="D14" s="3">
        <v>0</v>
      </c>
      <c r="E14" s="2">
        <v>0</v>
      </c>
      <c r="F14">
        <v>0</v>
      </c>
      <c r="G14" s="3">
        <v>500</v>
      </c>
      <c r="H14" s="3" t="s">
        <v>54</v>
      </c>
      <c r="I14" s="3" t="s">
        <v>59</v>
      </c>
      <c r="K14" s="3" t="s">
        <v>73</v>
      </c>
      <c r="L14" s="3" t="s">
        <v>73</v>
      </c>
      <c r="M14" s="3">
        <v>46029.355856481481</v>
      </c>
      <c r="Q14" t="s">
        <v>54</v>
      </c>
      <c r="R14">
        <v>0</v>
      </c>
      <c r="T14" t="s">
        <v>54</v>
      </c>
      <c r="U14" t="s">
        <v>54</v>
      </c>
      <c r="V14">
        <v>5254</v>
      </c>
      <c r="W14" t="s">
        <v>55</v>
      </c>
      <c r="X14" s="4"/>
      <c r="AE14" s="3"/>
      <c r="AK14" s="5"/>
    </row>
    <row r="15" spans="1:47" x14ac:dyDescent="0.25">
      <c r="A15" t="s">
        <v>47</v>
      </c>
      <c r="B15" s="1">
        <v>38403</v>
      </c>
      <c r="C15" t="s">
        <v>48</v>
      </c>
      <c r="D15" t="s">
        <v>49</v>
      </c>
      <c r="E15" s="2">
        <v>46029</v>
      </c>
      <c r="F15" t="s">
        <v>88</v>
      </c>
      <c r="G15" s="3" t="s">
        <v>89</v>
      </c>
      <c r="H15" s="3">
        <v>1963.5</v>
      </c>
      <c r="I15" s="3">
        <v>1963.5</v>
      </c>
      <c r="J15">
        <v>0</v>
      </c>
      <c r="K15" s="3">
        <v>2258.0300000000002</v>
      </c>
      <c r="L15" s="3">
        <v>496.65</v>
      </c>
      <c r="M15" s="3">
        <v>182.27</v>
      </c>
      <c r="N15" t="s">
        <v>84</v>
      </c>
      <c r="O15" t="s">
        <v>53</v>
      </c>
      <c r="P15" t="s">
        <v>53</v>
      </c>
      <c r="Q15" t="s">
        <v>53</v>
      </c>
      <c r="R15" t="s">
        <v>54</v>
      </c>
      <c r="S15" t="s">
        <v>54</v>
      </c>
      <c r="T15" t="s">
        <v>55</v>
      </c>
      <c r="U15">
        <v>9</v>
      </c>
      <c r="V15" t="s">
        <v>71</v>
      </c>
      <c r="W15" t="s">
        <v>90</v>
      </c>
      <c r="X15" s="4">
        <v>0</v>
      </c>
      <c r="Y15" t="s">
        <v>62</v>
      </c>
      <c r="Z15" s="3"/>
      <c r="AA15" s="3"/>
      <c r="AB15" s="3"/>
      <c r="AD15" s="3"/>
      <c r="AE15" s="3"/>
      <c r="AK15" s="5"/>
    </row>
    <row r="16" spans="1:47" x14ac:dyDescent="0.25">
      <c r="A16" t="s">
        <v>63</v>
      </c>
      <c r="B16" s="1">
        <v>496.65</v>
      </c>
      <c r="C16">
        <v>0</v>
      </c>
      <c r="D16">
        <v>0</v>
      </c>
      <c r="E16" s="2">
        <v>0</v>
      </c>
      <c r="F16">
        <v>0</v>
      </c>
      <c r="G16">
        <v>550</v>
      </c>
      <c r="H16" s="3" t="s">
        <v>54</v>
      </c>
      <c r="I16" s="3" t="s">
        <v>91</v>
      </c>
      <c r="K16" s="3" t="s">
        <v>92</v>
      </c>
      <c r="L16" s="3" t="s">
        <v>92</v>
      </c>
      <c r="M16" s="3">
        <v>46029.364594907405</v>
      </c>
      <c r="Q16" t="s">
        <v>54</v>
      </c>
      <c r="R16">
        <v>0</v>
      </c>
      <c r="T16" t="s">
        <v>54</v>
      </c>
      <c r="U16" t="s">
        <v>54</v>
      </c>
      <c r="V16">
        <v>2291</v>
      </c>
      <c r="W16" t="s">
        <v>55</v>
      </c>
      <c r="X16" s="4"/>
      <c r="Z16" s="3"/>
      <c r="AD16" s="3"/>
      <c r="AE16" s="3"/>
      <c r="AK16" s="5"/>
    </row>
    <row r="17" spans="1:47" x14ac:dyDescent="0.25">
      <c r="A17" t="s">
        <v>47</v>
      </c>
      <c r="B17" s="1">
        <v>38404</v>
      </c>
      <c r="C17" t="s">
        <v>48</v>
      </c>
      <c r="D17" t="s">
        <v>49</v>
      </c>
      <c r="E17" s="2">
        <v>46029</v>
      </c>
      <c r="F17" t="s">
        <v>93</v>
      </c>
      <c r="G17" s="3" t="s">
        <v>94</v>
      </c>
      <c r="H17" s="3">
        <v>2031.3</v>
      </c>
      <c r="I17" s="3">
        <v>2031.3</v>
      </c>
      <c r="J17">
        <v>0</v>
      </c>
      <c r="K17" s="3">
        <v>2335.9899999999998</v>
      </c>
      <c r="L17" s="3">
        <v>86.12</v>
      </c>
      <c r="M17" s="3">
        <v>57.47</v>
      </c>
      <c r="N17" t="s">
        <v>84</v>
      </c>
      <c r="O17" t="s">
        <v>53</v>
      </c>
      <c r="P17" t="s">
        <v>53</v>
      </c>
      <c r="Q17" t="s">
        <v>53</v>
      </c>
      <c r="R17" t="s">
        <v>54</v>
      </c>
      <c r="S17" t="s">
        <v>54</v>
      </c>
      <c r="T17" t="s">
        <v>55</v>
      </c>
      <c r="U17">
        <v>9</v>
      </c>
      <c r="V17" t="s">
        <v>71</v>
      </c>
      <c r="W17" t="s">
        <v>95</v>
      </c>
      <c r="X17" s="4">
        <v>0</v>
      </c>
      <c r="Y17" t="s">
        <v>62</v>
      </c>
      <c r="AD17" s="3"/>
      <c r="AE17" s="3"/>
      <c r="AK17" s="5"/>
    </row>
    <row r="18" spans="1:47" x14ac:dyDescent="0.25">
      <c r="A18" t="s">
        <v>63</v>
      </c>
      <c r="B18" s="1">
        <v>0</v>
      </c>
      <c r="C18">
        <v>0</v>
      </c>
      <c r="D18">
        <v>86.12</v>
      </c>
      <c r="E18" s="2">
        <v>0</v>
      </c>
      <c r="F18">
        <v>0</v>
      </c>
      <c r="G18">
        <v>90</v>
      </c>
      <c r="H18" s="3" t="s">
        <v>54</v>
      </c>
      <c r="I18" s="3" t="s">
        <v>59</v>
      </c>
      <c r="K18" s="3" t="s">
        <v>73</v>
      </c>
      <c r="L18" s="3" t="s">
        <v>73</v>
      </c>
      <c r="M18" s="3">
        <v>46029.448912037034</v>
      </c>
      <c r="Q18" t="s">
        <v>54</v>
      </c>
      <c r="R18">
        <v>0</v>
      </c>
      <c r="T18" t="s">
        <v>54</v>
      </c>
      <c r="U18" t="s">
        <v>54</v>
      </c>
      <c r="V18">
        <v>924</v>
      </c>
      <c r="W18" t="s">
        <v>55</v>
      </c>
      <c r="X18" s="4"/>
      <c r="AD18" s="3"/>
      <c r="AE18" s="3"/>
      <c r="AK18" s="5"/>
    </row>
    <row r="19" spans="1:47" x14ac:dyDescent="0.25">
      <c r="A19" t="s">
        <v>96</v>
      </c>
      <c r="B19" s="3">
        <v>38405</v>
      </c>
      <c r="C19" t="s">
        <v>48</v>
      </c>
      <c r="D19" s="3" t="s">
        <v>49</v>
      </c>
      <c r="E19" s="2">
        <v>46029</v>
      </c>
      <c r="F19" t="s">
        <v>97</v>
      </c>
      <c r="G19" s="3" t="s">
        <v>94</v>
      </c>
      <c r="H19" s="3">
        <v>11976</v>
      </c>
      <c r="I19" s="3">
        <v>11976</v>
      </c>
      <c r="J19">
        <v>0</v>
      </c>
      <c r="K19" s="3">
        <v>11976</v>
      </c>
      <c r="L19" s="3">
        <v>2923.2</v>
      </c>
      <c r="M19" s="3">
        <v>1072.81</v>
      </c>
      <c r="N19" t="s">
        <v>98</v>
      </c>
      <c r="O19" t="s">
        <v>53</v>
      </c>
      <c r="P19" t="s">
        <v>53</v>
      </c>
      <c r="Q19" t="s">
        <v>53</v>
      </c>
      <c r="R19" t="s">
        <v>54</v>
      </c>
      <c r="S19" t="s">
        <v>54</v>
      </c>
      <c r="T19" t="s">
        <v>55</v>
      </c>
      <c r="U19">
        <v>167</v>
      </c>
      <c r="V19" t="s">
        <v>99</v>
      </c>
      <c r="W19" t="s">
        <v>100</v>
      </c>
      <c r="X19" s="4">
        <v>0</v>
      </c>
      <c r="Y19" t="s">
        <v>58</v>
      </c>
      <c r="Z19" s="3">
        <v>2923.2</v>
      </c>
      <c r="AA19">
        <v>0</v>
      </c>
      <c r="AB19">
        <v>0</v>
      </c>
      <c r="AC19">
        <v>0</v>
      </c>
      <c r="AD19">
        <v>0</v>
      </c>
      <c r="AE19" s="3">
        <v>2400</v>
      </c>
      <c r="AF19" t="s">
        <v>54</v>
      </c>
      <c r="AG19" t="s">
        <v>59</v>
      </c>
      <c r="AI19" t="s">
        <v>73</v>
      </c>
      <c r="AJ19" t="s">
        <v>73</v>
      </c>
      <c r="AK19" s="5">
        <v>46029.466469907406</v>
      </c>
      <c r="AO19" t="s">
        <v>54</v>
      </c>
      <c r="AP19">
        <v>0</v>
      </c>
      <c r="AR19" t="s">
        <v>54</v>
      </c>
      <c r="AS19" t="s">
        <v>54</v>
      </c>
      <c r="AT19">
        <v>2778</v>
      </c>
      <c r="AU19" t="s">
        <v>55</v>
      </c>
    </row>
    <row r="20" spans="1:47" x14ac:dyDescent="0.25">
      <c r="A20" t="s">
        <v>47</v>
      </c>
      <c r="B20" s="1">
        <v>38406</v>
      </c>
      <c r="C20" t="s">
        <v>48</v>
      </c>
      <c r="D20" t="s">
        <v>49</v>
      </c>
      <c r="E20" s="2">
        <v>46029</v>
      </c>
      <c r="F20" t="s">
        <v>101</v>
      </c>
      <c r="G20" s="3" t="s">
        <v>94</v>
      </c>
      <c r="H20" s="3">
        <v>6440</v>
      </c>
      <c r="I20" s="3">
        <v>6440</v>
      </c>
      <c r="J20">
        <v>0</v>
      </c>
      <c r="K20" s="3">
        <v>7406</v>
      </c>
      <c r="L20" s="3">
        <v>1150</v>
      </c>
      <c r="M20" s="3">
        <v>426.06</v>
      </c>
      <c r="N20" t="s">
        <v>84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9</v>
      </c>
      <c r="V20" t="s">
        <v>71</v>
      </c>
      <c r="W20" t="s">
        <v>102</v>
      </c>
      <c r="X20" s="4">
        <v>0</v>
      </c>
      <c r="Y20" t="s">
        <v>58</v>
      </c>
      <c r="Z20" s="3">
        <v>1150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H20" t="s">
        <v>103</v>
      </c>
      <c r="AI20" t="s">
        <v>92</v>
      </c>
      <c r="AJ20" t="s">
        <v>92</v>
      </c>
      <c r="AK20" s="5">
        <v>46029.47457175926</v>
      </c>
      <c r="AO20" t="s">
        <v>54</v>
      </c>
      <c r="AP20">
        <v>0</v>
      </c>
      <c r="AR20" t="s">
        <v>54</v>
      </c>
      <c r="AS20" t="s">
        <v>54</v>
      </c>
      <c r="AT20">
        <v>161</v>
      </c>
      <c r="AU20" t="s">
        <v>55</v>
      </c>
    </row>
    <row r="21" spans="1:47" x14ac:dyDescent="0.25">
      <c r="A21" t="s">
        <v>47</v>
      </c>
      <c r="B21" s="1">
        <v>38407</v>
      </c>
      <c r="C21" t="s">
        <v>48</v>
      </c>
      <c r="D21" t="s">
        <v>49</v>
      </c>
      <c r="E21" s="2">
        <v>46029</v>
      </c>
      <c r="F21" t="s">
        <v>50</v>
      </c>
      <c r="G21" s="3" t="s">
        <v>51</v>
      </c>
      <c r="H21" s="3">
        <v>4183.2</v>
      </c>
      <c r="I21" s="3">
        <v>4183.2</v>
      </c>
      <c r="J21">
        <v>0</v>
      </c>
      <c r="K21" s="3">
        <v>4810.68</v>
      </c>
      <c r="L21">
        <v>596.64</v>
      </c>
      <c r="M21" s="3">
        <v>232.69</v>
      </c>
      <c r="N21" t="s">
        <v>52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126</v>
      </c>
      <c r="V21" t="s">
        <v>56</v>
      </c>
      <c r="W21" t="s">
        <v>57</v>
      </c>
      <c r="X21" s="4">
        <v>0</v>
      </c>
      <c r="Y21" t="s">
        <v>58</v>
      </c>
      <c r="Z21">
        <v>596.64</v>
      </c>
      <c r="AA21">
        <v>0</v>
      </c>
      <c r="AB21">
        <v>0</v>
      </c>
      <c r="AC21">
        <v>0</v>
      </c>
      <c r="AD21">
        <v>0</v>
      </c>
      <c r="AE21" s="3">
        <v>240</v>
      </c>
      <c r="AF21" t="s">
        <v>54</v>
      </c>
      <c r="AG21" t="s">
        <v>59</v>
      </c>
      <c r="AI21" t="s">
        <v>60</v>
      </c>
      <c r="AJ21" t="s">
        <v>60</v>
      </c>
      <c r="AK21" s="5">
        <v>46029.629131944443</v>
      </c>
      <c r="AO21" t="s">
        <v>54</v>
      </c>
      <c r="AP21">
        <v>0</v>
      </c>
      <c r="AR21" t="s">
        <v>54</v>
      </c>
      <c r="AS21" t="s">
        <v>54</v>
      </c>
      <c r="AT21">
        <v>6611</v>
      </c>
      <c r="AU21" t="s">
        <v>55</v>
      </c>
    </row>
    <row r="22" spans="1:47" x14ac:dyDescent="0.25">
      <c r="A22" t="s">
        <v>81</v>
      </c>
      <c r="B22" s="1">
        <v>38408</v>
      </c>
      <c r="C22" t="s">
        <v>48</v>
      </c>
      <c r="D22" t="s">
        <v>49</v>
      </c>
      <c r="E22" s="2">
        <v>46030</v>
      </c>
      <c r="F22" t="s">
        <v>104</v>
      </c>
      <c r="G22" t="s">
        <v>89</v>
      </c>
      <c r="H22" s="3">
        <v>4680</v>
      </c>
      <c r="I22" s="3">
        <v>4680</v>
      </c>
      <c r="J22">
        <v>0</v>
      </c>
      <c r="K22" s="3">
        <v>4680</v>
      </c>
      <c r="L22" s="3">
        <v>674</v>
      </c>
      <c r="M22" s="3">
        <v>257.26</v>
      </c>
      <c r="N22" t="s">
        <v>52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126</v>
      </c>
      <c r="V22" t="s">
        <v>56</v>
      </c>
      <c r="W22" t="s">
        <v>72</v>
      </c>
      <c r="X22" s="4">
        <v>0</v>
      </c>
      <c r="Y22" t="s">
        <v>58</v>
      </c>
      <c r="Z22" s="3">
        <v>674</v>
      </c>
      <c r="AA22">
        <v>0</v>
      </c>
      <c r="AB22">
        <v>0</v>
      </c>
      <c r="AC22">
        <v>0</v>
      </c>
      <c r="AD22">
        <v>0</v>
      </c>
      <c r="AE22" s="3">
        <v>1200</v>
      </c>
      <c r="AF22" t="s">
        <v>54</v>
      </c>
      <c r="AG22" t="s">
        <v>59</v>
      </c>
      <c r="AI22" t="s">
        <v>73</v>
      </c>
      <c r="AJ22" t="s">
        <v>73</v>
      </c>
      <c r="AK22" s="5">
        <v>46030.464837962965</v>
      </c>
      <c r="AO22" t="s">
        <v>54</v>
      </c>
      <c r="AP22">
        <v>0</v>
      </c>
      <c r="AR22" t="s">
        <v>54</v>
      </c>
      <c r="AS22" t="s">
        <v>54</v>
      </c>
      <c r="AT22">
        <v>7057</v>
      </c>
      <c r="AU22" t="s">
        <v>55</v>
      </c>
    </row>
    <row r="23" spans="1:47" x14ac:dyDescent="0.25">
      <c r="A23" t="s">
        <v>81</v>
      </c>
      <c r="B23" s="1">
        <v>38409</v>
      </c>
      <c r="C23" t="s">
        <v>48</v>
      </c>
      <c r="D23" s="3" t="s">
        <v>49</v>
      </c>
      <c r="E23" s="2">
        <v>46030</v>
      </c>
      <c r="F23" s="3" t="s">
        <v>105</v>
      </c>
      <c r="G23" s="3" t="s">
        <v>94</v>
      </c>
      <c r="H23" s="3">
        <v>6444</v>
      </c>
      <c r="I23" s="3">
        <v>6444</v>
      </c>
      <c r="J23">
        <v>0</v>
      </c>
      <c r="K23" s="3">
        <v>6444</v>
      </c>
      <c r="L23" s="3">
        <v>550.79999999999995</v>
      </c>
      <c r="M23" s="3">
        <v>341.5</v>
      </c>
      <c r="N23" t="s">
        <v>106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145</v>
      </c>
      <c r="W23" t="s">
        <v>107</v>
      </c>
      <c r="X23" s="4">
        <v>0</v>
      </c>
      <c r="Y23" t="s">
        <v>62</v>
      </c>
      <c r="Z23" s="3"/>
      <c r="AE23" s="3"/>
      <c r="AK23" s="5"/>
    </row>
    <row r="24" spans="1:47" x14ac:dyDescent="0.25">
      <c r="A24" t="s">
        <v>63</v>
      </c>
      <c r="B24" s="1">
        <v>0</v>
      </c>
      <c r="C24">
        <v>0</v>
      </c>
      <c r="D24">
        <v>550.79999999999995</v>
      </c>
      <c r="E24" s="2">
        <v>0</v>
      </c>
      <c r="F24">
        <v>0</v>
      </c>
      <c r="G24">
        <v>400</v>
      </c>
      <c r="H24" s="3" t="s">
        <v>54</v>
      </c>
      <c r="I24" s="3" t="s">
        <v>59</v>
      </c>
      <c r="K24" s="3" t="s">
        <v>73</v>
      </c>
      <c r="L24" t="s">
        <v>73</v>
      </c>
      <c r="M24" s="3">
        <v>46031.342152777775</v>
      </c>
      <c r="Q24" t="s">
        <v>54</v>
      </c>
      <c r="R24">
        <v>0</v>
      </c>
      <c r="T24" t="s">
        <v>54</v>
      </c>
      <c r="U24" t="s">
        <v>54</v>
      </c>
      <c r="V24">
        <v>8632</v>
      </c>
      <c r="W24" t="s">
        <v>55</v>
      </c>
      <c r="X24" s="4"/>
    </row>
    <row r="25" spans="1:47" x14ac:dyDescent="0.25">
      <c r="A25" t="s">
        <v>47</v>
      </c>
      <c r="B25" s="1">
        <v>38410</v>
      </c>
      <c r="C25" t="s">
        <v>48</v>
      </c>
      <c r="D25" t="s">
        <v>49</v>
      </c>
      <c r="E25" s="2">
        <v>46030</v>
      </c>
      <c r="F25" t="s">
        <v>108</v>
      </c>
      <c r="G25" s="3" t="s">
        <v>109</v>
      </c>
      <c r="H25" s="3">
        <v>60090</v>
      </c>
      <c r="I25" s="3">
        <v>60090</v>
      </c>
      <c r="J25">
        <v>0</v>
      </c>
      <c r="K25" s="3">
        <v>60090</v>
      </c>
      <c r="L25" s="3">
        <v>7701</v>
      </c>
      <c r="M25" s="3">
        <v>4774.62</v>
      </c>
      <c r="N25" t="s">
        <v>84</v>
      </c>
      <c r="O25" t="s">
        <v>53</v>
      </c>
      <c r="P25" t="s">
        <v>53</v>
      </c>
      <c r="Q25" t="s">
        <v>53</v>
      </c>
      <c r="R25" t="s">
        <v>54</v>
      </c>
      <c r="S25" t="s">
        <v>54</v>
      </c>
      <c r="T25" t="s">
        <v>55</v>
      </c>
      <c r="U25">
        <v>9</v>
      </c>
      <c r="V25" t="s">
        <v>56</v>
      </c>
      <c r="W25" t="s">
        <v>110</v>
      </c>
      <c r="X25" s="4">
        <v>0</v>
      </c>
      <c r="Y25" t="s">
        <v>58</v>
      </c>
      <c r="Z25">
        <v>0</v>
      </c>
      <c r="AA25">
        <v>0</v>
      </c>
      <c r="AB25" s="3">
        <v>7701</v>
      </c>
      <c r="AC25">
        <v>0</v>
      </c>
      <c r="AD25">
        <v>0</v>
      </c>
      <c r="AE25" s="3">
        <v>9000</v>
      </c>
      <c r="AF25" t="s">
        <v>54</v>
      </c>
      <c r="AG25" t="s">
        <v>59</v>
      </c>
      <c r="AI25" t="s">
        <v>92</v>
      </c>
      <c r="AJ25" t="s">
        <v>92</v>
      </c>
      <c r="AK25" s="5">
        <v>46030.667002314818</v>
      </c>
      <c r="AO25" t="s">
        <v>54</v>
      </c>
      <c r="AP25">
        <v>0</v>
      </c>
      <c r="AR25" t="s">
        <v>54</v>
      </c>
      <c r="AS25" t="s">
        <v>54</v>
      </c>
      <c r="AT25">
        <v>3124</v>
      </c>
      <c r="AU25" t="s">
        <v>55</v>
      </c>
    </row>
    <row r="26" spans="1:47" x14ac:dyDescent="0.25">
      <c r="A26" t="s">
        <v>47</v>
      </c>
      <c r="B26" s="1">
        <v>38411</v>
      </c>
      <c r="C26" t="s">
        <v>48</v>
      </c>
      <c r="D26" t="s">
        <v>49</v>
      </c>
      <c r="E26" s="2">
        <v>46030</v>
      </c>
      <c r="F26" t="s">
        <v>111</v>
      </c>
      <c r="G26" t="s">
        <v>69</v>
      </c>
      <c r="H26" s="3">
        <v>15300</v>
      </c>
      <c r="I26" s="3">
        <v>15300</v>
      </c>
      <c r="J26">
        <v>0</v>
      </c>
      <c r="K26" s="3">
        <v>17595</v>
      </c>
      <c r="L26" s="3">
        <v>3492</v>
      </c>
      <c r="M26" s="3">
        <v>1361.88</v>
      </c>
      <c r="N26" t="s">
        <v>52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126</v>
      </c>
      <c r="V26" t="s">
        <v>56</v>
      </c>
      <c r="W26" t="s">
        <v>95</v>
      </c>
      <c r="X26" s="4">
        <v>0</v>
      </c>
      <c r="Y26" t="s">
        <v>58</v>
      </c>
      <c r="Z26" s="3">
        <v>3492</v>
      </c>
      <c r="AA26">
        <v>0</v>
      </c>
      <c r="AB26" s="3">
        <v>0</v>
      </c>
      <c r="AC26">
        <v>0</v>
      </c>
      <c r="AD26">
        <v>0</v>
      </c>
      <c r="AE26" s="3">
        <v>3000</v>
      </c>
      <c r="AF26" t="s">
        <v>54</v>
      </c>
      <c r="AG26" t="s">
        <v>59</v>
      </c>
      <c r="AI26" t="s">
        <v>60</v>
      </c>
      <c r="AJ26" t="s">
        <v>60</v>
      </c>
      <c r="AK26" s="5">
        <v>46030.933159722219</v>
      </c>
      <c r="AO26" t="s">
        <v>54</v>
      </c>
      <c r="AP26">
        <v>0</v>
      </c>
      <c r="AR26" t="s">
        <v>54</v>
      </c>
      <c r="AS26" t="s">
        <v>54</v>
      </c>
      <c r="AT26">
        <v>1877</v>
      </c>
      <c r="AU26" t="s">
        <v>55</v>
      </c>
    </row>
    <row r="27" spans="1:47" x14ac:dyDescent="0.25">
      <c r="A27" t="s">
        <v>47</v>
      </c>
      <c r="B27" s="1">
        <v>38412</v>
      </c>
      <c r="C27" t="s">
        <v>48</v>
      </c>
      <c r="D27" s="3" t="s">
        <v>49</v>
      </c>
      <c r="E27" s="2">
        <v>46030</v>
      </c>
      <c r="F27" t="s">
        <v>112</v>
      </c>
      <c r="G27" s="3" t="s">
        <v>113</v>
      </c>
      <c r="H27">
        <v>870</v>
      </c>
      <c r="I27">
        <v>870</v>
      </c>
      <c r="J27">
        <v>0</v>
      </c>
      <c r="K27">
        <v>870</v>
      </c>
      <c r="L27">
        <v>143.4</v>
      </c>
      <c r="M27" s="3">
        <v>55.93</v>
      </c>
      <c r="N27" t="s">
        <v>52</v>
      </c>
      <c r="O27" t="s">
        <v>53</v>
      </c>
      <c r="P27" t="s">
        <v>53</v>
      </c>
      <c r="Q27" t="s">
        <v>53</v>
      </c>
      <c r="R27" t="s">
        <v>54</v>
      </c>
      <c r="S27" t="s">
        <v>54</v>
      </c>
      <c r="T27" t="s">
        <v>55</v>
      </c>
      <c r="U27">
        <v>126</v>
      </c>
      <c r="V27" t="s">
        <v>56</v>
      </c>
      <c r="W27" t="s">
        <v>114</v>
      </c>
      <c r="X27" s="4">
        <v>0</v>
      </c>
      <c r="Y27" t="s">
        <v>58</v>
      </c>
      <c r="Z27">
        <v>143.4</v>
      </c>
      <c r="AA27">
        <v>0</v>
      </c>
      <c r="AB27">
        <v>0</v>
      </c>
      <c r="AC27">
        <v>0</v>
      </c>
      <c r="AD27">
        <v>0</v>
      </c>
      <c r="AE27">
        <v>600</v>
      </c>
      <c r="AF27" t="s">
        <v>54</v>
      </c>
      <c r="AG27" t="s">
        <v>59</v>
      </c>
      <c r="AH27" t="s">
        <v>115</v>
      </c>
      <c r="AI27" t="s">
        <v>60</v>
      </c>
      <c r="AJ27" t="s">
        <v>60</v>
      </c>
      <c r="AK27" s="5">
        <v>46030.999918981484</v>
      </c>
      <c r="AO27" t="s">
        <v>54</v>
      </c>
      <c r="AP27">
        <v>0</v>
      </c>
      <c r="AR27" t="s">
        <v>54</v>
      </c>
      <c r="AS27" t="s">
        <v>54</v>
      </c>
      <c r="AT27">
        <v>4089</v>
      </c>
      <c r="AU27" t="s">
        <v>55</v>
      </c>
    </row>
    <row r="28" spans="1:47" x14ac:dyDescent="0.25">
      <c r="A28" t="s">
        <v>47</v>
      </c>
      <c r="B28" s="1">
        <v>38413</v>
      </c>
      <c r="C28" t="s">
        <v>48</v>
      </c>
      <c r="D28" t="s">
        <v>49</v>
      </c>
      <c r="E28" s="2">
        <v>46031</v>
      </c>
      <c r="F28" t="s">
        <v>93</v>
      </c>
      <c r="G28" t="s">
        <v>94</v>
      </c>
      <c r="H28" s="3">
        <v>2031.3</v>
      </c>
      <c r="I28" s="3">
        <v>2031.3</v>
      </c>
      <c r="J28">
        <v>0</v>
      </c>
      <c r="K28" s="3">
        <v>2335.9899999999998</v>
      </c>
      <c r="L28" s="3">
        <v>86.12</v>
      </c>
      <c r="M28" s="3">
        <v>57.47</v>
      </c>
      <c r="N28" t="s">
        <v>84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9</v>
      </c>
      <c r="V28" t="s">
        <v>71</v>
      </c>
      <c r="W28" t="s">
        <v>95</v>
      </c>
      <c r="X28" s="4">
        <v>0</v>
      </c>
      <c r="Y28" t="s">
        <v>62</v>
      </c>
      <c r="Z28" s="3"/>
      <c r="AK28" s="5"/>
    </row>
    <row r="29" spans="1:47" x14ac:dyDescent="0.25">
      <c r="A29" t="s">
        <v>63</v>
      </c>
      <c r="B29" s="1">
        <v>0</v>
      </c>
      <c r="C29">
        <v>0</v>
      </c>
      <c r="D29" s="3">
        <v>86.12</v>
      </c>
      <c r="E29" s="2">
        <v>0</v>
      </c>
      <c r="F29">
        <v>0</v>
      </c>
      <c r="G29" s="3">
        <v>90</v>
      </c>
      <c r="H29" s="3" t="s">
        <v>54</v>
      </c>
      <c r="I29" s="3" t="s">
        <v>59</v>
      </c>
      <c r="K29" s="3" t="s">
        <v>73</v>
      </c>
      <c r="L29" t="s">
        <v>73</v>
      </c>
      <c r="M29" s="3">
        <v>46034.353900462964</v>
      </c>
      <c r="Q29" t="s">
        <v>54</v>
      </c>
      <c r="R29">
        <v>0</v>
      </c>
      <c r="T29" t="s">
        <v>54</v>
      </c>
      <c r="U29" t="s">
        <v>54</v>
      </c>
      <c r="V29">
        <v>924</v>
      </c>
      <c r="W29" t="s">
        <v>55</v>
      </c>
      <c r="X29" s="4"/>
    </row>
    <row r="30" spans="1:47" x14ac:dyDescent="0.25">
      <c r="A30" t="s">
        <v>81</v>
      </c>
      <c r="B30" s="1">
        <v>38414</v>
      </c>
      <c r="C30" t="s">
        <v>48</v>
      </c>
      <c r="D30" t="s">
        <v>49</v>
      </c>
      <c r="E30" s="2">
        <v>46031</v>
      </c>
      <c r="F30" t="s">
        <v>116</v>
      </c>
      <c r="G30" t="s">
        <v>66</v>
      </c>
      <c r="H30" s="3">
        <v>13230</v>
      </c>
      <c r="I30" s="3">
        <v>13230</v>
      </c>
      <c r="J30">
        <v>0</v>
      </c>
      <c r="K30" s="3">
        <v>13230</v>
      </c>
      <c r="L30" s="3">
        <v>3669</v>
      </c>
      <c r="M30" s="3">
        <v>1346.52</v>
      </c>
      <c r="N30" t="s">
        <v>84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9</v>
      </c>
      <c r="W30" t="s">
        <v>117</v>
      </c>
      <c r="X30" s="4">
        <v>0</v>
      </c>
      <c r="Y30" t="s">
        <v>62</v>
      </c>
      <c r="AB30" s="3"/>
      <c r="AE30" s="3"/>
      <c r="AK30" s="5"/>
    </row>
    <row r="31" spans="1:47" x14ac:dyDescent="0.25">
      <c r="A31" t="s">
        <v>63</v>
      </c>
      <c r="B31" s="1">
        <v>3669</v>
      </c>
      <c r="C31">
        <v>0</v>
      </c>
      <c r="D31" s="3">
        <v>0</v>
      </c>
      <c r="E31" s="2">
        <v>0</v>
      </c>
      <c r="F31">
        <v>0</v>
      </c>
      <c r="G31" s="3">
        <v>3000</v>
      </c>
      <c r="H31" s="3" t="s">
        <v>54</v>
      </c>
      <c r="I31" s="3" t="s">
        <v>59</v>
      </c>
      <c r="K31" s="3" t="s">
        <v>73</v>
      </c>
      <c r="L31" t="s">
        <v>73</v>
      </c>
      <c r="M31" s="3">
        <v>46031.577048611114</v>
      </c>
      <c r="Q31" t="s">
        <v>54</v>
      </c>
      <c r="R31">
        <v>0</v>
      </c>
      <c r="T31" t="s">
        <v>54</v>
      </c>
      <c r="U31" t="s">
        <v>54</v>
      </c>
      <c r="V31">
        <v>8826</v>
      </c>
      <c r="W31" t="s">
        <v>55</v>
      </c>
      <c r="X31" s="4"/>
    </row>
    <row r="32" spans="1:47" x14ac:dyDescent="0.25">
      <c r="A32" t="s">
        <v>47</v>
      </c>
      <c r="B32" s="1">
        <v>38415</v>
      </c>
      <c r="C32" t="s">
        <v>48</v>
      </c>
      <c r="D32" t="s">
        <v>49</v>
      </c>
      <c r="E32" s="2">
        <v>46031</v>
      </c>
      <c r="F32" t="s">
        <v>118</v>
      </c>
      <c r="G32" s="3" t="s">
        <v>119</v>
      </c>
      <c r="H32" s="3">
        <v>1680</v>
      </c>
      <c r="I32" s="3">
        <v>1680</v>
      </c>
      <c r="J32">
        <v>0</v>
      </c>
      <c r="K32" s="3">
        <v>1932</v>
      </c>
      <c r="L32" s="3">
        <v>261.13</v>
      </c>
      <c r="M32" s="3">
        <v>150.15</v>
      </c>
      <c r="N32" t="s">
        <v>77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83</v>
      </c>
      <c r="W32" t="s">
        <v>85</v>
      </c>
      <c r="X32" s="4">
        <v>0</v>
      </c>
      <c r="Y32" t="s">
        <v>58</v>
      </c>
      <c r="Z32" s="3">
        <v>0</v>
      </c>
      <c r="AA32">
        <v>0</v>
      </c>
      <c r="AB32">
        <v>261.13</v>
      </c>
      <c r="AC32">
        <v>0</v>
      </c>
      <c r="AD32">
        <v>0</v>
      </c>
      <c r="AE32" s="3">
        <v>125</v>
      </c>
      <c r="AF32" t="s">
        <v>54</v>
      </c>
      <c r="AG32" t="s">
        <v>59</v>
      </c>
      <c r="AI32" t="s">
        <v>80</v>
      </c>
      <c r="AJ32" t="s">
        <v>73</v>
      </c>
      <c r="AK32" s="5">
        <v>46031.623749999999</v>
      </c>
      <c r="AO32" t="s">
        <v>54</v>
      </c>
      <c r="AP32">
        <v>0</v>
      </c>
      <c r="AR32" t="s">
        <v>54</v>
      </c>
      <c r="AS32" t="s">
        <v>54</v>
      </c>
      <c r="AT32">
        <v>4900</v>
      </c>
      <c r="AU32" t="s">
        <v>55</v>
      </c>
    </row>
    <row r="33" spans="1:47" x14ac:dyDescent="0.25">
      <c r="A33" t="s">
        <v>47</v>
      </c>
      <c r="B33" s="1">
        <v>38416</v>
      </c>
      <c r="C33" t="s">
        <v>48</v>
      </c>
      <c r="D33" t="s">
        <v>49</v>
      </c>
      <c r="E33" s="2">
        <v>46031</v>
      </c>
      <c r="F33" t="s">
        <v>118</v>
      </c>
      <c r="G33" t="s">
        <v>119</v>
      </c>
      <c r="H33" s="3">
        <v>1680</v>
      </c>
      <c r="I33" s="3">
        <v>1680</v>
      </c>
      <c r="J33">
        <v>0</v>
      </c>
      <c r="K33" s="3">
        <v>1932</v>
      </c>
      <c r="L33" s="3">
        <v>261.13</v>
      </c>
      <c r="M33" s="3">
        <v>150.15</v>
      </c>
      <c r="N33" t="s">
        <v>77</v>
      </c>
      <c r="O33" t="s">
        <v>53</v>
      </c>
      <c r="P33" t="s">
        <v>53</v>
      </c>
      <c r="Q33" t="s">
        <v>53</v>
      </c>
      <c r="R33" t="s">
        <v>54</v>
      </c>
      <c r="S33" t="s">
        <v>54</v>
      </c>
      <c r="T33" t="s">
        <v>55</v>
      </c>
      <c r="U33">
        <v>83</v>
      </c>
      <c r="W33" t="s">
        <v>85</v>
      </c>
      <c r="X33" s="4">
        <v>0</v>
      </c>
      <c r="Y33" t="s">
        <v>58</v>
      </c>
      <c r="Z33" s="3">
        <v>0</v>
      </c>
      <c r="AA33">
        <v>0</v>
      </c>
      <c r="AB33">
        <v>261.13</v>
      </c>
      <c r="AC33">
        <v>0</v>
      </c>
      <c r="AD33">
        <v>0</v>
      </c>
      <c r="AE33" s="3">
        <v>125</v>
      </c>
      <c r="AF33" t="s">
        <v>54</v>
      </c>
      <c r="AG33" t="s">
        <v>59</v>
      </c>
      <c r="AI33" t="s">
        <v>80</v>
      </c>
      <c r="AJ33" t="s">
        <v>73</v>
      </c>
      <c r="AK33" s="5">
        <v>46031.623969907407</v>
      </c>
      <c r="AO33" t="s">
        <v>54</v>
      </c>
      <c r="AP33">
        <v>0</v>
      </c>
      <c r="AR33" t="s">
        <v>54</v>
      </c>
      <c r="AS33" t="s">
        <v>54</v>
      </c>
      <c r="AT33">
        <v>4900</v>
      </c>
      <c r="AU33" t="s">
        <v>55</v>
      </c>
    </row>
    <row r="34" spans="1:47" x14ac:dyDescent="0.25">
      <c r="A34" t="s">
        <v>96</v>
      </c>
      <c r="B34" s="1">
        <v>38417</v>
      </c>
      <c r="C34" t="s">
        <v>48</v>
      </c>
      <c r="D34" t="s">
        <v>49</v>
      </c>
      <c r="E34" s="2">
        <v>46031</v>
      </c>
      <c r="F34" t="s">
        <v>120</v>
      </c>
      <c r="G34" t="s">
        <v>69</v>
      </c>
      <c r="H34" s="3">
        <v>30005.5</v>
      </c>
      <c r="I34" s="3">
        <v>30005.5</v>
      </c>
      <c r="J34">
        <v>0</v>
      </c>
      <c r="K34" s="3">
        <v>30005.5</v>
      </c>
      <c r="L34" s="3">
        <v>5101.55</v>
      </c>
      <c r="M34" s="3">
        <v>2397.73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121</v>
      </c>
      <c r="W34" t="s">
        <v>122</v>
      </c>
      <c r="X34" s="4">
        <v>0</v>
      </c>
      <c r="Y34" t="s">
        <v>58</v>
      </c>
      <c r="Z34" s="3">
        <v>0</v>
      </c>
      <c r="AA34">
        <v>0</v>
      </c>
      <c r="AB34">
        <v>0</v>
      </c>
      <c r="AC34">
        <v>0</v>
      </c>
      <c r="AD34" s="3">
        <v>5101.55</v>
      </c>
      <c r="AE34" s="3">
        <v>5750</v>
      </c>
      <c r="AF34" t="s">
        <v>54</v>
      </c>
      <c r="AG34" t="s">
        <v>59</v>
      </c>
      <c r="AH34" t="s">
        <v>79</v>
      </c>
      <c r="AI34" t="s">
        <v>80</v>
      </c>
      <c r="AJ34" t="s">
        <v>73</v>
      </c>
      <c r="AK34" s="5">
        <v>46031.642685185187</v>
      </c>
      <c r="AO34" t="s">
        <v>54</v>
      </c>
      <c r="AP34">
        <v>0</v>
      </c>
      <c r="AR34" t="s">
        <v>54</v>
      </c>
      <c r="AS34" t="s">
        <v>54</v>
      </c>
      <c r="AT34">
        <v>6081</v>
      </c>
      <c r="AU34" t="s">
        <v>55</v>
      </c>
    </row>
    <row r="35" spans="1:47" x14ac:dyDescent="0.25">
      <c r="A35" t="s">
        <v>96</v>
      </c>
      <c r="B35" s="1">
        <v>38418</v>
      </c>
      <c r="C35" t="s">
        <v>48</v>
      </c>
      <c r="D35" t="s">
        <v>49</v>
      </c>
      <c r="E35" s="2">
        <v>46031</v>
      </c>
      <c r="F35" s="3" t="s">
        <v>120</v>
      </c>
      <c r="G35" s="3" t="s">
        <v>69</v>
      </c>
      <c r="H35" s="3">
        <v>30005.5</v>
      </c>
      <c r="I35" s="3">
        <v>30005.5</v>
      </c>
      <c r="J35">
        <v>0</v>
      </c>
      <c r="K35" s="3">
        <v>30005.5</v>
      </c>
      <c r="L35" s="3">
        <v>5101.55</v>
      </c>
      <c r="M35" s="3">
        <v>2397.73</v>
      </c>
      <c r="N35" t="s">
        <v>77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83</v>
      </c>
      <c r="V35" t="s">
        <v>121</v>
      </c>
      <c r="W35" t="s">
        <v>122</v>
      </c>
      <c r="X35" s="4">
        <v>0</v>
      </c>
      <c r="Y35" t="s">
        <v>58</v>
      </c>
      <c r="Z35" s="3">
        <v>0</v>
      </c>
      <c r="AA35">
        <v>0</v>
      </c>
      <c r="AB35">
        <v>0</v>
      </c>
      <c r="AC35">
        <v>0</v>
      </c>
      <c r="AD35" s="3">
        <v>5101.55</v>
      </c>
      <c r="AE35" s="3">
        <v>5750</v>
      </c>
      <c r="AF35" t="s">
        <v>54</v>
      </c>
      <c r="AG35" t="s">
        <v>59</v>
      </c>
      <c r="AH35" t="s">
        <v>79</v>
      </c>
      <c r="AI35" t="s">
        <v>80</v>
      </c>
      <c r="AJ35" t="s">
        <v>73</v>
      </c>
      <c r="AK35" s="5">
        <v>46031.644004629627</v>
      </c>
      <c r="AO35" t="s">
        <v>54</v>
      </c>
      <c r="AP35">
        <v>0</v>
      </c>
      <c r="AR35" t="s">
        <v>54</v>
      </c>
      <c r="AS35" t="s">
        <v>54</v>
      </c>
      <c r="AT35">
        <v>6081</v>
      </c>
      <c r="AU35" t="s">
        <v>55</v>
      </c>
    </row>
    <row r="36" spans="1:47" x14ac:dyDescent="0.25">
      <c r="A36" t="s">
        <v>96</v>
      </c>
      <c r="B36" s="1">
        <v>38420</v>
      </c>
      <c r="C36" t="s">
        <v>48</v>
      </c>
      <c r="D36" s="3" t="s">
        <v>49</v>
      </c>
      <c r="E36" s="2">
        <v>46031</v>
      </c>
      <c r="F36" t="s">
        <v>120</v>
      </c>
      <c r="G36" s="3" t="s">
        <v>69</v>
      </c>
      <c r="H36" s="3">
        <v>30005.5</v>
      </c>
      <c r="I36" s="3">
        <v>30005.5</v>
      </c>
      <c r="J36">
        <v>0</v>
      </c>
      <c r="K36" s="3">
        <v>30005.5</v>
      </c>
      <c r="L36" s="3">
        <v>5101.55</v>
      </c>
      <c r="M36" s="3">
        <v>2397.73</v>
      </c>
      <c r="N36" t="s">
        <v>77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83</v>
      </c>
      <c r="V36" t="s">
        <v>121</v>
      </c>
      <c r="W36" t="s">
        <v>122</v>
      </c>
      <c r="X36" s="4">
        <v>0</v>
      </c>
      <c r="Y36" t="s">
        <v>58</v>
      </c>
      <c r="Z36" s="3">
        <v>0</v>
      </c>
      <c r="AA36">
        <v>0</v>
      </c>
      <c r="AB36">
        <v>0</v>
      </c>
      <c r="AC36">
        <v>0</v>
      </c>
      <c r="AD36" s="3">
        <v>5101.55</v>
      </c>
      <c r="AE36" s="3">
        <v>5750</v>
      </c>
      <c r="AF36" t="s">
        <v>54</v>
      </c>
      <c r="AG36" t="s">
        <v>59</v>
      </c>
      <c r="AH36" t="s">
        <v>79</v>
      </c>
      <c r="AI36" t="s">
        <v>73</v>
      </c>
      <c r="AJ36" t="s">
        <v>73</v>
      </c>
      <c r="AK36" s="5">
        <v>46031.644270833334</v>
      </c>
      <c r="AO36" t="s">
        <v>54</v>
      </c>
      <c r="AP36">
        <v>0</v>
      </c>
      <c r="AR36" t="s">
        <v>54</v>
      </c>
      <c r="AS36" t="s">
        <v>54</v>
      </c>
      <c r="AT36">
        <v>6081</v>
      </c>
      <c r="AU36" t="s">
        <v>55</v>
      </c>
    </row>
    <row r="37" spans="1:47" x14ac:dyDescent="0.25">
      <c r="A37" t="s">
        <v>96</v>
      </c>
      <c r="B37" s="1">
        <v>38421</v>
      </c>
      <c r="C37" t="s">
        <v>48</v>
      </c>
      <c r="D37" t="s">
        <v>49</v>
      </c>
      <c r="E37" s="2">
        <v>46031</v>
      </c>
      <c r="F37" s="3" t="s">
        <v>120</v>
      </c>
      <c r="G37" s="3" t="s">
        <v>69</v>
      </c>
      <c r="H37" s="3">
        <v>30005.5</v>
      </c>
      <c r="I37" s="3">
        <v>30005.5</v>
      </c>
      <c r="J37">
        <v>0</v>
      </c>
      <c r="K37" s="3">
        <v>30005.5</v>
      </c>
      <c r="L37" s="3">
        <v>5101.55</v>
      </c>
      <c r="M37" s="3">
        <v>2397.73</v>
      </c>
      <c r="N37" t="s">
        <v>77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83</v>
      </c>
      <c r="V37" t="s">
        <v>121</v>
      </c>
      <c r="W37" t="s">
        <v>122</v>
      </c>
      <c r="X37" s="4">
        <v>0</v>
      </c>
      <c r="Y37" t="s">
        <v>58</v>
      </c>
      <c r="Z37" s="3">
        <v>0</v>
      </c>
      <c r="AA37">
        <v>0</v>
      </c>
      <c r="AB37">
        <v>0</v>
      </c>
      <c r="AC37">
        <v>0</v>
      </c>
      <c r="AD37" s="3">
        <v>5101.55</v>
      </c>
      <c r="AE37" s="3">
        <v>5750</v>
      </c>
      <c r="AF37" t="s">
        <v>54</v>
      </c>
      <c r="AG37" t="s">
        <v>59</v>
      </c>
      <c r="AH37" t="s">
        <v>79</v>
      </c>
      <c r="AI37" t="s">
        <v>73</v>
      </c>
      <c r="AJ37" t="s">
        <v>73</v>
      </c>
      <c r="AK37" s="5">
        <v>46031.644467592596</v>
      </c>
      <c r="AO37" t="s">
        <v>54</v>
      </c>
      <c r="AP37">
        <v>0</v>
      </c>
      <c r="AR37" t="s">
        <v>54</v>
      </c>
      <c r="AS37" t="s">
        <v>54</v>
      </c>
      <c r="AT37">
        <v>6081</v>
      </c>
      <c r="AU37" t="s">
        <v>55</v>
      </c>
    </row>
    <row r="38" spans="1:47" x14ac:dyDescent="0.25">
      <c r="A38" t="s">
        <v>96</v>
      </c>
      <c r="B38" s="1">
        <v>38422</v>
      </c>
      <c r="C38" t="s">
        <v>48</v>
      </c>
      <c r="D38" s="3" t="s">
        <v>49</v>
      </c>
      <c r="E38" s="2">
        <v>46031</v>
      </c>
      <c r="F38" t="s">
        <v>120</v>
      </c>
      <c r="G38" s="3" t="s">
        <v>69</v>
      </c>
      <c r="H38" s="3">
        <v>30005.5</v>
      </c>
      <c r="I38" s="3">
        <v>30005.5</v>
      </c>
      <c r="J38">
        <v>0</v>
      </c>
      <c r="K38" s="3">
        <v>30005.5</v>
      </c>
      <c r="L38" s="3">
        <v>5101.55</v>
      </c>
      <c r="M38" s="3">
        <v>2397.73</v>
      </c>
      <c r="N38" t="s">
        <v>77</v>
      </c>
      <c r="O38" t="s">
        <v>53</v>
      </c>
      <c r="P38" t="s">
        <v>53</v>
      </c>
      <c r="Q38" t="s">
        <v>53</v>
      </c>
      <c r="R38" t="s">
        <v>54</v>
      </c>
      <c r="S38" t="s">
        <v>54</v>
      </c>
      <c r="T38" t="s">
        <v>55</v>
      </c>
      <c r="U38">
        <v>83</v>
      </c>
      <c r="V38" t="s">
        <v>121</v>
      </c>
      <c r="W38" t="s">
        <v>122</v>
      </c>
      <c r="X38" s="4">
        <v>0</v>
      </c>
      <c r="Y38" t="s">
        <v>58</v>
      </c>
      <c r="Z38">
        <v>0</v>
      </c>
      <c r="AA38">
        <v>0</v>
      </c>
      <c r="AB38">
        <v>0</v>
      </c>
      <c r="AC38">
        <v>0</v>
      </c>
      <c r="AD38" s="3">
        <v>5101.55</v>
      </c>
      <c r="AE38" s="3">
        <v>5750</v>
      </c>
      <c r="AF38" t="s">
        <v>54</v>
      </c>
      <c r="AG38" t="s">
        <v>59</v>
      </c>
      <c r="AH38" t="s">
        <v>79</v>
      </c>
      <c r="AI38" t="s">
        <v>73</v>
      </c>
      <c r="AJ38" t="s">
        <v>73</v>
      </c>
      <c r="AK38" s="5">
        <v>46031.644791666666</v>
      </c>
      <c r="AO38" t="s">
        <v>54</v>
      </c>
      <c r="AP38">
        <v>0</v>
      </c>
      <c r="AR38" t="s">
        <v>54</v>
      </c>
      <c r="AS38" t="s">
        <v>54</v>
      </c>
      <c r="AT38">
        <v>6081</v>
      </c>
      <c r="AU38" t="s">
        <v>55</v>
      </c>
    </row>
    <row r="39" spans="1:47" x14ac:dyDescent="0.25">
      <c r="A39" t="s">
        <v>96</v>
      </c>
      <c r="B39" s="1">
        <v>38423</v>
      </c>
      <c r="C39" t="s">
        <v>48</v>
      </c>
      <c r="D39" t="s">
        <v>49</v>
      </c>
      <c r="E39" s="2">
        <v>46031</v>
      </c>
      <c r="F39" t="s">
        <v>120</v>
      </c>
      <c r="G39" t="s">
        <v>69</v>
      </c>
      <c r="H39" s="3">
        <v>30005.5</v>
      </c>
      <c r="I39" s="3">
        <v>30005.5</v>
      </c>
      <c r="J39">
        <v>0</v>
      </c>
      <c r="K39" s="3">
        <v>30005.5</v>
      </c>
      <c r="L39" s="3">
        <v>5101.55</v>
      </c>
      <c r="M39" s="3">
        <v>2397.73</v>
      </c>
      <c r="N39" t="s">
        <v>77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83</v>
      </c>
      <c r="V39" t="s">
        <v>121</v>
      </c>
      <c r="W39" t="s">
        <v>122</v>
      </c>
      <c r="X39" s="4">
        <v>0</v>
      </c>
      <c r="Y39" t="s">
        <v>58</v>
      </c>
      <c r="Z39">
        <v>0</v>
      </c>
      <c r="AA39">
        <v>0</v>
      </c>
      <c r="AB39">
        <v>0</v>
      </c>
      <c r="AC39">
        <v>0</v>
      </c>
      <c r="AD39" s="3">
        <v>5101.55</v>
      </c>
      <c r="AE39" s="3">
        <v>5750</v>
      </c>
      <c r="AF39" t="s">
        <v>54</v>
      </c>
      <c r="AG39" t="s">
        <v>59</v>
      </c>
      <c r="AH39" t="s">
        <v>79</v>
      </c>
      <c r="AI39" t="s">
        <v>73</v>
      </c>
      <c r="AJ39" t="s">
        <v>73</v>
      </c>
      <c r="AK39" s="5">
        <v>46031.644618055558</v>
      </c>
      <c r="AO39" t="s">
        <v>54</v>
      </c>
      <c r="AP39">
        <v>0</v>
      </c>
      <c r="AR39" t="s">
        <v>54</v>
      </c>
      <c r="AS39" t="s">
        <v>54</v>
      </c>
      <c r="AT39">
        <v>6081</v>
      </c>
      <c r="AU39" t="s">
        <v>55</v>
      </c>
    </row>
    <row r="40" spans="1:47" x14ac:dyDescent="0.25">
      <c r="A40" t="s">
        <v>47</v>
      </c>
      <c r="B40" s="1">
        <v>38426</v>
      </c>
      <c r="C40" t="s">
        <v>48</v>
      </c>
      <c r="D40" t="s">
        <v>49</v>
      </c>
      <c r="E40" s="2">
        <v>46031</v>
      </c>
      <c r="F40" t="s">
        <v>123</v>
      </c>
      <c r="G40" t="s">
        <v>124</v>
      </c>
      <c r="H40" s="3">
        <v>11330</v>
      </c>
      <c r="I40" s="3">
        <v>11330</v>
      </c>
      <c r="J40">
        <v>0</v>
      </c>
      <c r="K40" s="3">
        <v>11330</v>
      </c>
      <c r="L40" s="3">
        <v>1922</v>
      </c>
      <c r="M40" s="3">
        <v>903.34</v>
      </c>
      <c r="N40" t="s">
        <v>52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126</v>
      </c>
      <c r="V40" t="s">
        <v>56</v>
      </c>
      <c r="W40" t="s">
        <v>95</v>
      </c>
      <c r="X40" s="4">
        <v>0</v>
      </c>
      <c r="Y40" t="s">
        <v>58</v>
      </c>
      <c r="Z40">
        <v>0</v>
      </c>
      <c r="AA40">
        <v>0</v>
      </c>
      <c r="AB40">
        <v>0</v>
      </c>
      <c r="AC40">
        <v>0</v>
      </c>
      <c r="AD40" s="3">
        <v>1922</v>
      </c>
      <c r="AE40" s="3">
        <v>2000</v>
      </c>
      <c r="AF40" t="s">
        <v>54</v>
      </c>
      <c r="AG40" t="s">
        <v>59</v>
      </c>
      <c r="AI40" t="s">
        <v>60</v>
      </c>
      <c r="AJ40" t="s">
        <v>60</v>
      </c>
      <c r="AK40" s="5">
        <v>46031.674016203702</v>
      </c>
      <c r="AO40" t="s">
        <v>54</v>
      </c>
      <c r="AP40">
        <v>0</v>
      </c>
      <c r="AR40" t="s">
        <v>54</v>
      </c>
      <c r="AS40" t="s">
        <v>54</v>
      </c>
      <c r="AT40">
        <v>8466</v>
      </c>
      <c r="AU40" t="s">
        <v>55</v>
      </c>
    </row>
    <row r="41" spans="1:47" x14ac:dyDescent="0.25">
      <c r="A41" t="s">
        <v>96</v>
      </c>
      <c r="B41" s="1">
        <v>38427</v>
      </c>
      <c r="C41" t="s">
        <v>48</v>
      </c>
      <c r="D41" t="s">
        <v>49</v>
      </c>
      <c r="E41" s="2">
        <v>46034</v>
      </c>
      <c r="F41" t="s">
        <v>125</v>
      </c>
      <c r="G41" s="3" t="s">
        <v>66</v>
      </c>
      <c r="H41" s="3">
        <v>17968</v>
      </c>
      <c r="I41" s="3">
        <v>17968</v>
      </c>
      <c r="J41">
        <v>0</v>
      </c>
      <c r="K41" s="3">
        <v>17968</v>
      </c>
      <c r="L41" s="3">
        <v>2654.4</v>
      </c>
      <c r="M41" s="3">
        <v>1474.99</v>
      </c>
      <c r="N41" t="s">
        <v>52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126</v>
      </c>
      <c r="V41" t="s">
        <v>56</v>
      </c>
      <c r="W41" t="s">
        <v>72</v>
      </c>
      <c r="X41" s="4">
        <v>0</v>
      </c>
      <c r="Y41" t="s">
        <v>58</v>
      </c>
      <c r="Z41">
        <v>0</v>
      </c>
      <c r="AA41">
        <v>0</v>
      </c>
      <c r="AB41" s="3">
        <v>1524.8</v>
      </c>
      <c r="AC41">
        <v>0</v>
      </c>
      <c r="AD41" s="3">
        <v>1129.5999999999999</v>
      </c>
      <c r="AE41" s="3">
        <v>1000</v>
      </c>
      <c r="AF41" t="s">
        <v>54</v>
      </c>
      <c r="AG41" t="s">
        <v>59</v>
      </c>
      <c r="AI41" t="s">
        <v>60</v>
      </c>
      <c r="AJ41" t="s">
        <v>73</v>
      </c>
      <c r="AK41" s="5">
        <v>46034.643159722225</v>
      </c>
      <c r="AO41" t="s">
        <v>54</v>
      </c>
      <c r="AP41">
        <v>0</v>
      </c>
      <c r="AR41" t="s">
        <v>54</v>
      </c>
      <c r="AS41" t="s">
        <v>54</v>
      </c>
      <c r="AT41">
        <v>5443</v>
      </c>
      <c r="AU41" t="s">
        <v>55</v>
      </c>
    </row>
    <row r="42" spans="1:47" x14ac:dyDescent="0.25">
      <c r="A42" t="s">
        <v>47</v>
      </c>
      <c r="B42" s="1">
        <v>38428</v>
      </c>
      <c r="C42" t="s">
        <v>48</v>
      </c>
      <c r="D42" t="s">
        <v>49</v>
      </c>
      <c r="E42" s="2">
        <v>46035</v>
      </c>
      <c r="F42" s="3" t="s">
        <v>126</v>
      </c>
      <c r="G42" s="3" t="s">
        <v>89</v>
      </c>
      <c r="H42" s="3">
        <v>5120</v>
      </c>
      <c r="I42" s="3">
        <v>5120</v>
      </c>
      <c r="J42">
        <v>0</v>
      </c>
      <c r="K42" s="3">
        <v>5888</v>
      </c>
      <c r="L42" s="3">
        <v>620.5</v>
      </c>
      <c r="M42" s="3">
        <v>384.71</v>
      </c>
      <c r="N42" t="s">
        <v>84</v>
      </c>
      <c r="O42" t="s">
        <v>53</v>
      </c>
      <c r="P42" t="s">
        <v>53</v>
      </c>
      <c r="Q42" t="s">
        <v>53</v>
      </c>
      <c r="R42" t="s">
        <v>54</v>
      </c>
      <c r="S42" t="s">
        <v>54</v>
      </c>
      <c r="T42" t="s">
        <v>55</v>
      </c>
      <c r="U42">
        <v>9</v>
      </c>
      <c r="V42" t="s">
        <v>71</v>
      </c>
      <c r="W42" t="s">
        <v>95</v>
      </c>
      <c r="X42" s="4">
        <v>0</v>
      </c>
      <c r="Y42" t="s">
        <v>58</v>
      </c>
      <c r="Z42">
        <v>0</v>
      </c>
      <c r="AA42">
        <v>0</v>
      </c>
      <c r="AB42">
        <v>620.5</v>
      </c>
      <c r="AC42">
        <v>0</v>
      </c>
      <c r="AD42" s="3">
        <v>0</v>
      </c>
      <c r="AE42" s="3">
        <v>500</v>
      </c>
      <c r="AF42" t="s">
        <v>54</v>
      </c>
      <c r="AG42" t="s">
        <v>59</v>
      </c>
      <c r="AI42" t="s">
        <v>73</v>
      </c>
      <c r="AJ42" t="s">
        <v>73</v>
      </c>
      <c r="AK42" s="5">
        <v>46035.417569444442</v>
      </c>
      <c r="AO42" t="s">
        <v>54</v>
      </c>
      <c r="AP42">
        <v>0</v>
      </c>
      <c r="AR42" t="s">
        <v>54</v>
      </c>
      <c r="AS42" t="s">
        <v>54</v>
      </c>
      <c r="AT42">
        <v>3204</v>
      </c>
      <c r="AU42" t="s">
        <v>55</v>
      </c>
    </row>
    <row r="43" spans="1:47" x14ac:dyDescent="0.25">
      <c r="A43" t="s">
        <v>47</v>
      </c>
      <c r="B43" s="1">
        <v>38429</v>
      </c>
      <c r="C43" t="s">
        <v>48</v>
      </c>
      <c r="D43" t="s">
        <v>49</v>
      </c>
      <c r="E43" s="2">
        <v>46035</v>
      </c>
      <c r="F43" t="s">
        <v>126</v>
      </c>
      <c r="G43" t="s">
        <v>89</v>
      </c>
      <c r="H43" s="3">
        <v>5120</v>
      </c>
      <c r="I43" s="3">
        <v>5120</v>
      </c>
      <c r="J43">
        <v>0</v>
      </c>
      <c r="K43" s="3">
        <v>5888</v>
      </c>
      <c r="L43" s="3">
        <v>620.5</v>
      </c>
      <c r="M43" s="3">
        <v>384.71</v>
      </c>
      <c r="N43" t="s">
        <v>84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9</v>
      </c>
      <c r="V43" t="s">
        <v>71</v>
      </c>
      <c r="W43" t="s">
        <v>95</v>
      </c>
      <c r="X43" s="4">
        <v>0</v>
      </c>
      <c r="Y43" t="s">
        <v>58</v>
      </c>
      <c r="Z43" s="3">
        <v>0</v>
      </c>
      <c r="AA43">
        <v>0</v>
      </c>
      <c r="AB43" s="3">
        <v>620.5</v>
      </c>
      <c r="AC43">
        <v>0</v>
      </c>
      <c r="AD43" s="3">
        <v>0</v>
      </c>
      <c r="AE43" s="3">
        <v>500</v>
      </c>
      <c r="AF43" t="s">
        <v>54</v>
      </c>
      <c r="AG43" t="s">
        <v>59</v>
      </c>
      <c r="AI43" t="s">
        <v>73</v>
      </c>
      <c r="AJ43" t="s">
        <v>73</v>
      </c>
      <c r="AK43" s="5">
        <v>46035.417627314811</v>
      </c>
      <c r="AO43" t="s">
        <v>54</v>
      </c>
      <c r="AP43">
        <v>0</v>
      </c>
      <c r="AR43" t="s">
        <v>54</v>
      </c>
      <c r="AS43" t="s">
        <v>54</v>
      </c>
      <c r="AT43">
        <v>3204</v>
      </c>
      <c r="AU43" t="s">
        <v>55</v>
      </c>
    </row>
    <row r="44" spans="1:47" x14ac:dyDescent="0.25">
      <c r="A44" t="s">
        <v>47</v>
      </c>
      <c r="B44" s="1">
        <v>38430</v>
      </c>
      <c r="C44" t="s">
        <v>48</v>
      </c>
      <c r="D44" t="s">
        <v>49</v>
      </c>
      <c r="E44" s="2">
        <v>46035</v>
      </c>
      <c r="F44" t="s">
        <v>126</v>
      </c>
      <c r="G44" s="3" t="s">
        <v>89</v>
      </c>
      <c r="H44" s="3">
        <v>2925</v>
      </c>
      <c r="I44" s="3">
        <v>2925</v>
      </c>
      <c r="J44">
        <v>0</v>
      </c>
      <c r="K44" s="3">
        <v>3363.75</v>
      </c>
      <c r="L44" s="3">
        <v>372.5</v>
      </c>
      <c r="M44" s="3">
        <v>230.95</v>
      </c>
      <c r="N44" t="s">
        <v>84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9</v>
      </c>
      <c r="V44" t="s">
        <v>71</v>
      </c>
      <c r="W44" t="s">
        <v>95</v>
      </c>
      <c r="X44" s="4">
        <v>0</v>
      </c>
      <c r="Y44" t="s">
        <v>58</v>
      </c>
      <c r="Z44" s="3">
        <v>0</v>
      </c>
      <c r="AA44">
        <v>0</v>
      </c>
      <c r="AB44" s="3">
        <v>372.5</v>
      </c>
      <c r="AC44">
        <v>0</v>
      </c>
      <c r="AD44">
        <v>0</v>
      </c>
      <c r="AE44" s="3">
        <v>500</v>
      </c>
      <c r="AF44" t="s">
        <v>54</v>
      </c>
      <c r="AG44" t="s">
        <v>59</v>
      </c>
      <c r="AI44" t="s">
        <v>73</v>
      </c>
      <c r="AJ44" t="s">
        <v>73</v>
      </c>
      <c r="AK44" s="5">
        <v>46035.460555555554</v>
      </c>
      <c r="AO44" t="s">
        <v>54</v>
      </c>
      <c r="AP44">
        <v>0</v>
      </c>
      <c r="AR44" t="s">
        <v>54</v>
      </c>
      <c r="AS44" t="s">
        <v>54</v>
      </c>
      <c r="AT44">
        <v>3204</v>
      </c>
      <c r="AU44" t="s">
        <v>55</v>
      </c>
    </row>
    <row r="45" spans="1:47" x14ac:dyDescent="0.25">
      <c r="A45" t="s">
        <v>96</v>
      </c>
      <c r="B45" s="1">
        <v>38431</v>
      </c>
      <c r="C45" t="s">
        <v>48</v>
      </c>
      <c r="D45" t="s">
        <v>49</v>
      </c>
      <c r="E45" s="2">
        <v>46035</v>
      </c>
      <c r="F45" t="s">
        <v>127</v>
      </c>
      <c r="G45" t="s">
        <v>109</v>
      </c>
      <c r="H45" s="3">
        <v>1278.5</v>
      </c>
      <c r="I45" s="3">
        <v>1278.5</v>
      </c>
      <c r="J45">
        <v>0</v>
      </c>
      <c r="K45" s="3">
        <v>1278.5</v>
      </c>
      <c r="L45" s="3">
        <v>207.5</v>
      </c>
      <c r="M45" s="3">
        <v>92.13</v>
      </c>
      <c r="N45" t="s">
        <v>84</v>
      </c>
      <c r="O45" t="s">
        <v>53</v>
      </c>
      <c r="P45" t="s">
        <v>53</v>
      </c>
      <c r="Q45" t="s">
        <v>53</v>
      </c>
      <c r="R45" t="s">
        <v>54</v>
      </c>
      <c r="S45" t="s">
        <v>54</v>
      </c>
      <c r="T45" t="s">
        <v>55</v>
      </c>
      <c r="U45">
        <v>9</v>
      </c>
      <c r="V45" t="s">
        <v>71</v>
      </c>
      <c r="W45" t="s">
        <v>114</v>
      </c>
      <c r="X45" s="4">
        <v>0</v>
      </c>
      <c r="Y45" t="s">
        <v>62</v>
      </c>
      <c r="Z45" s="3"/>
      <c r="AB45" s="3"/>
      <c r="AE45" s="3"/>
      <c r="AK45" s="5"/>
    </row>
    <row r="46" spans="1:47" x14ac:dyDescent="0.25">
      <c r="A46" t="s">
        <v>63</v>
      </c>
      <c r="B46" s="1">
        <v>207.5</v>
      </c>
      <c r="C46">
        <v>0</v>
      </c>
      <c r="D46">
        <v>0</v>
      </c>
      <c r="E46" s="2">
        <v>0</v>
      </c>
      <c r="F46">
        <v>0</v>
      </c>
      <c r="G46">
        <v>50</v>
      </c>
      <c r="H46" s="3" t="s">
        <v>54</v>
      </c>
      <c r="I46" s="3" t="s">
        <v>59</v>
      </c>
      <c r="J46" t="s">
        <v>128</v>
      </c>
      <c r="K46" s="3" t="s">
        <v>73</v>
      </c>
      <c r="L46" s="3" t="s">
        <v>73</v>
      </c>
      <c r="M46" s="3">
        <v>46035.491793981484</v>
      </c>
      <c r="Q46" t="s">
        <v>54</v>
      </c>
      <c r="R46">
        <v>0</v>
      </c>
      <c r="T46" t="s">
        <v>54</v>
      </c>
      <c r="U46" t="s">
        <v>54</v>
      </c>
      <c r="V46">
        <v>4963</v>
      </c>
      <c r="W46" t="s">
        <v>55</v>
      </c>
      <c r="X46" s="4"/>
      <c r="Z46" s="3"/>
      <c r="AB46" s="3"/>
      <c r="AE46" s="3"/>
      <c r="AK46" s="5"/>
    </row>
    <row r="47" spans="1:47" x14ac:dyDescent="0.25">
      <c r="A47" t="s">
        <v>96</v>
      </c>
      <c r="B47" s="1">
        <v>38432</v>
      </c>
      <c r="C47" t="s">
        <v>48</v>
      </c>
      <c r="D47" t="s">
        <v>49</v>
      </c>
      <c r="E47" s="2">
        <v>46035</v>
      </c>
      <c r="F47" t="s">
        <v>127</v>
      </c>
      <c r="G47" s="3" t="s">
        <v>109</v>
      </c>
      <c r="H47" s="3">
        <v>2557</v>
      </c>
      <c r="I47" s="3">
        <v>2557</v>
      </c>
      <c r="J47">
        <v>0</v>
      </c>
      <c r="K47" s="3">
        <v>2557</v>
      </c>
      <c r="L47" s="3">
        <v>415</v>
      </c>
      <c r="M47" s="3">
        <v>184.26</v>
      </c>
      <c r="N47" t="s">
        <v>84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9</v>
      </c>
      <c r="V47" t="s">
        <v>71</v>
      </c>
      <c r="W47" t="s">
        <v>114</v>
      </c>
      <c r="X47" s="4">
        <v>0</v>
      </c>
      <c r="Y47" t="s">
        <v>62</v>
      </c>
      <c r="AB47" s="3"/>
      <c r="AK47" s="5"/>
    </row>
    <row r="48" spans="1:47" x14ac:dyDescent="0.25">
      <c r="A48" t="s">
        <v>63</v>
      </c>
      <c r="B48" s="1">
        <v>415</v>
      </c>
      <c r="C48">
        <v>0</v>
      </c>
      <c r="D48">
        <v>0</v>
      </c>
      <c r="E48" s="2">
        <v>0</v>
      </c>
      <c r="F48">
        <v>0</v>
      </c>
      <c r="G48" s="3">
        <v>100</v>
      </c>
      <c r="H48" s="3" t="s">
        <v>54</v>
      </c>
      <c r="I48" s="3" t="s">
        <v>59</v>
      </c>
      <c r="J48" t="s">
        <v>128</v>
      </c>
      <c r="K48" s="3" t="s">
        <v>73</v>
      </c>
      <c r="L48" s="3" t="s">
        <v>73</v>
      </c>
      <c r="M48" s="3">
        <v>46035.490428240744</v>
      </c>
      <c r="Q48" t="s">
        <v>54</v>
      </c>
      <c r="R48">
        <v>0</v>
      </c>
      <c r="T48" t="s">
        <v>54</v>
      </c>
      <c r="U48" t="s">
        <v>54</v>
      </c>
      <c r="V48">
        <v>4963</v>
      </c>
      <c r="W48" t="s">
        <v>55</v>
      </c>
      <c r="X48" s="4"/>
      <c r="AK48" s="5"/>
    </row>
    <row r="49" spans="1:47" x14ac:dyDescent="0.25">
      <c r="A49" t="s">
        <v>47</v>
      </c>
      <c r="B49" s="1">
        <v>38433</v>
      </c>
      <c r="C49" t="s">
        <v>48</v>
      </c>
      <c r="D49" t="s">
        <v>49</v>
      </c>
      <c r="E49" s="2">
        <v>46035</v>
      </c>
      <c r="F49" t="s">
        <v>129</v>
      </c>
      <c r="G49" s="3" t="s">
        <v>130</v>
      </c>
      <c r="H49" s="3">
        <v>6480</v>
      </c>
      <c r="I49" s="3">
        <v>6480</v>
      </c>
      <c r="J49">
        <v>0</v>
      </c>
      <c r="K49" s="3">
        <v>7452</v>
      </c>
      <c r="L49" s="3">
        <v>1164</v>
      </c>
      <c r="M49" s="3">
        <v>488.88</v>
      </c>
      <c r="N49" t="s">
        <v>52</v>
      </c>
      <c r="O49" t="s">
        <v>53</v>
      </c>
      <c r="P49" t="s">
        <v>53</v>
      </c>
      <c r="Q49" t="s">
        <v>53</v>
      </c>
      <c r="R49" t="s">
        <v>54</v>
      </c>
      <c r="S49" t="s">
        <v>54</v>
      </c>
      <c r="T49" t="s">
        <v>55</v>
      </c>
      <c r="U49">
        <v>126</v>
      </c>
      <c r="V49" t="s">
        <v>56</v>
      </c>
      <c r="W49" t="s">
        <v>131</v>
      </c>
      <c r="X49" s="4">
        <v>0</v>
      </c>
      <c r="Y49" t="s">
        <v>62</v>
      </c>
      <c r="AB49" s="3"/>
      <c r="AE49" s="3"/>
      <c r="AK49" s="5"/>
    </row>
    <row r="50" spans="1:47" x14ac:dyDescent="0.25">
      <c r="A50" t="s">
        <v>63</v>
      </c>
      <c r="B50" s="1">
        <v>1164</v>
      </c>
      <c r="C50">
        <v>0</v>
      </c>
      <c r="D50">
        <v>0</v>
      </c>
      <c r="E50" s="2">
        <v>0</v>
      </c>
      <c r="F50">
        <v>0</v>
      </c>
      <c r="G50" s="3">
        <v>1000</v>
      </c>
      <c r="H50" s="3" t="s">
        <v>54</v>
      </c>
      <c r="I50" s="3" t="s">
        <v>59</v>
      </c>
      <c r="K50" s="3" t="s">
        <v>73</v>
      </c>
      <c r="L50" s="3" t="s">
        <v>73</v>
      </c>
      <c r="M50" s="3">
        <v>46035.629131944443</v>
      </c>
      <c r="Q50" t="s">
        <v>54</v>
      </c>
      <c r="R50">
        <v>0</v>
      </c>
      <c r="T50" t="s">
        <v>54</v>
      </c>
      <c r="U50" t="s">
        <v>54</v>
      </c>
      <c r="V50">
        <v>6379</v>
      </c>
      <c r="W50" t="s">
        <v>55</v>
      </c>
      <c r="X50" s="4"/>
      <c r="AB50" s="3"/>
      <c r="AE50" s="3"/>
      <c r="AK50" s="5"/>
    </row>
    <row r="51" spans="1:47" x14ac:dyDescent="0.25">
      <c r="A51" t="s">
        <v>81</v>
      </c>
      <c r="B51" s="1">
        <v>38434</v>
      </c>
      <c r="C51" t="s">
        <v>48</v>
      </c>
      <c r="D51" t="s">
        <v>49</v>
      </c>
      <c r="E51" s="2">
        <v>46035</v>
      </c>
      <c r="F51" t="s">
        <v>132</v>
      </c>
      <c r="G51" s="3" t="s">
        <v>87</v>
      </c>
      <c r="H51" s="3">
        <v>6760</v>
      </c>
      <c r="I51" s="3">
        <v>6760</v>
      </c>
      <c r="J51">
        <v>0</v>
      </c>
      <c r="K51" s="3">
        <v>6760</v>
      </c>
      <c r="L51" s="3">
        <v>1184</v>
      </c>
      <c r="M51" s="3">
        <v>680.8</v>
      </c>
      <c r="N51" t="s">
        <v>77</v>
      </c>
      <c r="O51" t="s">
        <v>53</v>
      </c>
      <c r="P51" t="s">
        <v>53</v>
      </c>
      <c r="Q51" t="s">
        <v>53</v>
      </c>
      <c r="R51" t="s">
        <v>54</v>
      </c>
      <c r="S51" t="s">
        <v>54</v>
      </c>
      <c r="T51" t="s">
        <v>55</v>
      </c>
      <c r="U51">
        <v>83</v>
      </c>
      <c r="V51" t="s">
        <v>56</v>
      </c>
      <c r="W51">
        <v>0</v>
      </c>
      <c r="X51" s="4">
        <v>0</v>
      </c>
      <c r="Y51" t="s">
        <v>58</v>
      </c>
      <c r="Z51">
        <v>0</v>
      </c>
      <c r="AA51">
        <v>0</v>
      </c>
      <c r="AB51" s="3">
        <v>1184</v>
      </c>
      <c r="AC51">
        <v>0</v>
      </c>
      <c r="AD51">
        <v>0</v>
      </c>
      <c r="AE51" s="3">
        <v>2000</v>
      </c>
      <c r="AF51" t="s">
        <v>54</v>
      </c>
      <c r="AG51" t="s">
        <v>59</v>
      </c>
      <c r="AI51" t="s">
        <v>80</v>
      </c>
      <c r="AJ51" t="s">
        <v>73</v>
      </c>
      <c r="AK51" s="5">
        <v>46035.724131944444</v>
      </c>
      <c r="AO51" t="s">
        <v>54</v>
      </c>
      <c r="AP51">
        <v>0</v>
      </c>
      <c r="AR51" t="s">
        <v>54</v>
      </c>
      <c r="AS51" t="s">
        <v>54</v>
      </c>
      <c r="AT51">
        <v>5289</v>
      </c>
      <c r="AU51" t="s">
        <v>55</v>
      </c>
    </row>
    <row r="52" spans="1:47" x14ac:dyDescent="0.25">
      <c r="A52" t="s">
        <v>47</v>
      </c>
      <c r="B52" s="1">
        <v>38435</v>
      </c>
      <c r="C52" t="s">
        <v>48</v>
      </c>
      <c r="D52" t="s">
        <v>49</v>
      </c>
      <c r="E52" s="2">
        <v>46035</v>
      </c>
      <c r="F52" t="s">
        <v>133</v>
      </c>
      <c r="G52" t="s">
        <v>89</v>
      </c>
      <c r="H52" s="3">
        <v>10630</v>
      </c>
      <c r="I52" s="3">
        <v>10630</v>
      </c>
      <c r="J52">
        <v>0</v>
      </c>
      <c r="K52" s="3">
        <v>12224.5</v>
      </c>
      <c r="L52" s="3">
        <v>1685</v>
      </c>
      <c r="M52" s="3">
        <v>876.2</v>
      </c>
      <c r="N52" t="s">
        <v>52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126</v>
      </c>
      <c r="V52" t="s">
        <v>56</v>
      </c>
      <c r="W52" t="s">
        <v>134</v>
      </c>
      <c r="X52" s="4">
        <v>0</v>
      </c>
      <c r="Y52" t="s">
        <v>58</v>
      </c>
      <c r="Z52" s="3">
        <v>0</v>
      </c>
      <c r="AA52">
        <v>0</v>
      </c>
      <c r="AB52" s="3">
        <v>0</v>
      </c>
      <c r="AC52">
        <v>0</v>
      </c>
      <c r="AD52" s="3">
        <v>1685</v>
      </c>
      <c r="AE52" s="3">
        <v>1000</v>
      </c>
      <c r="AF52" t="s">
        <v>54</v>
      </c>
      <c r="AG52" t="s">
        <v>59</v>
      </c>
      <c r="AI52" t="s">
        <v>60</v>
      </c>
      <c r="AJ52" t="s">
        <v>60</v>
      </c>
      <c r="AK52" s="5">
        <v>46035.861909722225</v>
      </c>
      <c r="AO52" t="s">
        <v>54</v>
      </c>
      <c r="AP52">
        <v>0</v>
      </c>
      <c r="AR52" t="s">
        <v>54</v>
      </c>
      <c r="AS52" t="s">
        <v>54</v>
      </c>
      <c r="AT52">
        <v>6130</v>
      </c>
      <c r="AU52" t="s">
        <v>55</v>
      </c>
    </row>
    <row r="53" spans="1:47" x14ac:dyDescent="0.25">
      <c r="A53" t="s">
        <v>47</v>
      </c>
      <c r="B53" s="1">
        <v>38436</v>
      </c>
      <c r="C53" t="s">
        <v>48</v>
      </c>
      <c r="D53" t="s">
        <v>49</v>
      </c>
      <c r="E53" s="2">
        <v>46036</v>
      </c>
      <c r="F53" t="s">
        <v>50</v>
      </c>
      <c r="G53" s="3" t="s">
        <v>51</v>
      </c>
      <c r="H53" s="3">
        <v>28250</v>
      </c>
      <c r="I53" s="3">
        <v>28250</v>
      </c>
      <c r="J53">
        <v>0</v>
      </c>
      <c r="K53" s="3">
        <v>32487.5</v>
      </c>
      <c r="L53" s="3">
        <v>5860</v>
      </c>
      <c r="M53" s="3">
        <v>2216.1799999999998</v>
      </c>
      <c r="N53" t="s">
        <v>52</v>
      </c>
      <c r="O53" t="s">
        <v>53</v>
      </c>
      <c r="P53" t="s">
        <v>53</v>
      </c>
      <c r="Q53" t="s">
        <v>53</v>
      </c>
      <c r="R53" t="s">
        <v>54</v>
      </c>
      <c r="S53" t="s">
        <v>54</v>
      </c>
      <c r="T53" t="s">
        <v>55</v>
      </c>
      <c r="U53">
        <v>126</v>
      </c>
      <c r="V53" t="s">
        <v>56</v>
      </c>
      <c r="W53" t="s">
        <v>57</v>
      </c>
      <c r="X53" s="4">
        <v>0</v>
      </c>
      <c r="Y53" t="s">
        <v>58</v>
      </c>
      <c r="Z53" s="3">
        <v>5860</v>
      </c>
      <c r="AA53">
        <v>0</v>
      </c>
      <c r="AB53">
        <v>0</v>
      </c>
      <c r="AC53">
        <v>0</v>
      </c>
      <c r="AD53" s="3">
        <v>0</v>
      </c>
      <c r="AE53" s="3">
        <v>10000</v>
      </c>
      <c r="AF53" t="s">
        <v>54</v>
      </c>
      <c r="AG53" t="s">
        <v>59</v>
      </c>
      <c r="AI53" t="s">
        <v>92</v>
      </c>
      <c r="AJ53" t="s">
        <v>73</v>
      </c>
      <c r="AK53" s="5">
        <v>46036.454861111109</v>
      </c>
      <c r="AO53" t="s">
        <v>54</v>
      </c>
      <c r="AP53">
        <v>0</v>
      </c>
      <c r="AR53" t="s">
        <v>54</v>
      </c>
      <c r="AS53" t="s">
        <v>54</v>
      </c>
      <c r="AT53">
        <v>6611</v>
      </c>
      <c r="AU53" t="s">
        <v>55</v>
      </c>
    </row>
    <row r="54" spans="1:47" x14ac:dyDescent="0.25">
      <c r="A54" t="s">
        <v>47</v>
      </c>
      <c r="B54" s="1">
        <v>38437</v>
      </c>
      <c r="C54" t="s">
        <v>48</v>
      </c>
      <c r="D54" t="s">
        <v>49</v>
      </c>
      <c r="E54" s="2">
        <v>46036</v>
      </c>
      <c r="F54" t="s">
        <v>135</v>
      </c>
      <c r="G54" t="s">
        <v>94</v>
      </c>
      <c r="H54" s="3">
        <v>9330</v>
      </c>
      <c r="I54" s="3">
        <v>9330</v>
      </c>
      <c r="J54">
        <v>0</v>
      </c>
      <c r="K54" s="3">
        <v>9330</v>
      </c>
      <c r="L54" s="3">
        <v>1983.5</v>
      </c>
      <c r="M54" s="3">
        <v>667.84</v>
      </c>
      <c r="N54" t="s">
        <v>52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126</v>
      </c>
      <c r="V54" t="s">
        <v>56</v>
      </c>
      <c r="W54" t="s">
        <v>117</v>
      </c>
      <c r="X54" s="4">
        <v>0</v>
      </c>
      <c r="Y54" t="s">
        <v>62</v>
      </c>
      <c r="Z54" s="3"/>
      <c r="AE54" s="3"/>
      <c r="AK54" s="5"/>
    </row>
    <row r="55" spans="1:47" x14ac:dyDescent="0.25">
      <c r="A55" t="s">
        <v>63</v>
      </c>
      <c r="B55" s="1">
        <v>1983.5</v>
      </c>
      <c r="C55">
        <v>0</v>
      </c>
      <c r="D55">
        <v>0</v>
      </c>
      <c r="E55" s="2">
        <v>0</v>
      </c>
      <c r="F55" s="3">
        <v>0</v>
      </c>
      <c r="G55" s="3">
        <v>25000</v>
      </c>
      <c r="H55" s="3" t="s">
        <v>54</v>
      </c>
      <c r="I55" s="3" t="s">
        <v>59</v>
      </c>
      <c r="K55" s="3" t="s">
        <v>73</v>
      </c>
      <c r="L55" s="3" t="s">
        <v>73</v>
      </c>
      <c r="M55" s="3">
        <v>46037.328819444447</v>
      </c>
      <c r="Q55" t="s">
        <v>54</v>
      </c>
      <c r="R55">
        <v>0</v>
      </c>
      <c r="T55" t="s">
        <v>54</v>
      </c>
      <c r="U55" t="s">
        <v>54</v>
      </c>
      <c r="V55">
        <v>3366</v>
      </c>
      <c r="W55" t="s">
        <v>55</v>
      </c>
      <c r="X55" s="4"/>
      <c r="Z55" s="3"/>
      <c r="AE55" s="3"/>
      <c r="AK55" s="5"/>
    </row>
    <row r="56" spans="1:47" x14ac:dyDescent="0.25">
      <c r="A56" t="s">
        <v>47</v>
      </c>
      <c r="B56" s="1">
        <v>38438</v>
      </c>
      <c r="C56" t="s">
        <v>48</v>
      </c>
      <c r="D56" t="s">
        <v>49</v>
      </c>
      <c r="E56" s="2">
        <v>46037</v>
      </c>
      <c r="F56" t="s">
        <v>101</v>
      </c>
      <c r="G56" s="3" t="s">
        <v>94</v>
      </c>
      <c r="H56" s="3">
        <v>23030</v>
      </c>
      <c r="I56" s="3">
        <v>23030</v>
      </c>
      <c r="J56">
        <v>0</v>
      </c>
      <c r="K56" s="3">
        <v>26484.5</v>
      </c>
      <c r="L56" s="3">
        <v>3401</v>
      </c>
      <c r="M56" s="3">
        <v>1902.72</v>
      </c>
      <c r="N56" t="s">
        <v>84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9</v>
      </c>
      <c r="V56" t="s">
        <v>71</v>
      </c>
      <c r="W56" t="s">
        <v>102</v>
      </c>
      <c r="X56" s="4">
        <v>0</v>
      </c>
      <c r="Y56" t="s">
        <v>58</v>
      </c>
      <c r="Z56">
        <v>710</v>
      </c>
      <c r="AA56">
        <v>0</v>
      </c>
      <c r="AB56" s="3">
        <v>2691</v>
      </c>
      <c r="AC56">
        <v>0</v>
      </c>
      <c r="AD56" s="3">
        <v>0</v>
      </c>
      <c r="AE56" s="3">
        <v>2000</v>
      </c>
      <c r="AF56" t="s">
        <v>54</v>
      </c>
      <c r="AG56" t="s">
        <v>59</v>
      </c>
      <c r="AH56" t="s">
        <v>103</v>
      </c>
      <c r="AI56" t="s">
        <v>92</v>
      </c>
      <c r="AJ56" t="s">
        <v>92</v>
      </c>
      <c r="AK56" s="5">
        <v>46037.309687499997</v>
      </c>
      <c r="AO56" t="s">
        <v>54</v>
      </c>
      <c r="AP56">
        <v>0</v>
      </c>
      <c r="AR56" t="s">
        <v>54</v>
      </c>
      <c r="AS56" t="s">
        <v>54</v>
      </c>
      <c r="AT56">
        <v>161</v>
      </c>
      <c r="AU56" t="s">
        <v>55</v>
      </c>
    </row>
    <row r="57" spans="1:47" x14ac:dyDescent="0.25">
      <c r="A57" t="s">
        <v>136</v>
      </c>
      <c r="B57" s="1">
        <v>38439</v>
      </c>
      <c r="C57" t="s">
        <v>48</v>
      </c>
      <c r="D57" t="s">
        <v>49</v>
      </c>
      <c r="E57" s="2">
        <v>46037</v>
      </c>
      <c r="F57" t="s">
        <v>406</v>
      </c>
      <c r="G57" s="3" t="s">
        <v>138</v>
      </c>
      <c r="H57" s="3">
        <v>16100</v>
      </c>
      <c r="I57" s="3">
        <v>16100</v>
      </c>
      <c r="J57">
        <v>0</v>
      </c>
      <c r="K57" s="3">
        <v>16100</v>
      </c>
      <c r="L57" s="3">
        <v>4892</v>
      </c>
      <c r="M57" s="3">
        <v>2141.16</v>
      </c>
      <c r="N57" t="s">
        <v>52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126</v>
      </c>
      <c r="V57" t="s">
        <v>56</v>
      </c>
      <c r="W57" t="s">
        <v>114</v>
      </c>
      <c r="X57" s="4">
        <v>0</v>
      </c>
      <c r="Y57" t="s">
        <v>62</v>
      </c>
      <c r="AD57" s="3"/>
      <c r="AE57" s="3"/>
      <c r="AK57" s="5"/>
    </row>
    <row r="58" spans="1:47" x14ac:dyDescent="0.25">
      <c r="A58" t="s">
        <v>63</v>
      </c>
      <c r="B58" s="1">
        <v>4892</v>
      </c>
      <c r="C58">
        <v>0</v>
      </c>
      <c r="D58">
        <v>0</v>
      </c>
      <c r="E58" s="2">
        <v>0</v>
      </c>
      <c r="F58" s="3">
        <v>0</v>
      </c>
      <c r="G58" s="3">
        <v>3000</v>
      </c>
      <c r="H58" s="3" t="s">
        <v>54</v>
      </c>
      <c r="I58" s="3" t="s">
        <v>59</v>
      </c>
      <c r="J58" t="s">
        <v>182</v>
      </c>
      <c r="K58" s="3" t="s">
        <v>60</v>
      </c>
      <c r="L58" s="3" t="s">
        <v>60</v>
      </c>
      <c r="M58" s="3">
        <v>46037.491076388891</v>
      </c>
      <c r="Q58" t="s">
        <v>54</v>
      </c>
      <c r="R58">
        <v>0</v>
      </c>
      <c r="T58" t="s">
        <v>54</v>
      </c>
      <c r="U58" t="s">
        <v>54</v>
      </c>
      <c r="V58">
        <v>8571</v>
      </c>
      <c r="W58" t="s">
        <v>55</v>
      </c>
      <c r="X58" s="4"/>
      <c r="AK58" s="5"/>
    </row>
    <row r="59" spans="1:47" x14ac:dyDescent="0.25">
      <c r="A59" t="s">
        <v>47</v>
      </c>
      <c r="B59" s="1">
        <v>38440</v>
      </c>
      <c r="C59" t="s">
        <v>48</v>
      </c>
      <c r="D59" t="s">
        <v>49</v>
      </c>
      <c r="E59" s="2">
        <v>46037</v>
      </c>
      <c r="F59" t="s">
        <v>139</v>
      </c>
      <c r="G59" s="3" t="s">
        <v>89</v>
      </c>
      <c r="H59" s="3">
        <v>3600</v>
      </c>
      <c r="I59" s="3">
        <v>3600</v>
      </c>
      <c r="J59">
        <v>0</v>
      </c>
      <c r="K59" s="3">
        <v>4140</v>
      </c>
      <c r="L59" s="3">
        <v>439</v>
      </c>
      <c r="M59" s="3">
        <v>272.18</v>
      </c>
      <c r="N59" t="s">
        <v>52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126</v>
      </c>
      <c r="V59" t="s">
        <v>56</v>
      </c>
      <c r="W59" t="s">
        <v>95</v>
      </c>
      <c r="X59" s="4">
        <v>0</v>
      </c>
      <c r="Y59" t="s">
        <v>58</v>
      </c>
      <c r="Z59" s="3">
        <v>0</v>
      </c>
      <c r="AA59">
        <v>0</v>
      </c>
      <c r="AB59">
        <v>439</v>
      </c>
      <c r="AC59">
        <v>0</v>
      </c>
      <c r="AD59">
        <v>0</v>
      </c>
      <c r="AE59" s="3">
        <v>500</v>
      </c>
      <c r="AF59" t="s">
        <v>54</v>
      </c>
      <c r="AG59" t="s">
        <v>59</v>
      </c>
      <c r="AI59" t="s">
        <v>73</v>
      </c>
      <c r="AJ59" t="s">
        <v>73</v>
      </c>
      <c r="AK59" s="5">
        <v>46037.576493055552</v>
      </c>
      <c r="AO59" t="s">
        <v>54</v>
      </c>
      <c r="AP59">
        <v>0</v>
      </c>
      <c r="AR59" t="s">
        <v>54</v>
      </c>
      <c r="AS59" t="s">
        <v>54</v>
      </c>
      <c r="AT59">
        <v>7224</v>
      </c>
      <c r="AU59" t="s">
        <v>55</v>
      </c>
    </row>
    <row r="60" spans="1:47" x14ac:dyDescent="0.25">
      <c r="A60" t="s">
        <v>81</v>
      </c>
      <c r="B60" s="1">
        <v>38442</v>
      </c>
      <c r="C60" t="s">
        <v>48</v>
      </c>
      <c r="D60" t="s">
        <v>49</v>
      </c>
      <c r="E60" s="2">
        <v>46037</v>
      </c>
      <c r="F60" t="s">
        <v>140</v>
      </c>
      <c r="G60" t="s">
        <v>141</v>
      </c>
      <c r="H60" s="3">
        <v>8146</v>
      </c>
      <c r="I60" s="3">
        <v>8146</v>
      </c>
      <c r="J60">
        <v>0</v>
      </c>
      <c r="K60" s="3">
        <v>8146</v>
      </c>
      <c r="L60" s="3">
        <v>2266.9</v>
      </c>
      <c r="M60" s="3">
        <v>736.75</v>
      </c>
      <c r="N60" t="s">
        <v>77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83</v>
      </c>
      <c r="W60" t="s">
        <v>72</v>
      </c>
      <c r="X60" s="4">
        <v>0</v>
      </c>
      <c r="Y60" t="s">
        <v>58</v>
      </c>
      <c r="Z60" s="3">
        <v>2266.9</v>
      </c>
      <c r="AA60">
        <v>0</v>
      </c>
      <c r="AB60">
        <v>0</v>
      </c>
      <c r="AC60">
        <v>0</v>
      </c>
      <c r="AD60">
        <v>0</v>
      </c>
      <c r="AE60" s="3">
        <v>2300</v>
      </c>
      <c r="AF60" t="s">
        <v>54</v>
      </c>
      <c r="AG60" t="s">
        <v>59</v>
      </c>
      <c r="AH60" t="s">
        <v>103</v>
      </c>
      <c r="AI60" t="s">
        <v>80</v>
      </c>
      <c r="AJ60" t="s">
        <v>73</v>
      </c>
      <c r="AK60" s="5">
        <v>46038.333622685182</v>
      </c>
      <c r="AO60" t="s">
        <v>54</v>
      </c>
      <c r="AP60">
        <v>0</v>
      </c>
      <c r="AR60" t="s">
        <v>54</v>
      </c>
      <c r="AS60" t="s">
        <v>54</v>
      </c>
      <c r="AT60">
        <v>3465</v>
      </c>
      <c r="AU60" t="s">
        <v>55</v>
      </c>
    </row>
    <row r="61" spans="1:47" x14ac:dyDescent="0.25">
      <c r="A61" t="s">
        <v>96</v>
      </c>
      <c r="B61" s="1">
        <v>38443</v>
      </c>
      <c r="C61" t="s">
        <v>48</v>
      </c>
      <c r="D61" s="3" t="s">
        <v>49</v>
      </c>
      <c r="E61" s="2">
        <v>46037</v>
      </c>
      <c r="F61" t="s">
        <v>142</v>
      </c>
      <c r="G61" s="3" t="s">
        <v>94</v>
      </c>
      <c r="H61" s="3">
        <v>4122</v>
      </c>
      <c r="I61" s="3">
        <v>4122</v>
      </c>
      <c r="J61">
        <v>0</v>
      </c>
      <c r="K61" s="3">
        <v>4122</v>
      </c>
      <c r="L61" s="3">
        <v>1069.2</v>
      </c>
      <c r="M61" s="3">
        <v>310.07</v>
      </c>
      <c r="N61" t="s">
        <v>106</v>
      </c>
      <c r="O61" t="s">
        <v>53</v>
      </c>
      <c r="P61" t="s">
        <v>53</v>
      </c>
      <c r="Q61" t="s">
        <v>53</v>
      </c>
      <c r="R61" t="s">
        <v>54</v>
      </c>
      <c r="S61" t="s">
        <v>54</v>
      </c>
      <c r="T61" t="s">
        <v>55</v>
      </c>
      <c r="U61">
        <v>145</v>
      </c>
      <c r="W61" t="s">
        <v>143</v>
      </c>
      <c r="X61" s="4">
        <v>0</v>
      </c>
      <c r="Y61" t="s">
        <v>62</v>
      </c>
      <c r="Z61" s="3"/>
      <c r="AE61" s="3"/>
      <c r="AK61" s="5"/>
    </row>
    <row r="62" spans="1:47" x14ac:dyDescent="0.25">
      <c r="A62" t="s">
        <v>63</v>
      </c>
      <c r="B62" s="1">
        <v>1069.2</v>
      </c>
      <c r="C62">
        <v>0</v>
      </c>
      <c r="D62">
        <v>0</v>
      </c>
      <c r="E62" s="2">
        <v>0</v>
      </c>
      <c r="F62">
        <v>0</v>
      </c>
      <c r="G62" s="3">
        <v>1800</v>
      </c>
      <c r="H62" s="3" t="s">
        <v>54</v>
      </c>
      <c r="I62" s="3" t="s">
        <v>59</v>
      </c>
      <c r="J62" t="s">
        <v>144</v>
      </c>
      <c r="K62" s="3" t="s">
        <v>73</v>
      </c>
      <c r="L62" s="3" t="s">
        <v>73</v>
      </c>
      <c r="M62" s="3">
        <v>46037.664467592593</v>
      </c>
      <c r="Q62" t="s">
        <v>54</v>
      </c>
      <c r="R62">
        <v>0</v>
      </c>
      <c r="T62" t="s">
        <v>54</v>
      </c>
      <c r="U62" t="s">
        <v>54</v>
      </c>
      <c r="V62">
        <v>8241</v>
      </c>
      <c r="W62" t="s">
        <v>55</v>
      </c>
      <c r="X62" s="4"/>
      <c r="AB62" s="3"/>
      <c r="AD62" s="3"/>
      <c r="AE62" s="3"/>
      <c r="AK62" s="5"/>
    </row>
    <row r="63" spans="1:47" x14ac:dyDescent="0.25">
      <c r="A63" t="s">
        <v>96</v>
      </c>
      <c r="B63" s="1">
        <v>38444</v>
      </c>
      <c r="C63" t="s">
        <v>48</v>
      </c>
      <c r="D63" s="3" t="s">
        <v>49</v>
      </c>
      <c r="E63" s="2">
        <v>46037</v>
      </c>
      <c r="F63" t="s">
        <v>145</v>
      </c>
      <c r="G63" s="3" t="s">
        <v>66</v>
      </c>
      <c r="H63" s="3">
        <v>15024</v>
      </c>
      <c r="I63" s="3">
        <v>15024</v>
      </c>
      <c r="J63">
        <v>0</v>
      </c>
      <c r="K63" s="3">
        <v>15024</v>
      </c>
      <c r="L63" s="3">
        <v>2781.6</v>
      </c>
      <c r="M63" s="3">
        <v>1307.3499999999999</v>
      </c>
      <c r="N63" t="s">
        <v>106</v>
      </c>
      <c r="O63" t="s">
        <v>53</v>
      </c>
      <c r="P63" t="s">
        <v>53</v>
      </c>
      <c r="Q63" t="s">
        <v>53</v>
      </c>
      <c r="R63" t="s">
        <v>54</v>
      </c>
      <c r="S63" t="s">
        <v>54</v>
      </c>
      <c r="T63" t="s">
        <v>55</v>
      </c>
      <c r="U63">
        <v>145</v>
      </c>
      <c r="V63" t="s">
        <v>146</v>
      </c>
      <c r="W63" t="s">
        <v>147</v>
      </c>
      <c r="X63" s="4">
        <v>0</v>
      </c>
      <c r="Y63" t="s">
        <v>58</v>
      </c>
      <c r="Z63">
        <v>0</v>
      </c>
      <c r="AA63">
        <v>0</v>
      </c>
      <c r="AB63">
        <v>0</v>
      </c>
      <c r="AC63">
        <v>0</v>
      </c>
      <c r="AD63" s="3">
        <v>2781.6</v>
      </c>
      <c r="AE63" s="3">
        <v>2400</v>
      </c>
      <c r="AF63" t="s">
        <v>54</v>
      </c>
      <c r="AG63" t="s">
        <v>59</v>
      </c>
      <c r="AI63" t="s">
        <v>73</v>
      </c>
      <c r="AJ63" t="s">
        <v>73</v>
      </c>
      <c r="AK63" s="5">
        <v>46037.702175925922</v>
      </c>
      <c r="AO63" t="s">
        <v>54</v>
      </c>
      <c r="AP63">
        <v>0</v>
      </c>
      <c r="AR63" t="s">
        <v>54</v>
      </c>
      <c r="AS63" t="s">
        <v>54</v>
      </c>
      <c r="AT63">
        <v>1301</v>
      </c>
      <c r="AU63" t="s">
        <v>55</v>
      </c>
    </row>
    <row r="64" spans="1:47" x14ac:dyDescent="0.25">
      <c r="A64" t="s">
        <v>96</v>
      </c>
      <c r="B64" s="1">
        <v>38445</v>
      </c>
      <c r="C64" t="s">
        <v>48</v>
      </c>
      <c r="D64" t="s">
        <v>49</v>
      </c>
      <c r="E64" s="2">
        <v>46037</v>
      </c>
      <c r="F64" t="s">
        <v>145</v>
      </c>
      <c r="G64" t="s">
        <v>66</v>
      </c>
      <c r="H64" s="3">
        <v>18780</v>
      </c>
      <c r="I64" s="3">
        <v>18780</v>
      </c>
      <c r="J64">
        <v>0</v>
      </c>
      <c r="K64" s="3">
        <v>18780</v>
      </c>
      <c r="L64" s="3">
        <v>3477</v>
      </c>
      <c r="M64" s="3">
        <v>1634.19</v>
      </c>
      <c r="N64" t="s">
        <v>106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145</v>
      </c>
      <c r="V64" t="s">
        <v>146</v>
      </c>
      <c r="W64" t="s">
        <v>147</v>
      </c>
      <c r="X64" s="4">
        <v>0</v>
      </c>
      <c r="Y64" t="s">
        <v>58</v>
      </c>
      <c r="Z64">
        <v>0</v>
      </c>
      <c r="AA64">
        <v>0</v>
      </c>
      <c r="AB64">
        <v>0</v>
      </c>
      <c r="AC64">
        <v>0</v>
      </c>
      <c r="AD64" s="3">
        <v>3477</v>
      </c>
      <c r="AE64" s="3">
        <v>3000</v>
      </c>
      <c r="AF64" t="s">
        <v>54</v>
      </c>
      <c r="AG64" t="s">
        <v>59</v>
      </c>
      <c r="AI64" t="s">
        <v>73</v>
      </c>
      <c r="AJ64" t="s">
        <v>73</v>
      </c>
      <c r="AK64" s="5">
        <v>46037.702291666668</v>
      </c>
      <c r="AO64" t="s">
        <v>54</v>
      </c>
      <c r="AP64">
        <v>0</v>
      </c>
      <c r="AR64" t="s">
        <v>54</v>
      </c>
      <c r="AS64" t="s">
        <v>54</v>
      </c>
      <c r="AT64">
        <v>1301</v>
      </c>
      <c r="AU64" t="s">
        <v>55</v>
      </c>
    </row>
    <row r="65" spans="1:47" x14ac:dyDescent="0.25">
      <c r="A65" t="s">
        <v>81</v>
      </c>
      <c r="B65" s="1">
        <v>38446</v>
      </c>
      <c r="C65" t="s">
        <v>48</v>
      </c>
      <c r="D65" s="3" t="s">
        <v>49</v>
      </c>
      <c r="E65" s="2">
        <v>46037</v>
      </c>
      <c r="F65" t="s">
        <v>145</v>
      </c>
      <c r="G65" s="3" t="s">
        <v>66</v>
      </c>
      <c r="H65" s="3">
        <v>22536</v>
      </c>
      <c r="I65" s="3">
        <v>22536</v>
      </c>
      <c r="J65">
        <v>0</v>
      </c>
      <c r="K65" s="3">
        <v>22536</v>
      </c>
      <c r="L65" s="3">
        <v>4172.3999999999996</v>
      </c>
      <c r="M65" s="3">
        <v>1961.03</v>
      </c>
      <c r="N65" t="s">
        <v>106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145</v>
      </c>
      <c r="V65" t="s">
        <v>146</v>
      </c>
      <c r="W65" t="s">
        <v>147</v>
      </c>
      <c r="X65" s="4">
        <v>0</v>
      </c>
      <c r="Y65" t="s">
        <v>58</v>
      </c>
      <c r="Z65">
        <v>0</v>
      </c>
      <c r="AA65">
        <v>0</v>
      </c>
      <c r="AB65">
        <v>0</v>
      </c>
      <c r="AC65">
        <v>0</v>
      </c>
      <c r="AD65" s="3">
        <v>4172.3999999999996</v>
      </c>
      <c r="AE65" s="3">
        <v>3600</v>
      </c>
      <c r="AF65" t="s">
        <v>54</v>
      </c>
      <c r="AG65" t="s">
        <v>59</v>
      </c>
      <c r="AI65" t="s">
        <v>73</v>
      </c>
      <c r="AJ65" t="s">
        <v>73</v>
      </c>
      <c r="AK65" s="5">
        <v>46037.702465277776</v>
      </c>
      <c r="AO65" t="s">
        <v>54</v>
      </c>
      <c r="AP65">
        <v>0</v>
      </c>
      <c r="AR65" t="s">
        <v>54</v>
      </c>
      <c r="AS65" t="s">
        <v>54</v>
      </c>
      <c r="AT65">
        <v>1301</v>
      </c>
      <c r="AU65" t="s">
        <v>55</v>
      </c>
    </row>
    <row r="66" spans="1:47" x14ac:dyDescent="0.25">
      <c r="A66" t="s">
        <v>81</v>
      </c>
      <c r="B66" s="1">
        <v>38447</v>
      </c>
      <c r="C66" t="s">
        <v>48</v>
      </c>
      <c r="D66" t="s">
        <v>49</v>
      </c>
      <c r="E66" s="2">
        <v>46037</v>
      </c>
      <c r="F66" t="s">
        <v>145</v>
      </c>
      <c r="G66" s="3" t="s">
        <v>66</v>
      </c>
      <c r="H66" s="3">
        <v>26292</v>
      </c>
      <c r="I66" s="3">
        <v>26292</v>
      </c>
      <c r="J66">
        <v>0</v>
      </c>
      <c r="K66" s="3">
        <v>26292</v>
      </c>
      <c r="L66" s="3">
        <v>4867.8</v>
      </c>
      <c r="M66" s="3">
        <v>2287.87</v>
      </c>
      <c r="N66" t="s">
        <v>106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145</v>
      </c>
      <c r="V66" t="s">
        <v>146</v>
      </c>
      <c r="W66" t="s">
        <v>147</v>
      </c>
      <c r="X66" s="4">
        <v>0</v>
      </c>
      <c r="Y66" t="s">
        <v>58</v>
      </c>
      <c r="Z66" s="3">
        <v>0</v>
      </c>
      <c r="AA66">
        <v>0</v>
      </c>
      <c r="AB66" s="3">
        <v>0</v>
      </c>
      <c r="AC66">
        <v>0</v>
      </c>
      <c r="AD66" s="3">
        <v>4867.8</v>
      </c>
      <c r="AE66" s="3">
        <v>4200</v>
      </c>
      <c r="AF66" t="s">
        <v>54</v>
      </c>
      <c r="AG66" t="s">
        <v>59</v>
      </c>
      <c r="AI66" t="s">
        <v>73</v>
      </c>
      <c r="AJ66" t="s">
        <v>73</v>
      </c>
      <c r="AK66" s="5">
        <v>46037.702615740738</v>
      </c>
      <c r="AO66" t="s">
        <v>54</v>
      </c>
      <c r="AP66">
        <v>0</v>
      </c>
      <c r="AR66" t="s">
        <v>54</v>
      </c>
      <c r="AS66" t="s">
        <v>54</v>
      </c>
      <c r="AT66">
        <v>1301</v>
      </c>
      <c r="AU66" t="s">
        <v>55</v>
      </c>
    </row>
    <row r="67" spans="1:47" x14ac:dyDescent="0.25">
      <c r="A67" t="s">
        <v>81</v>
      </c>
      <c r="B67" s="1">
        <v>38448</v>
      </c>
      <c r="C67" t="s">
        <v>48</v>
      </c>
      <c r="D67" s="3" t="s">
        <v>49</v>
      </c>
      <c r="E67" s="2">
        <v>46037</v>
      </c>
      <c r="F67" t="s">
        <v>145</v>
      </c>
      <c r="G67" s="3" t="s">
        <v>66</v>
      </c>
      <c r="H67" s="3">
        <v>26292</v>
      </c>
      <c r="I67" s="3">
        <v>26292</v>
      </c>
      <c r="J67">
        <v>0</v>
      </c>
      <c r="K67" s="3">
        <v>26292</v>
      </c>
      <c r="L67" s="3">
        <v>4867.8</v>
      </c>
      <c r="M67" s="3">
        <v>2287.87</v>
      </c>
      <c r="N67" t="s">
        <v>106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146</v>
      </c>
      <c r="W67" t="s">
        <v>147</v>
      </c>
      <c r="X67" s="4">
        <v>0</v>
      </c>
      <c r="Y67" t="s">
        <v>58</v>
      </c>
      <c r="Z67">
        <v>0</v>
      </c>
      <c r="AA67">
        <v>0</v>
      </c>
      <c r="AB67">
        <v>0</v>
      </c>
      <c r="AC67">
        <v>0</v>
      </c>
      <c r="AD67" s="3">
        <v>4867.8</v>
      </c>
      <c r="AE67" s="3">
        <v>4200</v>
      </c>
      <c r="AF67" t="s">
        <v>54</v>
      </c>
      <c r="AG67" t="s">
        <v>59</v>
      </c>
      <c r="AI67" t="s">
        <v>73</v>
      </c>
      <c r="AJ67" t="s">
        <v>73</v>
      </c>
      <c r="AK67" s="5">
        <v>46037.702766203707</v>
      </c>
      <c r="AO67" t="s">
        <v>54</v>
      </c>
      <c r="AP67">
        <v>0</v>
      </c>
      <c r="AR67" t="s">
        <v>54</v>
      </c>
      <c r="AS67" t="s">
        <v>54</v>
      </c>
      <c r="AT67">
        <v>1301</v>
      </c>
      <c r="AU67" t="s">
        <v>55</v>
      </c>
    </row>
    <row r="68" spans="1:47" x14ac:dyDescent="0.25">
      <c r="A68" t="s">
        <v>81</v>
      </c>
      <c r="B68" s="1">
        <v>38449</v>
      </c>
      <c r="C68" t="s">
        <v>48</v>
      </c>
      <c r="D68" t="s">
        <v>49</v>
      </c>
      <c r="E68" s="2">
        <v>46037</v>
      </c>
      <c r="F68" t="s">
        <v>145</v>
      </c>
      <c r="G68" s="3" t="s">
        <v>66</v>
      </c>
      <c r="H68" s="3">
        <v>26292</v>
      </c>
      <c r="I68" s="3">
        <v>26292</v>
      </c>
      <c r="J68">
        <v>0</v>
      </c>
      <c r="K68" s="3">
        <v>26292</v>
      </c>
      <c r="L68" s="3">
        <v>4867.8</v>
      </c>
      <c r="M68" s="3">
        <v>2287.87</v>
      </c>
      <c r="N68" t="s">
        <v>106</v>
      </c>
      <c r="O68" t="s">
        <v>53</v>
      </c>
      <c r="P68" t="s">
        <v>53</v>
      </c>
      <c r="Q68" t="s">
        <v>53</v>
      </c>
      <c r="R68" t="s">
        <v>54</v>
      </c>
      <c r="S68" t="s">
        <v>54</v>
      </c>
      <c r="T68" t="s">
        <v>55</v>
      </c>
      <c r="U68">
        <v>145</v>
      </c>
      <c r="V68" t="s">
        <v>146</v>
      </c>
      <c r="W68" t="s">
        <v>147</v>
      </c>
      <c r="X68" s="4">
        <v>0</v>
      </c>
      <c r="Y68" t="s">
        <v>58</v>
      </c>
      <c r="Z68">
        <v>0</v>
      </c>
      <c r="AA68">
        <v>0</v>
      </c>
      <c r="AB68">
        <v>0</v>
      </c>
      <c r="AC68">
        <v>0</v>
      </c>
      <c r="AD68" s="3">
        <v>4867.8</v>
      </c>
      <c r="AE68" s="3">
        <v>4200</v>
      </c>
      <c r="AF68" t="s">
        <v>54</v>
      </c>
      <c r="AG68" t="s">
        <v>59</v>
      </c>
      <c r="AI68" t="s">
        <v>73</v>
      </c>
      <c r="AJ68" t="s">
        <v>73</v>
      </c>
      <c r="AK68" s="5">
        <v>46037.702893518515</v>
      </c>
      <c r="AO68" t="s">
        <v>54</v>
      </c>
      <c r="AP68">
        <v>0</v>
      </c>
      <c r="AR68" t="s">
        <v>54</v>
      </c>
      <c r="AS68" t="s">
        <v>54</v>
      </c>
      <c r="AT68">
        <v>1301</v>
      </c>
      <c r="AU68" t="s">
        <v>55</v>
      </c>
    </row>
    <row r="69" spans="1:47" x14ac:dyDescent="0.25">
      <c r="A69" t="s">
        <v>47</v>
      </c>
      <c r="B69" s="1">
        <v>38450</v>
      </c>
      <c r="C69" t="s">
        <v>48</v>
      </c>
      <c r="D69" t="s">
        <v>49</v>
      </c>
      <c r="E69" s="2">
        <v>46037</v>
      </c>
      <c r="F69" t="s">
        <v>88</v>
      </c>
      <c r="G69" t="s">
        <v>89</v>
      </c>
      <c r="H69" s="3">
        <v>2105</v>
      </c>
      <c r="I69" s="3">
        <v>2105</v>
      </c>
      <c r="J69">
        <v>0</v>
      </c>
      <c r="K69" s="3">
        <v>2420.75</v>
      </c>
      <c r="L69" s="3">
        <v>473</v>
      </c>
      <c r="M69" s="3">
        <v>173.59</v>
      </c>
      <c r="N69" t="s">
        <v>84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9</v>
      </c>
      <c r="V69" t="s">
        <v>71</v>
      </c>
      <c r="W69" t="s">
        <v>90</v>
      </c>
      <c r="X69" s="4">
        <v>0</v>
      </c>
      <c r="Y69" t="s">
        <v>62</v>
      </c>
      <c r="AD69" s="3"/>
      <c r="AE69" s="3"/>
      <c r="AK69" s="5"/>
    </row>
    <row r="70" spans="1:47" x14ac:dyDescent="0.25">
      <c r="A70" t="s">
        <v>63</v>
      </c>
      <c r="B70" s="1">
        <v>473</v>
      </c>
      <c r="C70">
        <v>0</v>
      </c>
      <c r="D70" s="3">
        <v>0</v>
      </c>
      <c r="E70" s="2">
        <v>0</v>
      </c>
      <c r="F70">
        <v>0</v>
      </c>
      <c r="G70" s="3">
        <v>500</v>
      </c>
      <c r="H70" s="3" t="s">
        <v>54</v>
      </c>
      <c r="I70" s="3" t="s">
        <v>91</v>
      </c>
      <c r="K70" s="3" t="s">
        <v>73</v>
      </c>
      <c r="L70" s="3" t="s">
        <v>73</v>
      </c>
      <c r="M70" s="3">
        <v>46041.431597222225</v>
      </c>
      <c r="Q70" t="s">
        <v>54</v>
      </c>
      <c r="R70">
        <v>0</v>
      </c>
      <c r="T70" t="s">
        <v>54</v>
      </c>
      <c r="U70" t="s">
        <v>54</v>
      </c>
      <c r="V70">
        <v>2291</v>
      </c>
      <c r="W70" t="s">
        <v>55</v>
      </c>
      <c r="X70" s="4"/>
      <c r="AB70" s="3"/>
      <c r="AE70" s="3"/>
      <c r="AK70" s="5"/>
    </row>
    <row r="71" spans="1:47" x14ac:dyDescent="0.25">
      <c r="A71" t="s">
        <v>47</v>
      </c>
      <c r="B71" s="1">
        <v>38451</v>
      </c>
      <c r="C71" t="s">
        <v>48</v>
      </c>
      <c r="D71" t="s">
        <v>49</v>
      </c>
      <c r="E71" s="2">
        <v>46038</v>
      </c>
      <c r="F71" s="3" t="s">
        <v>148</v>
      </c>
      <c r="G71" s="3" t="s">
        <v>89</v>
      </c>
      <c r="H71" s="3">
        <v>33350</v>
      </c>
      <c r="I71" s="3">
        <v>33350</v>
      </c>
      <c r="J71">
        <v>0</v>
      </c>
      <c r="K71" s="3">
        <v>38352.5</v>
      </c>
      <c r="L71" s="3">
        <v>5077.5</v>
      </c>
      <c r="M71" s="3">
        <v>3148.05</v>
      </c>
      <c r="N71" t="s">
        <v>52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126</v>
      </c>
      <c r="V71" t="s">
        <v>56</v>
      </c>
      <c r="W71" t="s">
        <v>95</v>
      </c>
      <c r="X71" s="4">
        <v>0</v>
      </c>
      <c r="Y71" t="s">
        <v>62</v>
      </c>
      <c r="AD71" s="3"/>
      <c r="AE71" s="3"/>
      <c r="AK71" s="5"/>
    </row>
    <row r="72" spans="1:47" x14ac:dyDescent="0.25">
      <c r="A72" t="s">
        <v>63</v>
      </c>
      <c r="B72" s="1">
        <v>0</v>
      </c>
      <c r="C72">
        <v>0</v>
      </c>
      <c r="D72" s="3">
        <v>5077.5</v>
      </c>
      <c r="E72" s="2">
        <v>0</v>
      </c>
      <c r="F72">
        <v>0</v>
      </c>
      <c r="G72" s="3">
        <v>2500</v>
      </c>
      <c r="H72" s="3" t="s">
        <v>54</v>
      </c>
      <c r="I72" s="3" t="s">
        <v>59</v>
      </c>
      <c r="J72" t="s">
        <v>149</v>
      </c>
      <c r="K72" s="3" t="s">
        <v>60</v>
      </c>
      <c r="L72" s="3" t="s">
        <v>60</v>
      </c>
      <c r="M72" s="3">
        <v>46038.656400462962</v>
      </c>
      <c r="Q72" t="s">
        <v>54</v>
      </c>
      <c r="R72">
        <v>0</v>
      </c>
      <c r="T72" t="s">
        <v>54</v>
      </c>
      <c r="U72" t="s">
        <v>54</v>
      </c>
      <c r="V72">
        <v>8478</v>
      </c>
      <c r="W72" t="s">
        <v>55</v>
      </c>
      <c r="X72" s="4"/>
      <c r="AB72" s="3"/>
      <c r="AK72" s="5"/>
    </row>
    <row r="73" spans="1:47" x14ac:dyDescent="0.25">
      <c r="A73" t="s">
        <v>47</v>
      </c>
      <c r="B73" s="1">
        <v>38452</v>
      </c>
      <c r="C73" t="s">
        <v>48</v>
      </c>
      <c r="D73" t="s">
        <v>49</v>
      </c>
      <c r="E73" s="2">
        <v>46038</v>
      </c>
      <c r="F73" t="s">
        <v>148</v>
      </c>
      <c r="G73" t="s">
        <v>89</v>
      </c>
      <c r="H73" s="3">
        <v>33350</v>
      </c>
      <c r="I73" s="3">
        <v>33350</v>
      </c>
      <c r="J73">
        <v>0</v>
      </c>
      <c r="K73" s="3">
        <v>38352.5</v>
      </c>
      <c r="L73" s="3">
        <v>5077.5</v>
      </c>
      <c r="M73" s="3">
        <v>3148.05</v>
      </c>
      <c r="N73" t="s">
        <v>52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126</v>
      </c>
      <c r="V73" t="s">
        <v>56</v>
      </c>
      <c r="W73" t="s">
        <v>95</v>
      </c>
      <c r="X73" s="4">
        <v>0</v>
      </c>
      <c r="Y73" t="s">
        <v>62</v>
      </c>
      <c r="AB73" s="3"/>
      <c r="AD73" s="3"/>
      <c r="AE73" s="3"/>
      <c r="AK73" s="5"/>
    </row>
    <row r="74" spans="1:47" x14ac:dyDescent="0.25">
      <c r="A74" t="s">
        <v>63</v>
      </c>
      <c r="B74" s="3">
        <v>0</v>
      </c>
      <c r="C74">
        <v>0</v>
      </c>
      <c r="D74" s="3">
        <v>5077.5</v>
      </c>
      <c r="E74" s="2">
        <v>0</v>
      </c>
      <c r="F74">
        <v>0</v>
      </c>
      <c r="G74" s="3">
        <v>2500</v>
      </c>
      <c r="H74" s="3" t="s">
        <v>54</v>
      </c>
      <c r="I74" s="3" t="s">
        <v>59</v>
      </c>
      <c r="J74" t="s">
        <v>149</v>
      </c>
      <c r="K74" s="3" t="s">
        <v>60</v>
      </c>
      <c r="L74" s="3" t="s">
        <v>60</v>
      </c>
      <c r="M74" s="3">
        <v>46038.658368055556</v>
      </c>
      <c r="Q74" t="s">
        <v>54</v>
      </c>
      <c r="R74">
        <v>0</v>
      </c>
      <c r="T74" t="s">
        <v>54</v>
      </c>
      <c r="U74" t="s">
        <v>54</v>
      </c>
      <c r="V74">
        <v>8478</v>
      </c>
      <c r="W74" t="s">
        <v>55</v>
      </c>
      <c r="X74" s="4"/>
      <c r="Z74" s="3"/>
      <c r="AD74" s="3"/>
      <c r="AE74" s="3"/>
      <c r="AK74" s="5"/>
    </row>
    <row r="75" spans="1:47" x14ac:dyDescent="0.25">
      <c r="A75" t="s">
        <v>47</v>
      </c>
      <c r="B75" s="1">
        <v>38453</v>
      </c>
      <c r="C75" t="s">
        <v>48</v>
      </c>
      <c r="D75" t="s">
        <v>49</v>
      </c>
      <c r="E75" s="2">
        <v>46038</v>
      </c>
      <c r="F75" t="s">
        <v>148</v>
      </c>
      <c r="G75" t="s">
        <v>89</v>
      </c>
      <c r="H75" s="3">
        <v>33350</v>
      </c>
      <c r="I75" s="3">
        <v>33350</v>
      </c>
      <c r="J75">
        <v>0</v>
      </c>
      <c r="K75" s="3">
        <v>38352.5</v>
      </c>
      <c r="L75" s="3">
        <v>5077.5</v>
      </c>
      <c r="M75" s="3">
        <v>3148.05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95</v>
      </c>
      <c r="X75" s="4">
        <v>0</v>
      </c>
      <c r="Y75" t="s">
        <v>62</v>
      </c>
      <c r="Z75" s="3"/>
      <c r="AD75" s="3"/>
      <c r="AE75" s="3"/>
      <c r="AK75" s="5"/>
    </row>
    <row r="76" spans="1:47" x14ac:dyDescent="0.25">
      <c r="A76" t="s">
        <v>63</v>
      </c>
      <c r="B76" s="1">
        <v>0</v>
      </c>
      <c r="C76">
        <v>0</v>
      </c>
      <c r="D76" s="3">
        <v>5077.5</v>
      </c>
      <c r="E76" s="2">
        <v>0</v>
      </c>
      <c r="F76">
        <v>0</v>
      </c>
      <c r="G76" s="3">
        <v>2500</v>
      </c>
      <c r="H76" s="3" t="s">
        <v>54</v>
      </c>
      <c r="I76" s="3" t="s">
        <v>59</v>
      </c>
      <c r="J76" t="s">
        <v>149</v>
      </c>
      <c r="K76" s="3" t="s">
        <v>60</v>
      </c>
      <c r="L76" s="3" t="s">
        <v>60</v>
      </c>
      <c r="M76" s="3">
        <v>46038.659675925926</v>
      </c>
      <c r="Q76" t="s">
        <v>54</v>
      </c>
      <c r="R76">
        <v>0</v>
      </c>
      <c r="T76" t="s">
        <v>54</v>
      </c>
      <c r="U76" t="s">
        <v>54</v>
      </c>
      <c r="V76">
        <v>8478</v>
      </c>
      <c r="W76" t="s">
        <v>55</v>
      </c>
      <c r="X76" s="4"/>
      <c r="Z76" s="3"/>
      <c r="AD76" s="3"/>
      <c r="AE76" s="3"/>
      <c r="AK76" s="5"/>
    </row>
    <row r="77" spans="1:47" x14ac:dyDescent="0.25">
      <c r="A77" t="s">
        <v>47</v>
      </c>
      <c r="B77" s="3">
        <v>38454</v>
      </c>
      <c r="C77" t="s">
        <v>48</v>
      </c>
      <c r="D77" t="s">
        <v>49</v>
      </c>
      <c r="E77" s="2">
        <v>46038</v>
      </c>
      <c r="F77" s="3" t="s">
        <v>148</v>
      </c>
      <c r="G77" s="3" t="s">
        <v>89</v>
      </c>
      <c r="H77" s="3">
        <v>33350</v>
      </c>
      <c r="I77" s="3">
        <v>33350</v>
      </c>
      <c r="J77">
        <v>0</v>
      </c>
      <c r="K77" s="3">
        <v>38352.5</v>
      </c>
      <c r="L77" s="3">
        <v>5077.5</v>
      </c>
      <c r="M77" s="3">
        <v>3148.05</v>
      </c>
      <c r="N77" t="s">
        <v>52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126</v>
      </c>
      <c r="V77" t="s">
        <v>56</v>
      </c>
      <c r="W77" t="s">
        <v>95</v>
      </c>
      <c r="X77" s="4">
        <v>0</v>
      </c>
      <c r="Y77" t="s">
        <v>62</v>
      </c>
      <c r="AD77" s="3"/>
      <c r="AE77" s="3"/>
      <c r="AK77" s="5"/>
    </row>
    <row r="78" spans="1:47" x14ac:dyDescent="0.25">
      <c r="A78" t="s">
        <v>63</v>
      </c>
      <c r="B78" s="1">
        <v>0</v>
      </c>
      <c r="C78">
        <v>0</v>
      </c>
      <c r="D78" s="3">
        <v>5077.5</v>
      </c>
      <c r="E78" s="2">
        <v>0</v>
      </c>
      <c r="F78">
        <v>0</v>
      </c>
      <c r="G78" s="3">
        <v>2500</v>
      </c>
      <c r="H78" s="3" t="s">
        <v>54</v>
      </c>
      <c r="I78" s="3" t="s">
        <v>59</v>
      </c>
      <c r="J78" t="s">
        <v>149</v>
      </c>
      <c r="K78" s="3" t="s">
        <v>60</v>
      </c>
      <c r="L78" s="3" t="s">
        <v>60</v>
      </c>
      <c r="M78" s="3">
        <v>46038.661157407405</v>
      </c>
      <c r="Q78" t="s">
        <v>54</v>
      </c>
      <c r="R78">
        <v>0</v>
      </c>
      <c r="T78" t="s">
        <v>54</v>
      </c>
      <c r="U78" t="s">
        <v>54</v>
      </c>
      <c r="V78">
        <v>8478</v>
      </c>
      <c r="W78" t="s">
        <v>55</v>
      </c>
      <c r="X78" s="4"/>
      <c r="AD78" s="3"/>
      <c r="AE78" s="3"/>
      <c r="AK78" s="5"/>
    </row>
    <row r="79" spans="1:47" x14ac:dyDescent="0.25">
      <c r="A79" t="s">
        <v>96</v>
      </c>
      <c r="B79" s="1">
        <v>38455</v>
      </c>
      <c r="C79" t="s">
        <v>48</v>
      </c>
      <c r="D79" t="s">
        <v>49</v>
      </c>
      <c r="E79" s="2">
        <v>46041</v>
      </c>
      <c r="F79" s="3" t="s">
        <v>142</v>
      </c>
      <c r="G79" s="3" t="s">
        <v>94</v>
      </c>
      <c r="H79" s="3">
        <v>1962.5</v>
      </c>
      <c r="I79" s="3">
        <v>1962.5</v>
      </c>
      <c r="J79">
        <v>0</v>
      </c>
      <c r="K79" s="3">
        <v>1962.5</v>
      </c>
      <c r="L79" s="3">
        <v>525</v>
      </c>
      <c r="M79" s="3">
        <v>152.25</v>
      </c>
      <c r="N79" t="s">
        <v>106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145</v>
      </c>
      <c r="W79" t="s">
        <v>143</v>
      </c>
      <c r="X79" s="4">
        <v>0</v>
      </c>
      <c r="Y79" t="s">
        <v>62</v>
      </c>
      <c r="AB79" s="3"/>
      <c r="AD79" s="3"/>
      <c r="AE79" s="3"/>
      <c r="AK79" s="5"/>
    </row>
    <row r="80" spans="1:47" x14ac:dyDescent="0.25">
      <c r="A80" t="s">
        <v>63</v>
      </c>
      <c r="B80" s="1">
        <v>525</v>
      </c>
      <c r="C80">
        <v>0</v>
      </c>
      <c r="D80" s="3">
        <v>0</v>
      </c>
      <c r="E80" s="2">
        <v>0</v>
      </c>
      <c r="F80">
        <v>0</v>
      </c>
      <c r="G80" s="3">
        <v>1250</v>
      </c>
      <c r="H80" s="3" t="s">
        <v>54</v>
      </c>
      <c r="I80" s="3" t="s">
        <v>59</v>
      </c>
      <c r="J80" t="s">
        <v>144</v>
      </c>
      <c r="K80" s="3" t="s">
        <v>73</v>
      </c>
      <c r="L80" s="3" t="s">
        <v>73</v>
      </c>
      <c r="M80" s="3">
        <v>46041.456805555557</v>
      </c>
      <c r="Q80" t="s">
        <v>54</v>
      </c>
      <c r="R80">
        <v>0</v>
      </c>
      <c r="T80" t="s">
        <v>54</v>
      </c>
      <c r="U80" t="s">
        <v>54</v>
      </c>
      <c r="V80">
        <v>8241</v>
      </c>
      <c r="W80" t="s">
        <v>55</v>
      </c>
      <c r="X80" s="4"/>
      <c r="Z80" s="3"/>
      <c r="AD80" s="3"/>
      <c r="AE80" s="3"/>
      <c r="AK80" s="5"/>
    </row>
    <row r="81" spans="1:47" x14ac:dyDescent="0.25">
      <c r="A81" t="s">
        <v>96</v>
      </c>
      <c r="B81" s="1">
        <v>38456</v>
      </c>
      <c r="C81" t="s">
        <v>48</v>
      </c>
      <c r="D81" t="s">
        <v>49</v>
      </c>
      <c r="E81" s="2">
        <v>46041</v>
      </c>
      <c r="F81" t="s">
        <v>142</v>
      </c>
      <c r="G81" s="3" t="s">
        <v>94</v>
      </c>
      <c r="H81" s="3">
        <v>1962.5</v>
      </c>
      <c r="I81" s="3">
        <v>1962.5</v>
      </c>
      <c r="J81">
        <v>0</v>
      </c>
      <c r="K81" s="3">
        <v>1962.5</v>
      </c>
      <c r="L81" s="3">
        <v>525</v>
      </c>
      <c r="M81" s="3">
        <v>152.25</v>
      </c>
      <c r="N81" t="s">
        <v>106</v>
      </c>
      <c r="O81" t="s">
        <v>53</v>
      </c>
      <c r="P81" t="s">
        <v>53</v>
      </c>
      <c r="Q81" t="s">
        <v>53</v>
      </c>
      <c r="R81" t="s">
        <v>54</v>
      </c>
      <c r="S81" t="s">
        <v>54</v>
      </c>
      <c r="T81" t="s">
        <v>55</v>
      </c>
      <c r="U81">
        <v>145</v>
      </c>
      <c r="W81" t="s">
        <v>143</v>
      </c>
      <c r="X81" s="4">
        <v>0</v>
      </c>
      <c r="Y81" t="s">
        <v>62</v>
      </c>
      <c r="AB81" s="3"/>
      <c r="AD81" s="3"/>
      <c r="AE81" s="3"/>
      <c r="AK81" s="5"/>
    </row>
    <row r="82" spans="1:47" x14ac:dyDescent="0.25">
      <c r="A82" t="s">
        <v>63</v>
      </c>
      <c r="B82" s="1">
        <v>525</v>
      </c>
      <c r="C82">
        <v>0</v>
      </c>
      <c r="D82">
        <v>0</v>
      </c>
      <c r="E82" s="2">
        <v>0</v>
      </c>
      <c r="F82">
        <v>0</v>
      </c>
      <c r="G82" s="3">
        <v>1250</v>
      </c>
      <c r="H82" s="3" t="s">
        <v>54</v>
      </c>
      <c r="I82" s="3" t="s">
        <v>59</v>
      </c>
      <c r="J82" t="s">
        <v>144</v>
      </c>
      <c r="K82" s="3" t="s">
        <v>73</v>
      </c>
      <c r="L82" s="3" t="s">
        <v>73</v>
      </c>
      <c r="M82" s="3">
        <v>46041.456990740742</v>
      </c>
      <c r="Q82" t="s">
        <v>54</v>
      </c>
      <c r="R82">
        <v>0</v>
      </c>
      <c r="T82" t="s">
        <v>54</v>
      </c>
      <c r="U82" t="s">
        <v>54</v>
      </c>
      <c r="V82">
        <v>8241</v>
      </c>
      <c r="W82" t="s">
        <v>55</v>
      </c>
      <c r="X82" s="4"/>
      <c r="Z82" s="3"/>
      <c r="AB82" s="3"/>
      <c r="AD82" s="3"/>
      <c r="AE82" s="3"/>
      <c r="AK82" s="5"/>
    </row>
    <row r="83" spans="1:47" x14ac:dyDescent="0.25">
      <c r="A83" t="s">
        <v>47</v>
      </c>
      <c r="B83" s="1">
        <v>38457</v>
      </c>
      <c r="C83" t="s">
        <v>48</v>
      </c>
      <c r="D83" t="s">
        <v>49</v>
      </c>
      <c r="E83" s="2">
        <v>46041</v>
      </c>
      <c r="F83" t="s">
        <v>150</v>
      </c>
      <c r="G83" s="3" t="s">
        <v>66</v>
      </c>
      <c r="H83" s="3">
        <v>333</v>
      </c>
      <c r="I83" s="3">
        <v>333</v>
      </c>
      <c r="J83">
        <v>0</v>
      </c>
      <c r="K83" s="3">
        <v>382.95</v>
      </c>
      <c r="L83" s="3">
        <v>83.4</v>
      </c>
      <c r="M83" s="3">
        <v>29.19</v>
      </c>
      <c r="N83" t="s">
        <v>84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9</v>
      </c>
      <c r="V83" t="s">
        <v>71</v>
      </c>
      <c r="W83" t="s">
        <v>57</v>
      </c>
      <c r="X83" s="4">
        <v>0</v>
      </c>
      <c r="Y83" t="s">
        <v>58</v>
      </c>
      <c r="Z83">
        <v>83.4</v>
      </c>
      <c r="AA83">
        <v>0</v>
      </c>
      <c r="AB83" s="3">
        <v>0</v>
      </c>
      <c r="AC83">
        <v>0</v>
      </c>
      <c r="AD83" s="3">
        <v>0</v>
      </c>
      <c r="AE83" s="3">
        <v>300</v>
      </c>
      <c r="AF83" t="s">
        <v>54</v>
      </c>
      <c r="AG83" t="s">
        <v>59</v>
      </c>
      <c r="AI83" t="s">
        <v>73</v>
      </c>
      <c r="AJ83" t="s">
        <v>73</v>
      </c>
      <c r="AK83" s="5">
        <v>46041.456504629627</v>
      </c>
      <c r="AO83" t="s">
        <v>54</v>
      </c>
      <c r="AP83">
        <v>0</v>
      </c>
      <c r="AR83" t="s">
        <v>54</v>
      </c>
      <c r="AS83" t="s">
        <v>54</v>
      </c>
      <c r="AT83">
        <v>1009</v>
      </c>
      <c r="AU83" t="s">
        <v>55</v>
      </c>
    </row>
    <row r="84" spans="1:47" x14ac:dyDescent="0.25">
      <c r="A84" t="s">
        <v>47</v>
      </c>
      <c r="B84" s="1">
        <v>38459</v>
      </c>
      <c r="C84" t="s">
        <v>48</v>
      </c>
      <c r="D84" t="s">
        <v>49</v>
      </c>
      <c r="E84" s="2">
        <v>46041</v>
      </c>
      <c r="F84" t="s">
        <v>150</v>
      </c>
      <c r="G84" t="s">
        <v>66</v>
      </c>
      <c r="H84" s="3">
        <v>333</v>
      </c>
      <c r="I84" s="3">
        <v>333</v>
      </c>
      <c r="J84">
        <v>0</v>
      </c>
      <c r="K84" s="3">
        <v>382.95</v>
      </c>
      <c r="L84" s="3">
        <v>83.4</v>
      </c>
      <c r="M84" s="3">
        <v>29.19</v>
      </c>
      <c r="N84" t="s">
        <v>84</v>
      </c>
      <c r="O84" t="s">
        <v>53</v>
      </c>
      <c r="P84" t="s">
        <v>53</v>
      </c>
      <c r="Q84" t="s">
        <v>53</v>
      </c>
      <c r="R84" t="s">
        <v>54</v>
      </c>
      <c r="S84" t="s">
        <v>54</v>
      </c>
      <c r="T84" t="s">
        <v>55</v>
      </c>
      <c r="U84">
        <v>9</v>
      </c>
      <c r="V84" t="s">
        <v>71</v>
      </c>
      <c r="W84" t="s">
        <v>57</v>
      </c>
      <c r="X84" s="4">
        <v>0</v>
      </c>
      <c r="Y84" t="s">
        <v>58</v>
      </c>
      <c r="Z84">
        <v>83.4</v>
      </c>
      <c r="AA84">
        <v>0</v>
      </c>
      <c r="AB84">
        <v>0</v>
      </c>
      <c r="AC84">
        <v>0</v>
      </c>
      <c r="AD84">
        <v>0</v>
      </c>
      <c r="AE84">
        <v>300</v>
      </c>
      <c r="AF84" t="s">
        <v>54</v>
      </c>
      <c r="AG84" t="s">
        <v>59</v>
      </c>
      <c r="AI84" t="s">
        <v>73</v>
      </c>
      <c r="AJ84" t="s">
        <v>73</v>
      </c>
      <c r="AK84" s="5">
        <v>46041.456585648149</v>
      </c>
      <c r="AO84" t="s">
        <v>54</v>
      </c>
      <c r="AP84">
        <v>0</v>
      </c>
      <c r="AR84" t="s">
        <v>54</v>
      </c>
      <c r="AS84" t="s">
        <v>54</v>
      </c>
      <c r="AT84">
        <v>1009</v>
      </c>
      <c r="AU84" t="s">
        <v>55</v>
      </c>
    </row>
    <row r="85" spans="1:47" x14ac:dyDescent="0.25">
      <c r="A85" t="s">
        <v>47</v>
      </c>
      <c r="B85" s="1">
        <v>38460</v>
      </c>
      <c r="C85" t="s">
        <v>48</v>
      </c>
      <c r="D85" t="s">
        <v>49</v>
      </c>
      <c r="E85" s="2">
        <v>46041</v>
      </c>
      <c r="F85" t="s">
        <v>68</v>
      </c>
      <c r="G85" t="s">
        <v>69</v>
      </c>
      <c r="H85" s="3">
        <v>11212</v>
      </c>
      <c r="I85" s="3">
        <v>11212</v>
      </c>
      <c r="J85">
        <v>0</v>
      </c>
      <c r="K85" s="3">
        <v>12893.8</v>
      </c>
      <c r="L85" s="3">
        <v>1642</v>
      </c>
      <c r="M85" s="3">
        <v>778.99</v>
      </c>
      <c r="N85" t="s">
        <v>70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76</v>
      </c>
      <c r="V85" t="s">
        <v>71</v>
      </c>
      <c r="W85" t="s">
        <v>72</v>
      </c>
      <c r="X85" s="4">
        <v>0</v>
      </c>
      <c r="Y85" t="s">
        <v>62</v>
      </c>
      <c r="Z85" s="3"/>
      <c r="AB85" s="3"/>
      <c r="AE85" s="3"/>
      <c r="AK85" s="5"/>
    </row>
    <row r="86" spans="1:47" x14ac:dyDescent="0.25">
      <c r="A86" t="s">
        <v>63</v>
      </c>
      <c r="B86" s="3">
        <v>512.79999999999995</v>
      </c>
      <c r="C86">
        <v>0</v>
      </c>
      <c r="D86">
        <v>0</v>
      </c>
      <c r="E86" s="2">
        <v>0</v>
      </c>
      <c r="F86" s="3">
        <v>1129.2</v>
      </c>
      <c r="G86" s="3">
        <v>1400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46041.456666666665</v>
      </c>
      <c r="Q86" t="s">
        <v>54</v>
      </c>
      <c r="R86">
        <v>0</v>
      </c>
      <c r="T86" t="s">
        <v>54</v>
      </c>
      <c r="U86" t="s">
        <v>54</v>
      </c>
      <c r="V86">
        <v>139</v>
      </c>
      <c r="W86" t="s">
        <v>55</v>
      </c>
      <c r="X86" s="4"/>
      <c r="AK86" s="5"/>
    </row>
    <row r="87" spans="1:47" x14ac:dyDescent="0.25">
      <c r="A87" t="s">
        <v>96</v>
      </c>
      <c r="B87" s="1">
        <v>38461</v>
      </c>
      <c r="C87" t="s">
        <v>48</v>
      </c>
      <c r="D87" t="s">
        <v>49</v>
      </c>
      <c r="E87" s="2">
        <v>46041</v>
      </c>
      <c r="F87" t="s">
        <v>151</v>
      </c>
      <c r="G87" s="3" t="s">
        <v>152</v>
      </c>
      <c r="H87" s="3">
        <v>9384</v>
      </c>
      <c r="I87" s="3">
        <v>9384</v>
      </c>
      <c r="J87">
        <v>0</v>
      </c>
      <c r="K87" s="3">
        <v>9384</v>
      </c>
      <c r="L87" s="3">
        <v>1102.4000000000001</v>
      </c>
      <c r="M87" s="3">
        <v>655.93</v>
      </c>
      <c r="N87" t="s">
        <v>52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126</v>
      </c>
      <c r="V87" t="s">
        <v>56</v>
      </c>
      <c r="W87" t="s">
        <v>153</v>
      </c>
      <c r="X87" s="4">
        <v>0</v>
      </c>
      <c r="Y87" t="s">
        <v>58</v>
      </c>
      <c r="Z87">
        <v>0</v>
      </c>
      <c r="AA87">
        <v>0</v>
      </c>
      <c r="AB87" s="3">
        <v>1102.4000000000001</v>
      </c>
      <c r="AC87">
        <v>0</v>
      </c>
      <c r="AD87">
        <v>0</v>
      </c>
      <c r="AE87" s="3">
        <v>800</v>
      </c>
      <c r="AF87" t="s">
        <v>54</v>
      </c>
      <c r="AG87" t="s">
        <v>59</v>
      </c>
      <c r="AI87" t="s">
        <v>73</v>
      </c>
      <c r="AJ87" t="s">
        <v>73</v>
      </c>
      <c r="AK87" s="5">
        <v>46041.482766203706</v>
      </c>
      <c r="AO87" t="s">
        <v>54</v>
      </c>
      <c r="AP87">
        <v>0</v>
      </c>
      <c r="AR87" t="s">
        <v>54</v>
      </c>
      <c r="AS87" t="s">
        <v>54</v>
      </c>
      <c r="AT87">
        <v>4340</v>
      </c>
      <c r="AU87" t="s">
        <v>55</v>
      </c>
    </row>
    <row r="88" spans="1:47" x14ac:dyDescent="0.25">
      <c r="A88" t="s">
        <v>96</v>
      </c>
      <c r="B88" s="1">
        <v>38463</v>
      </c>
      <c r="C88" t="s">
        <v>48</v>
      </c>
      <c r="D88" t="s">
        <v>49</v>
      </c>
      <c r="E88" s="2">
        <v>46042</v>
      </c>
      <c r="F88" t="s">
        <v>154</v>
      </c>
      <c r="G88" t="s">
        <v>66</v>
      </c>
      <c r="H88" s="3">
        <v>3708</v>
      </c>
      <c r="I88" s="3">
        <v>3708</v>
      </c>
      <c r="J88">
        <v>0</v>
      </c>
      <c r="K88" s="3">
        <v>3708</v>
      </c>
      <c r="L88" s="3">
        <v>691.2</v>
      </c>
      <c r="M88" s="3">
        <v>324.86</v>
      </c>
      <c r="N88" t="s">
        <v>52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126</v>
      </c>
      <c r="V88" t="s">
        <v>56</v>
      </c>
      <c r="W88" t="s">
        <v>95</v>
      </c>
      <c r="X88" s="4">
        <v>0</v>
      </c>
      <c r="Y88" t="s">
        <v>58</v>
      </c>
      <c r="Z88">
        <v>0</v>
      </c>
      <c r="AA88">
        <v>0</v>
      </c>
      <c r="AB88">
        <v>0</v>
      </c>
      <c r="AC88">
        <v>0</v>
      </c>
      <c r="AD88" s="3">
        <v>691.2</v>
      </c>
      <c r="AE88" s="3">
        <v>1200</v>
      </c>
      <c r="AF88" t="s">
        <v>54</v>
      </c>
      <c r="AG88" t="s">
        <v>59</v>
      </c>
      <c r="AI88" t="s">
        <v>73</v>
      </c>
      <c r="AJ88" t="s">
        <v>92</v>
      </c>
      <c r="AK88" s="5">
        <v>46042.607210648152</v>
      </c>
      <c r="AO88" t="s">
        <v>54</v>
      </c>
      <c r="AP88">
        <v>0</v>
      </c>
      <c r="AR88" t="s">
        <v>54</v>
      </c>
      <c r="AS88" t="s">
        <v>54</v>
      </c>
      <c r="AT88">
        <v>7472</v>
      </c>
      <c r="AU88" t="s">
        <v>55</v>
      </c>
    </row>
    <row r="89" spans="1:47" x14ac:dyDescent="0.25">
      <c r="A89" t="s">
        <v>47</v>
      </c>
      <c r="B89" s="1">
        <v>38464</v>
      </c>
      <c r="C89" t="s">
        <v>48</v>
      </c>
      <c r="D89" t="s">
        <v>49</v>
      </c>
      <c r="E89" s="2">
        <v>46042</v>
      </c>
      <c r="F89" t="s">
        <v>112</v>
      </c>
      <c r="G89" s="3" t="s">
        <v>113</v>
      </c>
      <c r="H89" s="3">
        <v>8160</v>
      </c>
      <c r="I89" s="3">
        <v>8160</v>
      </c>
      <c r="J89">
        <v>0</v>
      </c>
      <c r="K89" s="3">
        <v>8160</v>
      </c>
      <c r="L89" s="3">
        <v>1118</v>
      </c>
      <c r="M89" s="3">
        <v>609.30999999999995</v>
      </c>
      <c r="N89" t="s">
        <v>52</v>
      </c>
      <c r="O89" t="s">
        <v>53</v>
      </c>
      <c r="P89" t="s">
        <v>53</v>
      </c>
      <c r="Q89" t="s">
        <v>53</v>
      </c>
      <c r="R89" t="s">
        <v>54</v>
      </c>
      <c r="S89" t="s">
        <v>54</v>
      </c>
      <c r="T89" t="s">
        <v>55</v>
      </c>
      <c r="U89">
        <v>126</v>
      </c>
      <c r="V89" t="s">
        <v>56</v>
      </c>
      <c r="W89" t="s">
        <v>78</v>
      </c>
      <c r="X89" s="4">
        <v>0</v>
      </c>
      <c r="Y89" t="s">
        <v>58</v>
      </c>
      <c r="Z89" s="3">
        <v>1118</v>
      </c>
      <c r="AA89">
        <v>0</v>
      </c>
      <c r="AB89" s="3">
        <v>0</v>
      </c>
      <c r="AC89">
        <v>0</v>
      </c>
      <c r="AD89" s="3">
        <v>0</v>
      </c>
      <c r="AE89" s="3">
        <v>2000</v>
      </c>
      <c r="AF89" t="s">
        <v>54</v>
      </c>
      <c r="AG89" t="s">
        <v>59</v>
      </c>
      <c r="AH89" t="s">
        <v>115</v>
      </c>
      <c r="AI89" t="s">
        <v>92</v>
      </c>
      <c r="AJ89" t="s">
        <v>92</v>
      </c>
      <c r="AK89" s="5">
        <v>46042.608483796299</v>
      </c>
      <c r="AO89" t="s">
        <v>54</v>
      </c>
      <c r="AP89">
        <v>0</v>
      </c>
      <c r="AR89" t="s">
        <v>54</v>
      </c>
      <c r="AS89" t="s">
        <v>54</v>
      </c>
      <c r="AT89">
        <v>4089</v>
      </c>
      <c r="AU89" t="s">
        <v>55</v>
      </c>
    </row>
    <row r="90" spans="1:47" x14ac:dyDescent="0.25">
      <c r="A90" t="s">
        <v>47</v>
      </c>
      <c r="B90" s="1">
        <v>38465</v>
      </c>
      <c r="C90" t="s">
        <v>48</v>
      </c>
      <c r="D90" t="s">
        <v>49</v>
      </c>
      <c r="E90" s="2">
        <v>46042</v>
      </c>
      <c r="F90" t="s">
        <v>155</v>
      </c>
      <c r="G90" t="s">
        <v>89</v>
      </c>
      <c r="H90" s="3">
        <v>2239.1999999999998</v>
      </c>
      <c r="I90" s="3">
        <v>2239.1999999999998</v>
      </c>
      <c r="J90">
        <v>0</v>
      </c>
      <c r="K90" s="3">
        <v>2575.08</v>
      </c>
      <c r="L90" s="3">
        <v>466.56</v>
      </c>
      <c r="M90" s="3">
        <v>171.23</v>
      </c>
      <c r="N90" t="s">
        <v>106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145</v>
      </c>
      <c r="V90" t="s">
        <v>146</v>
      </c>
      <c r="W90" t="s">
        <v>85</v>
      </c>
      <c r="X90" s="4">
        <v>0</v>
      </c>
      <c r="Y90" t="s">
        <v>62</v>
      </c>
      <c r="AD90" s="3"/>
      <c r="AE90" s="3"/>
      <c r="AK90" s="5"/>
    </row>
    <row r="91" spans="1:47" x14ac:dyDescent="0.25">
      <c r="A91" t="s">
        <v>63</v>
      </c>
      <c r="B91" s="1">
        <v>466.56</v>
      </c>
      <c r="C91">
        <v>0</v>
      </c>
      <c r="D91">
        <v>0</v>
      </c>
      <c r="E91" s="2">
        <v>0</v>
      </c>
      <c r="F91">
        <v>0</v>
      </c>
      <c r="G91" s="3">
        <v>720</v>
      </c>
      <c r="H91" s="3" t="s">
        <v>54</v>
      </c>
      <c r="I91" s="3" t="s">
        <v>59</v>
      </c>
      <c r="J91" t="s">
        <v>149</v>
      </c>
      <c r="K91" s="3" t="s">
        <v>73</v>
      </c>
      <c r="L91" s="3" t="s">
        <v>73</v>
      </c>
      <c r="M91" s="3">
        <v>46042.694409722222</v>
      </c>
      <c r="Q91" t="s">
        <v>54</v>
      </c>
      <c r="R91">
        <v>0</v>
      </c>
      <c r="T91" t="s">
        <v>54</v>
      </c>
      <c r="U91" t="s">
        <v>54</v>
      </c>
      <c r="V91">
        <v>7814</v>
      </c>
      <c r="W91" t="s">
        <v>55</v>
      </c>
      <c r="X91" s="4"/>
      <c r="AD91" s="3"/>
      <c r="AE91" s="3"/>
      <c r="AK91" s="5"/>
    </row>
    <row r="92" spans="1:47" x14ac:dyDescent="0.25">
      <c r="A92" t="s">
        <v>96</v>
      </c>
      <c r="B92" s="1">
        <v>38466</v>
      </c>
      <c r="C92" t="s">
        <v>48</v>
      </c>
      <c r="D92" s="3" t="s">
        <v>49</v>
      </c>
      <c r="E92" s="2">
        <v>46043</v>
      </c>
      <c r="F92" t="s">
        <v>406</v>
      </c>
      <c r="G92" s="3" t="s">
        <v>138</v>
      </c>
      <c r="H92" s="3">
        <v>5350</v>
      </c>
      <c r="I92" s="3">
        <v>5350</v>
      </c>
      <c r="J92">
        <v>0</v>
      </c>
      <c r="K92" s="3">
        <v>5350</v>
      </c>
      <c r="L92" s="3">
        <v>4892</v>
      </c>
      <c r="M92" s="3">
        <v>2310.08</v>
      </c>
      <c r="N92" t="s">
        <v>52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126</v>
      </c>
      <c r="V92" t="s">
        <v>56</v>
      </c>
      <c r="W92">
        <v>0</v>
      </c>
      <c r="X92" s="4">
        <v>0</v>
      </c>
      <c r="Y92" t="s">
        <v>62</v>
      </c>
      <c r="AB92" s="3"/>
      <c r="AD92" s="3"/>
      <c r="AE92" s="3"/>
      <c r="AK92" s="5"/>
    </row>
    <row r="93" spans="1:47" x14ac:dyDescent="0.25">
      <c r="A93" t="s">
        <v>63</v>
      </c>
      <c r="B93" s="3">
        <v>4892</v>
      </c>
      <c r="C93">
        <v>0</v>
      </c>
      <c r="D93">
        <v>0</v>
      </c>
      <c r="E93" s="2">
        <v>0</v>
      </c>
      <c r="F93">
        <v>0</v>
      </c>
      <c r="G93" s="3">
        <v>3000</v>
      </c>
      <c r="H93" s="3" t="s">
        <v>54</v>
      </c>
      <c r="I93" s="3" t="s">
        <v>59</v>
      </c>
      <c r="J93" t="s">
        <v>182</v>
      </c>
      <c r="K93" s="3" t="s">
        <v>92</v>
      </c>
      <c r="L93" s="3" t="s">
        <v>92</v>
      </c>
      <c r="M93" s="3">
        <v>46043.400405092594</v>
      </c>
      <c r="Q93" t="s">
        <v>54</v>
      </c>
      <c r="R93">
        <v>0</v>
      </c>
      <c r="T93" t="s">
        <v>54</v>
      </c>
      <c r="U93" t="s">
        <v>54</v>
      </c>
      <c r="V93">
        <v>8571</v>
      </c>
      <c r="W93" t="s">
        <v>55</v>
      </c>
      <c r="X93" s="4"/>
      <c r="AD93" s="3"/>
      <c r="AE93" s="3"/>
      <c r="AK93" s="5"/>
    </row>
    <row r="94" spans="1:47" x14ac:dyDescent="0.25">
      <c r="A94" t="s">
        <v>96</v>
      </c>
      <c r="B94" s="3">
        <v>38469</v>
      </c>
      <c r="C94" t="s">
        <v>48</v>
      </c>
      <c r="D94" t="s">
        <v>49</v>
      </c>
      <c r="E94" s="2">
        <v>46044</v>
      </c>
      <c r="F94" t="s">
        <v>156</v>
      </c>
      <c r="G94" s="3" t="s">
        <v>157</v>
      </c>
      <c r="H94" s="3">
        <v>13130.35</v>
      </c>
      <c r="I94" s="3">
        <v>13130.35</v>
      </c>
      <c r="J94">
        <v>0</v>
      </c>
      <c r="K94" s="3">
        <v>13130.35</v>
      </c>
      <c r="L94" s="3">
        <v>2707.8</v>
      </c>
      <c r="M94" s="3">
        <v>1056.05</v>
      </c>
      <c r="N94" t="s">
        <v>98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167</v>
      </c>
      <c r="V94" t="s">
        <v>99</v>
      </c>
      <c r="W94" t="s">
        <v>134</v>
      </c>
      <c r="X94" s="4">
        <v>0</v>
      </c>
      <c r="Y94" t="s">
        <v>58</v>
      </c>
      <c r="Z94" s="3">
        <v>2707.8</v>
      </c>
      <c r="AA94">
        <v>0</v>
      </c>
      <c r="AB94" s="3">
        <v>0</v>
      </c>
      <c r="AC94">
        <v>0</v>
      </c>
      <c r="AD94">
        <v>0</v>
      </c>
      <c r="AE94" s="3">
        <v>1250</v>
      </c>
      <c r="AF94" t="s">
        <v>54</v>
      </c>
      <c r="AG94" t="s">
        <v>59</v>
      </c>
      <c r="AI94" t="s">
        <v>73</v>
      </c>
      <c r="AJ94" t="s">
        <v>73</v>
      </c>
      <c r="AK94" s="5">
        <v>46044.595682870371</v>
      </c>
      <c r="AO94" t="s">
        <v>54</v>
      </c>
      <c r="AP94">
        <v>0</v>
      </c>
      <c r="AR94" t="s">
        <v>54</v>
      </c>
      <c r="AS94" t="s">
        <v>54</v>
      </c>
      <c r="AT94">
        <v>8561</v>
      </c>
      <c r="AU94" t="s">
        <v>55</v>
      </c>
    </row>
    <row r="95" spans="1:47" x14ac:dyDescent="0.25">
      <c r="A95" t="s">
        <v>47</v>
      </c>
      <c r="B95" s="1">
        <v>38470</v>
      </c>
      <c r="C95" t="s">
        <v>48</v>
      </c>
      <c r="D95" t="s">
        <v>49</v>
      </c>
      <c r="E95" s="2">
        <v>46044</v>
      </c>
      <c r="F95" t="s">
        <v>158</v>
      </c>
      <c r="G95" t="s">
        <v>159</v>
      </c>
      <c r="H95" s="3">
        <v>5258</v>
      </c>
      <c r="I95" s="3">
        <v>5258</v>
      </c>
      <c r="J95">
        <v>0</v>
      </c>
      <c r="K95" s="3">
        <v>6046.7</v>
      </c>
      <c r="L95" s="3">
        <v>1234.2</v>
      </c>
      <c r="M95" s="3">
        <v>382.6</v>
      </c>
      <c r="N95" t="s">
        <v>52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126</v>
      </c>
      <c r="V95" t="s">
        <v>56</v>
      </c>
      <c r="W95" t="s">
        <v>114</v>
      </c>
      <c r="X95" s="4">
        <v>0</v>
      </c>
      <c r="Y95" t="s">
        <v>62</v>
      </c>
      <c r="AD95" s="3"/>
      <c r="AE95" s="3"/>
      <c r="AK95" s="5"/>
    </row>
    <row r="96" spans="1:47" x14ac:dyDescent="0.25">
      <c r="A96" t="s">
        <v>63</v>
      </c>
      <c r="B96" s="1">
        <v>0</v>
      </c>
      <c r="C96">
        <v>0</v>
      </c>
      <c r="D96">
        <v>0</v>
      </c>
      <c r="E96" s="2">
        <v>0</v>
      </c>
      <c r="F96" s="3">
        <v>1234.2</v>
      </c>
      <c r="G96" s="3">
        <v>2200</v>
      </c>
      <c r="H96" s="3" t="s">
        <v>54</v>
      </c>
      <c r="I96" s="3" t="s">
        <v>59</v>
      </c>
      <c r="J96" t="s">
        <v>160</v>
      </c>
      <c r="K96" s="3" t="s">
        <v>60</v>
      </c>
      <c r="L96" s="3" t="s">
        <v>60</v>
      </c>
      <c r="M96" s="3">
        <v>46044.665081018517</v>
      </c>
      <c r="Q96" t="s">
        <v>54</v>
      </c>
      <c r="R96">
        <v>0</v>
      </c>
      <c r="T96" t="s">
        <v>54</v>
      </c>
      <c r="U96" t="s">
        <v>54</v>
      </c>
      <c r="V96">
        <v>8595</v>
      </c>
      <c r="W96" t="s">
        <v>55</v>
      </c>
      <c r="X96" s="4"/>
      <c r="Z96" s="3"/>
      <c r="AB96" s="3"/>
      <c r="AD96" s="3"/>
      <c r="AE96" s="3"/>
      <c r="AK96" s="5"/>
    </row>
    <row r="97" spans="1:47" x14ac:dyDescent="0.25">
      <c r="A97" t="s">
        <v>47</v>
      </c>
      <c r="B97" s="3">
        <v>38471</v>
      </c>
      <c r="C97" t="s">
        <v>48</v>
      </c>
      <c r="D97" t="s">
        <v>49</v>
      </c>
      <c r="E97" s="2">
        <v>46044</v>
      </c>
      <c r="F97" t="s">
        <v>74</v>
      </c>
      <c r="G97" s="3" t="s">
        <v>51</v>
      </c>
      <c r="H97" s="3">
        <v>10372</v>
      </c>
      <c r="I97" s="3">
        <v>10372</v>
      </c>
      <c r="J97">
        <v>0</v>
      </c>
      <c r="K97" s="3">
        <v>11927.8</v>
      </c>
      <c r="L97" s="3">
        <v>1115.2</v>
      </c>
      <c r="M97" s="3">
        <v>711.5</v>
      </c>
      <c r="N97" t="s">
        <v>75</v>
      </c>
      <c r="O97" t="s">
        <v>53</v>
      </c>
      <c r="P97" t="s">
        <v>53</v>
      </c>
      <c r="Q97" t="s">
        <v>53</v>
      </c>
      <c r="R97" t="s">
        <v>54</v>
      </c>
      <c r="S97" t="s">
        <v>54</v>
      </c>
      <c r="T97" t="s">
        <v>55</v>
      </c>
      <c r="U97">
        <v>43</v>
      </c>
      <c r="W97" t="s">
        <v>72</v>
      </c>
      <c r="X97" s="4">
        <v>0</v>
      </c>
      <c r="Y97" t="s">
        <v>58</v>
      </c>
      <c r="Z97">
        <v>0</v>
      </c>
      <c r="AA97">
        <v>0</v>
      </c>
      <c r="AB97" s="3">
        <v>1115.2</v>
      </c>
      <c r="AC97">
        <v>0</v>
      </c>
      <c r="AD97">
        <v>0</v>
      </c>
      <c r="AE97">
        <v>800</v>
      </c>
      <c r="AF97" t="s">
        <v>54</v>
      </c>
      <c r="AG97" t="s">
        <v>59</v>
      </c>
      <c r="AI97" t="s">
        <v>73</v>
      </c>
      <c r="AJ97" t="s">
        <v>73</v>
      </c>
      <c r="AK97" s="5">
        <v>46044.708749999998</v>
      </c>
      <c r="AO97" t="s">
        <v>54</v>
      </c>
      <c r="AP97">
        <v>0</v>
      </c>
      <c r="AR97" t="s">
        <v>54</v>
      </c>
      <c r="AS97" t="s">
        <v>54</v>
      </c>
      <c r="AT97">
        <v>8469</v>
      </c>
      <c r="AU97" t="s">
        <v>55</v>
      </c>
    </row>
    <row r="98" spans="1:47" x14ac:dyDescent="0.25">
      <c r="A98" t="s">
        <v>47</v>
      </c>
      <c r="B98" s="1">
        <v>38472</v>
      </c>
      <c r="C98" t="s">
        <v>48</v>
      </c>
      <c r="D98" t="s">
        <v>49</v>
      </c>
      <c r="E98" s="2">
        <v>46044</v>
      </c>
      <c r="F98" t="s">
        <v>161</v>
      </c>
      <c r="G98" s="3" t="s">
        <v>109</v>
      </c>
      <c r="H98" s="3">
        <v>65830</v>
      </c>
      <c r="I98" s="3">
        <v>65830</v>
      </c>
      <c r="J98">
        <v>0</v>
      </c>
      <c r="K98" s="3">
        <v>75704.5</v>
      </c>
      <c r="L98" s="3">
        <v>9907.5</v>
      </c>
      <c r="M98" s="3">
        <v>4687.45</v>
      </c>
      <c r="N98" t="s">
        <v>77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83</v>
      </c>
      <c r="W98" t="s">
        <v>162</v>
      </c>
      <c r="X98" s="4">
        <v>0</v>
      </c>
      <c r="Y98" t="s">
        <v>58</v>
      </c>
      <c r="Z98" s="3">
        <v>0</v>
      </c>
      <c r="AA98">
        <v>0</v>
      </c>
      <c r="AB98" s="3">
        <v>294.5</v>
      </c>
      <c r="AC98">
        <v>0</v>
      </c>
      <c r="AD98" s="3">
        <v>9613</v>
      </c>
      <c r="AE98" s="3">
        <v>11500</v>
      </c>
      <c r="AF98" t="s">
        <v>54</v>
      </c>
      <c r="AG98" t="s">
        <v>59</v>
      </c>
      <c r="AI98" t="s">
        <v>80</v>
      </c>
      <c r="AJ98" t="s">
        <v>73</v>
      </c>
      <c r="AK98" s="5">
        <v>46045.324247685188</v>
      </c>
      <c r="AO98" t="s">
        <v>54</v>
      </c>
      <c r="AP98">
        <v>0</v>
      </c>
      <c r="AR98" t="s">
        <v>54</v>
      </c>
      <c r="AS98" t="s">
        <v>54</v>
      </c>
      <c r="AT98">
        <v>4386</v>
      </c>
      <c r="AU98" t="s">
        <v>55</v>
      </c>
    </row>
    <row r="99" spans="1:47" x14ac:dyDescent="0.25">
      <c r="A99" t="s">
        <v>81</v>
      </c>
      <c r="B99" s="1">
        <v>38473</v>
      </c>
      <c r="C99" t="s">
        <v>48</v>
      </c>
      <c r="D99" t="s">
        <v>49</v>
      </c>
      <c r="E99" s="2">
        <v>46045</v>
      </c>
      <c r="F99" t="s">
        <v>140</v>
      </c>
      <c r="G99" s="3" t="s">
        <v>141</v>
      </c>
      <c r="H99" s="3">
        <v>4264.2</v>
      </c>
      <c r="I99" s="3">
        <v>4264.2</v>
      </c>
      <c r="J99">
        <v>0</v>
      </c>
      <c r="K99" s="3">
        <v>4264.2</v>
      </c>
      <c r="L99" s="3">
        <v>735.54</v>
      </c>
      <c r="M99" s="3">
        <v>345.7</v>
      </c>
      <c r="N99" t="s">
        <v>77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83</v>
      </c>
      <c r="W99" t="s">
        <v>72</v>
      </c>
      <c r="X99" s="4">
        <v>0</v>
      </c>
      <c r="Y99" t="s">
        <v>58</v>
      </c>
      <c r="Z99">
        <v>0</v>
      </c>
      <c r="AA99">
        <v>0</v>
      </c>
      <c r="AB99" s="3">
        <v>0</v>
      </c>
      <c r="AC99">
        <v>0</v>
      </c>
      <c r="AD99">
        <v>735.54</v>
      </c>
      <c r="AE99">
        <v>460</v>
      </c>
      <c r="AF99" t="s">
        <v>54</v>
      </c>
      <c r="AG99" t="s">
        <v>59</v>
      </c>
      <c r="AH99" t="s">
        <v>103</v>
      </c>
      <c r="AI99" t="s">
        <v>80</v>
      </c>
      <c r="AJ99" t="s">
        <v>73</v>
      </c>
      <c r="AK99" s="5">
        <v>46045.480324074073</v>
      </c>
      <c r="AO99" t="s">
        <v>54</v>
      </c>
      <c r="AP99">
        <v>0</v>
      </c>
      <c r="AR99" t="s">
        <v>54</v>
      </c>
      <c r="AS99" t="s">
        <v>54</v>
      </c>
      <c r="AT99">
        <v>3465</v>
      </c>
      <c r="AU99" t="s">
        <v>55</v>
      </c>
    </row>
    <row r="100" spans="1:47" x14ac:dyDescent="0.25">
      <c r="A100" t="s">
        <v>47</v>
      </c>
      <c r="B100" s="1">
        <v>38474</v>
      </c>
      <c r="C100" t="s">
        <v>48</v>
      </c>
      <c r="D100" t="s">
        <v>49</v>
      </c>
      <c r="E100" s="2">
        <v>46045</v>
      </c>
      <c r="F100" s="3" t="s">
        <v>101</v>
      </c>
      <c r="G100" s="3" t="s">
        <v>94</v>
      </c>
      <c r="H100" s="3">
        <v>2288.9</v>
      </c>
      <c r="I100" s="3">
        <v>2288.9</v>
      </c>
      <c r="J100">
        <v>0</v>
      </c>
      <c r="K100" s="3">
        <v>2632.24</v>
      </c>
      <c r="L100" s="3">
        <v>400.65</v>
      </c>
      <c r="M100" s="3">
        <v>217.92</v>
      </c>
      <c r="N100" t="s">
        <v>84</v>
      </c>
      <c r="O100" t="s">
        <v>53</v>
      </c>
      <c r="P100" t="s">
        <v>53</v>
      </c>
      <c r="Q100" t="s">
        <v>53</v>
      </c>
      <c r="R100" t="s">
        <v>54</v>
      </c>
      <c r="S100" t="s">
        <v>54</v>
      </c>
      <c r="T100" t="s">
        <v>55</v>
      </c>
      <c r="U100">
        <v>9</v>
      </c>
      <c r="V100" t="s">
        <v>71</v>
      </c>
      <c r="W100" t="s">
        <v>102</v>
      </c>
      <c r="X100" s="4">
        <v>0</v>
      </c>
      <c r="Y100" t="s">
        <v>58</v>
      </c>
      <c r="Z100">
        <v>59.85</v>
      </c>
      <c r="AA100">
        <v>0</v>
      </c>
      <c r="AB100" s="3">
        <v>340.8</v>
      </c>
      <c r="AC100">
        <v>0</v>
      </c>
      <c r="AD100">
        <v>0</v>
      </c>
      <c r="AE100" s="3">
        <v>80</v>
      </c>
      <c r="AF100" t="s">
        <v>54</v>
      </c>
      <c r="AG100" t="s">
        <v>59</v>
      </c>
      <c r="AH100" t="s">
        <v>103</v>
      </c>
      <c r="AI100" t="s">
        <v>73</v>
      </c>
      <c r="AJ100" t="s">
        <v>73</v>
      </c>
      <c r="AK100" s="5">
        <v>46045.474953703706</v>
      </c>
      <c r="AO100" t="s">
        <v>54</v>
      </c>
      <c r="AP100">
        <v>0</v>
      </c>
      <c r="AR100" t="s">
        <v>54</v>
      </c>
      <c r="AS100" t="s">
        <v>54</v>
      </c>
      <c r="AT100">
        <v>161</v>
      </c>
      <c r="AU100" t="s">
        <v>55</v>
      </c>
    </row>
    <row r="101" spans="1:47" x14ac:dyDescent="0.25">
      <c r="A101" t="s">
        <v>96</v>
      </c>
      <c r="B101" s="1">
        <v>38475</v>
      </c>
      <c r="C101" t="s">
        <v>48</v>
      </c>
      <c r="D101" s="3" t="s">
        <v>49</v>
      </c>
      <c r="E101" s="2">
        <v>46048</v>
      </c>
      <c r="F101" t="s">
        <v>163</v>
      </c>
      <c r="G101" s="3" t="s">
        <v>66</v>
      </c>
      <c r="H101" s="3">
        <v>225</v>
      </c>
      <c r="I101" s="3">
        <v>225</v>
      </c>
      <c r="J101">
        <v>0</v>
      </c>
      <c r="K101" s="3">
        <v>225</v>
      </c>
      <c r="L101" s="3">
        <v>82.5</v>
      </c>
      <c r="M101" s="3">
        <v>23.93</v>
      </c>
      <c r="N101" t="s">
        <v>52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126</v>
      </c>
      <c r="V101" t="s">
        <v>56</v>
      </c>
      <c r="W101" t="s">
        <v>164</v>
      </c>
      <c r="X101" s="4">
        <v>0</v>
      </c>
      <c r="Y101" t="s">
        <v>58</v>
      </c>
      <c r="Z101" s="3">
        <v>82.5</v>
      </c>
      <c r="AA101">
        <v>0</v>
      </c>
      <c r="AB101" s="3">
        <v>0</v>
      </c>
      <c r="AC101">
        <v>0</v>
      </c>
      <c r="AD101" s="3">
        <v>0</v>
      </c>
      <c r="AE101" s="3">
        <v>2500</v>
      </c>
      <c r="AF101" t="s">
        <v>54</v>
      </c>
      <c r="AG101" t="s">
        <v>59</v>
      </c>
      <c r="AH101" t="s">
        <v>165</v>
      </c>
      <c r="AI101" t="s">
        <v>60</v>
      </c>
      <c r="AJ101" t="s">
        <v>60</v>
      </c>
      <c r="AK101" s="5">
        <v>46048.431967592594</v>
      </c>
      <c r="AO101" t="s">
        <v>54</v>
      </c>
      <c r="AP101">
        <v>0</v>
      </c>
      <c r="AR101" t="s">
        <v>54</v>
      </c>
      <c r="AS101" t="s">
        <v>54</v>
      </c>
      <c r="AT101">
        <v>5486</v>
      </c>
      <c r="AU101" t="s">
        <v>55</v>
      </c>
    </row>
    <row r="102" spans="1:47" x14ac:dyDescent="0.25">
      <c r="A102" t="s">
        <v>96</v>
      </c>
      <c r="B102" s="1">
        <v>38476</v>
      </c>
      <c r="C102" t="s">
        <v>48</v>
      </c>
      <c r="D102" s="3" t="s">
        <v>49</v>
      </c>
      <c r="E102" s="2">
        <v>46048</v>
      </c>
      <c r="F102" t="s">
        <v>166</v>
      </c>
      <c r="G102" s="3" t="s">
        <v>69</v>
      </c>
      <c r="H102" s="3">
        <v>9160</v>
      </c>
      <c r="I102" s="3">
        <v>9160</v>
      </c>
      <c r="J102">
        <v>0</v>
      </c>
      <c r="K102" s="3">
        <v>9160</v>
      </c>
      <c r="L102" s="3">
        <v>1610</v>
      </c>
      <c r="M102" s="3">
        <v>925.75</v>
      </c>
      <c r="N102" t="s">
        <v>52</v>
      </c>
      <c r="O102" t="s">
        <v>53</v>
      </c>
      <c r="P102" t="s">
        <v>53</v>
      </c>
      <c r="Q102" t="s">
        <v>53</v>
      </c>
      <c r="R102" t="s">
        <v>54</v>
      </c>
      <c r="S102" t="s">
        <v>54</v>
      </c>
      <c r="T102" t="s">
        <v>55</v>
      </c>
      <c r="U102">
        <v>126</v>
      </c>
      <c r="V102" t="s">
        <v>56</v>
      </c>
      <c r="W102" t="s">
        <v>153</v>
      </c>
      <c r="X102" s="4">
        <v>0</v>
      </c>
      <c r="Y102" t="s">
        <v>58</v>
      </c>
      <c r="Z102" s="3">
        <v>0</v>
      </c>
      <c r="AA102">
        <v>0</v>
      </c>
      <c r="AB102" s="3">
        <v>1610</v>
      </c>
      <c r="AC102">
        <v>0</v>
      </c>
      <c r="AD102" s="3">
        <v>0</v>
      </c>
      <c r="AE102" s="3">
        <v>2000</v>
      </c>
      <c r="AF102" t="s">
        <v>54</v>
      </c>
      <c r="AG102" t="s">
        <v>59</v>
      </c>
      <c r="AI102" t="s">
        <v>60</v>
      </c>
      <c r="AJ102" t="s">
        <v>60</v>
      </c>
      <c r="AK102" s="5">
        <v>46048.455706018518</v>
      </c>
      <c r="AO102" t="s">
        <v>54</v>
      </c>
      <c r="AP102">
        <v>0</v>
      </c>
      <c r="AR102" t="s">
        <v>54</v>
      </c>
      <c r="AS102" t="s">
        <v>54</v>
      </c>
      <c r="AT102">
        <v>322</v>
      </c>
      <c r="AU102" t="s">
        <v>55</v>
      </c>
    </row>
    <row r="103" spans="1:47" x14ac:dyDescent="0.25">
      <c r="A103" t="s">
        <v>47</v>
      </c>
      <c r="B103" s="1">
        <v>38477</v>
      </c>
      <c r="C103" t="s">
        <v>48</v>
      </c>
      <c r="D103" t="s">
        <v>49</v>
      </c>
      <c r="E103" s="2">
        <v>46048</v>
      </c>
      <c r="F103" t="s">
        <v>129</v>
      </c>
      <c r="G103" t="s">
        <v>130</v>
      </c>
      <c r="H103" s="3">
        <v>14902</v>
      </c>
      <c r="I103" s="3">
        <v>14902</v>
      </c>
      <c r="J103">
        <v>0</v>
      </c>
      <c r="K103" s="3">
        <v>17137.3</v>
      </c>
      <c r="L103" s="3">
        <v>2835.2</v>
      </c>
      <c r="M103" s="3">
        <v>1095.97</v>
      </c>
      <c r="N103" t="s">
        <v>52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126</v>
      </c>
      <c r="V103" t="s">
        <v>56</v>
      </c>
      <c r="W103" t="s">
        <v>131</v>
      </c>
      <c r="X103" s="4">
        <v>0</v>
      </c>
      <c r="Y103" t="s">
        <v>62</v>
      </c>
      <c r="AA103" s="3"/>
      <c r="AB103" s="3"/>
      <c r="AE103" s="3"/>
      <c r="AK103" s="5"/>
    </row>
    <row r="104" spans="1:47" x14ac:dyDescent="0.25">
      <c r="A104" t="s">
        <v>63</v>
      </c>
      <c r="B104" s="1">
        <v>2713.2</v>
      </c>
      <c r="C104">
        <v>0</v>
      </c>
      <c r="D104">
        <v>0</v>
      </c>
      <c r="E104" s="2">
        <v>0</v>
      </c>
      <c r="F104">
        <v>122</v>
      </c>
      <c r="G104" s="3">
        <v>3200</v>
      </c>
      <c r="H104" s="3" t="s">
        <v>54</v>
      </c>
      <c r="I104" s="3" t="s">
        <v>59</v>
      </c>
      <c r="K104" s="3" t="s">
        <v>60</v>
      </c>
      <c r="L104" s="3" t="s">
        <v>60</v>
      </c>
      <c r="M104" s="3">
        <v>46048.487233796295</v>
      </c>
      <c r="Q104" t="s">
        <v>54</v>
      </c>
      <c r="R104">
        <v>0</v>
      </c>
      <c r="T104" t="s">
        <v>54</v>
      </c>
      <c r="U104" t="s">
        <v>54</v>
      </c>
      <c r="V104">
        <v>6379</v>
      </c>
      <c r="W104" t="s">
        <v>55</v>
      </c>
      <c r="X104" s="4"/>
      <c r="Z104" s="3"/>
      <c r="AB104" s="3"/>
      <c r="AD104" s="3"/>
      <c r="AE104" s="3"/>
      <c r="AK104" s="5"/>
    </row>
    <row r="105" spans="1:47" x14ac:dyDescent="0.25">
      <c r="A105" t="s">
        <v>47</v>
      </c>
      <c r="B105" s="1">
        <v>38478</v>
      </c>
      <c r="C105" t="s">
        <v>48</v>
      </c>
      <c r="D105" t="s">
        <v>49</v>
      </c>
      <c r="E105" s="2">
        <v>46048</v>
      </c>
      <c r="F105" t="s">
        <v>118</v>
      </c>
      <c r="G105" t="s">
        <v>119</v>
      </c>
      <c r="H105" s="3">
        <v>1648</v>
      </c>
      <c r="I105" s="3">
        <v>1648</v>
      </c>
      <c r="J105">
        <v>0</v>
      </c>
      <c r="K105" s="3">
        <v>1895.2</v>
      </c>
      <c r="L105" s="3">
        <v>256.60000000000002</v>
      </c>
      <c r="M105" s="3">
        <v>147.55000000000001</v>
      </c>
      <c r="N105" t="s">
        <v>77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83</v>
      </c>
      <c r="W105" t="s">
        <v>85</v>
      </c>
      <c r="X105" s="4">
        <v>0</v>
      </c>
      <c r="Y105" t="s">
        <v>58</v>
      </c>
      <c r="Z105" s="3">
        <v>0</v>
      </c>
      <c r="AA105">
        <v>0</v>
      </c>
      <c r="AB105" s="3">
        <v>256.60000000000002</v>
      </c>
      <c r="AC105">
        <v>0</v>
      </c>
      <c r="AD105">
        <v>0</v>
      </c>
      <c r="AE105" s="3">
        <v>200</v>
      </c>
      <c r="AF105" t="s">
        <v>54</v>
      </c>
      <c r="AG105" t="s">
        <v>59</v>
      </c>
      <c r="AI105" t="s">
        <v>80</v>
      </c>
      <c r="AJ105" t="s">
        <v>73</v>
      </c>
      <c r="AK105" s="5">
        <v>46048.551793981482</v>
      </c>
      <c r="AO105" t="s">
        <v>54</v>
      </c>
      <c r="AP105">
        <v>0</v>
      </c>
      <c r="AR105" t="s">
        <v>54</v>
      </c>
      <c r="AS105" t="s">
        <v>54</v>
      </c>
      <c r="AT105">
        <v>4900</v>
      </c>
      <c r="AU105" t="s">
        <v>55</v>
      </c>
    </row>
    <row r="106" spans="1:47" x14ac:dyDescent="0.25">
      <c r="A106" t="s">
        <v>47</v>
      </c>
      <c r="B106" s="1">
        <v>38479</v>
      </c>
      <c r="C106" t="s">
        <v>48</v>
      </c>
      <c r="D106" t="s">
        <v>49</v>
      </c>
      <c r="E106" s="2">
        <v>46048</v>
      </c>
      <c r="F106" t="s">
        <v>118</v>
      </c>
      <c r="G106" t="s">
        <v>119</v>
      </c>
      <c r="H106" s="3">
        <v>1648</v>
      </c>
      <c r="I106" s="3">
        <v>1648</v>
      </c>
      <c r="J106">
        <v>0</v>
      </c>
      <c r="K106" s="3">
        <v>1895.2</v>
      </c>
      <c r="L106" s="3">
        <v>256.60000000000002</v>
      </c>
      <c r="M106" s="3">
        <v>147.55000000000001</v>
      </c>
      <c r="N106" t="s">
        <v>77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83</v>
      </c>
      <c r="W106" t="s">
        <v>85</v>
      </c>
      <c r="X106" s="4">
        <v>0</v>
      </c>
      <c r="Y106" t="s">
        <v>58</v>
      </c>
      <c r="Z106" s="3">
        <v>0</v>
      </c>
      <c r="AA106">
        <v>0</v>
      </c>
      <c r="AB106">
        <v>256.60000000000002</v>
      </c>
      <c r="AC106">
        <v>0</v>
      </c>
      <c r="AD106" s="3">
        <v>0</v>
      </c>
      <c r="AE106" s="3">
        <v>200</v>
      </c>
      <c r="AF106" t="s">
        <v>54</v>
      </c>
      <c r="AG106" t="s">
        <v>59</v>
      </c>
      <c r="AI106" t="s">
        <v>80</v>
      </c>
      <c r="AJ106" t="s">
        <v>73</v>
      </c>
      <c r="AK106" s="5">
        <v>46048.551932870374</v>
      </c>
      <c r="AO106" t="s">
        <v>54</v>
      </c>
      <c r="AP106">
        <v>0</v>
      </c>
      <c r="AR106" t="s">
        <v>54</v>
      </c>
      <c r="AS106" t="s">
        <v>54</v>
      </c>
      <c r="AT106">
        <v>4900</v>
      </c>
      <c r="AU106" t="s">
        <v>55</v>
      </c>
    </row>
    <row r="107" spans="1:47" x14ac:dyDescent="0.25">
      <c r="A107" t="s">
        <v>47</v>
      </c>
      <c r="B107" s="1">
        <v>38480</v>
      </c>
      <c r="C107" t="s">
        <v>48</v>
      </c>
      <c r="D107" t="s">
        <v>49</v>
      </c>
      <c r="E107" s="2">
        <v>46049</v>
      </c>
      <c r="F107" t="s">
        <v>421</v>
      </c>
      <c r="G107" s="3" t="s">
        <v>138</v>
      </c>
      <c r="H107" s="3">
        <v>5655</v>
      </c>
      <c r="I107" s="3">
        <v>5655</v>
      </c>
      <c r="J107">
        <v>0</v>
      </c>
      <c r="K107" s="3">
        <v>6487.5</v>
      </c>
      <c r="L107" s="3">
        <v>1144.5</v>
      </c>
      <c r="M107" s="3">
        <v>420.03</v>
      </c>
      <c r="N107" t="s">
        <v>98</v>
      </c>
      <c r="O107" t="s">
        <v>53</v>
      </c>
      <c r="P107" t="s">
        <v>53</v>
      </c>
      <c r="Q107" t="s">
        <v>53</v>
      </c>
      <c r="R107" t="s">
        <v>54</v>
      </c>
      <c r="S107" t="s">
        <v>54</v>
      </c>
      <c r="T107" t="s">
        <v>55</v>
      </c>
      <c r="U107">
        <v>167</v>
      </c>
      <c r="V107" t="s">
        <v>99</v>
      </c>
      <c r="W107" t="s">
        <v>95</v>
      </c>
      <c r="X107" s="4">
        <v>0</v>
      </c>
      <c r="Y107" t="s">
        <v>62</v>
      </c>
      <c r="AB107" s="3"/>
      <c r="AE107" s="3"/>
      <c r="AK107" s="5"/>
    </row>
    <row r="108" spans="1:47" x14ac:dyDescent="0.25">
      <c r="A108" t="s">
        <v>63</v>
      </c>
      <c r="B108" s="1">
        <v>1144.5</v>
      </c>
      <c r="C108">
        <v>0</v>
      </c>
      <c r="D108">
        <v>0</v>
      </c>
      <c r="E108" s="2">
        <v>0</v>
      </c>
      <c r="F108">
        <v>0</v>
      </c>
      <c r="G108" s="3">
        <v>1501</v>
      </c>
      <c r="H108" s="3" t="s">
        <v>54</v>
      </c>
      <c r="I108" s="3" t="s">
        <v>59</v>
      </c>
      <c r="K108" s="3" t="s">
        <v>73</v>
      </c>
      <c r="L108" s="3" t="s">
        <v>73</v>
      </c>
      <c r="M108" s="3">
        <v>46049.55667824074</v>
      </c>
      <c r="Q108" t="s">
        <v>54</v>
      </c>
      <c r="R108">
        <v>0</v>
      </c>
      <c r="T108" t="s">
        <v>54</v>
      </c>
      <c r="U108" t="s">
        <v>54</v>
      </c>
      <c r="V108">
        <v>8587</v>
      </c>
      <c r="W108" t="s">
        <v>55</v>
      </c>
      <c r="X108" s="4"/>
      <c r="AB108" s="3"/>
      <c r="AE108" s="3"/>
      <c r="AK108" s="5"/>
    </row>
    <row r="109" spans="1:47" x14ac:dyDescent="0.25">
      <c r="A109" t="s">
        <v>96</v>
      </c>
      <c r="B109" s="1">
        <v>38481</v>
      </c>
      <c r="C109" t="s">
        <v>48</v>
      </c>
      <c r="D109" t="s">
        <v>49</v>
      </c>
      <c r="E109" s="2">
        <v>46049</v>
      </c>
      <c r="F109" t="s">
        <v>220</v>
      </c>
      <c r="G109" t="s">
        <v>167</v>
      </c>
      <c r="H109" s="3">
        <v>8712</v>
      </c>
      <c r="I109" s="3">
        <v>8712</v>
      </c>
      <c r="J109">
        <v>0</v>
      </c>
      <c r="K109" s="3">
        <v>8712</v>
      </c>
      <c r="L109" s="3">
        <v>1618.8</v>
      </c>
      <c r="M109" s="3">
        <v>760.84</v>
      </c>
      <c r="N109" t="s">
        <v>106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145</v>
      </c>
      <c r="V109" t="s">
        <v>99</v>
      </c>
      <c r="W109" t="s">
        <v>153</v>
      </c>
      <c r="X109" s="4">
        <v>0</v>
      </c>
      <c r="Y109" t="s">
        <v>58</v>
      </c>
      <c r="Z109">
        <v>0</v>
      </c>
      <c r="AA109">
        <v>0</v>
      </c>
      <c r="AB109">
        <v>0</v>
      </c>
      <c r="AC109">
        <v>0</v>
      </c>
      <c r="AD109" s="3">
        <v>1618.8</v>
      </c>
      <c r="AE109" s="3">
        <v>1200</v>
      </c>
      <c r="AF109" t="s">
        <v>54</v>
      </c>
      <c r="AG109" t="s">
        <v>59</v>
      </c>
      <c r="AI109" t="s">
        <v>73</v>
      </c>
      <c r="AJ109" t="s">
        <v>73</v>
      </c>
      <c r="AK109" s="5">
        <v>46049.616388888891</v>
      </c>
      <c r="AO109" t="s">
        <v>54</v>
      </c>
      <c r="AP109">
        <v>0</v>
      </c>
      <c r="AR109" t="s">
        <v>54</v>
      </c>
      <c r="AS109" t="s">
        <v>54</v>
      </c>
      <c r="AT109">
        <v>554</v>
      </c>
      <c r="AU109" t="s">
        <v>55</v>
      </c>
    </row>
    <row r="110" spans="1:47" x14ac:dyDescent="0.25">
      <c r="A110" t="s">
        <v>96</v>
      </c>
      <c r="B110" s="1">
        <v>38482</v>
      </c>
      <c r="C110" t="s">
        <v>48</v>
      </c>
      <c r="D110" t="s">
        <v>49</v>
      </c>
      <c r="E110" s="2">
        <v>46049</v>
      </c>
      <c r="F110" t="s">
        <v>220</v>
      </c>
      <c r="G110" t="s">
        <v>167</v>
      </c>
      <c r="H110" s="3">
        <v>8712</v>
      </c>
      <c r="I110" s="3">
        <v>8712</v>
      </c>
      <c r="J110">
        <v>0</v>
      </c>
      <c r="K110" s="3">
        <v>8712</v>
      </c>
      <c r="L110" s="3">
        <v>1618.8</v>
      </c>
      <c r="M110" s="3">
        <v>760.84</v>
      </c>
      <c r="N110" t="s">
        <v>106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99</v>
      </c>
      <c r="W110" t="s">
        <v>153</v>
      </c>
      <c r="X110" s="4">
        <v>0</v>
      </c>
      <c r="Y110" t="s">
        <v>58</v>
      </c>
      <c r="Z110">
        <v>0</v>
      </c>
      <c r="AA110">
        <v>0</v>
      </c>
      <c r="AB110" s="3">
        <v>0</v>
      </c>
      <c r="AC110">
        <v>0</v>
      </c>
      <c r="AD110" s="3">
        <v>1618.8</v>
      </c>
      <c r="AE110" s="3">
        <v>1200</v>
      </c>
      <c r="AF110" t="s">
        <v>54</v>
      </c>
      <c r="AG110" t="s">
        <v>59</v>
      </c>
      <c r="AI110" t="s">
        <v>73</v>
      </c>
      <c r="AJ110" t="s">
        <v>73</v>
      </c>
      <c r="AK110" s="5">
        <v>46049.616527777776</v>
      </c>
      <c r="AO110" t="s">
        <v>54</v>
      </c>
      <c r="AP110">
        <v>0</v>
      </c>
      <c r="AR110" t="s">
        <v>54</v>
      </c>
      <c r="AS110" t="s">
        <v>54</v>
      </c>
      <c r="AT110">
        <v>554</v>
      </c>
      <c r="AU110" t="s">
        <v>55</v>
      </c>
    </row>
    <row r="111" spans="1:47" x14ac:dyDescent="0.25">
      <c r="A111" t="s">
        <v>47</v>
      </c>
      <c r="B111" s="1">
        <v>38483</v>
      </c>
      <c r="C111" t="s">
        <v>48</v>
      </c>
      <c r="D111" t="s">
        <v>49</v>
      </c>
      <c r="E111" s="2">
        <v>46049</v>
      </c>
      <c r="F111" t="s">
        <v>101</v>
      </c>
      <c r="G111" t="s">
        <v>94</v>
      </c>
      <c r="H111" s="3">
        <v>30260</v>
      </c>
      <c r="I111" s="3">
        <v>30260</v>
      </c>
      <c r="J111">
        <v>0</v>
      </c>
      <c r="K111" s="3">
        <v>34799</v>
      </c>
      <c r="L111" s="3">
        <v>5198</v>
      </c>
      <c r="M111" s="3">
        <v>2531.64</v>
      </c>
      <c r="N111" t="s">
        <v>84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9</v>
      </c>
      <c r="V111" t="s">
        <v>71</v>
      </c>
      <c r="W111" t="s">
        <v>102</v>
      </c>
      <c r="X111" s="4">
        <v>0</v>
      </c>
      <c r="Y111" t="s">
        <v>58</v>
      </c>
      <c r="Z111" s="3">
        <v>2507</v>
      </c>
      <c r="AA111" s="3">
        <v>0</v>
      </c>
      <c r="AB111" s="3">
        <v>2691</v>
      </c>
      <c r="AC111">
        <v>0</v>
      </c>
      <c r="AD111">
        <v>0</v>
      </c>
      <c r="AE111" s="3">
        <v>5000</v>
      </c>
      <c r="AF111" t="s">
        <v>54</v>
      </c>
      <c r="AG111" t="s">
        <v>59</v>
      </c>
      <c r="AH111" t="s">
        <v>103</v>
      </c>
      <c r="AI111" t="s">
        <v>92</v>
      </c>
      <c r="AJ111" t="s">
        <v>92</v>
      </c>
      <c r="AK111" s="5">
        <v>46049.618715277778</v>
      </c>
      <c r="AO111" t="s">
        <v>54</v>
      </c>
      <c r="AP111">
        <v>0</v>
      </c>
      <c r="AR111" t="s">
        <v>54</v>
      </c>
      <c r="AS111" t="s">
        <v>54</v>
      </c>
      <c r="AT111">
        <v>161</v>
      </c>
      <c r="AU111" t="s">
        <v>55</v>
      </c>
    </row>
    <row r="112" spans="1:47" x14ac:dyDescent="0.25">
      <c r="A112" t="s">
        <v>47</v>
      </c>
      <c r="B112" s="1">
        <v>38484</v>
      </c>
      <c r="C112" t="s">
        <v>48</v>
      </c>
      <c r="D112" t="s">
        <v>49</v>
      </c>
      <c r="E112" s="2">
        <v>46050</v>
      </c>
      <c r="F112" t="s">
        <v>263</v>
      </c>
      <c r="G112" t="s">
        <v>66</v>
      </c>
      <c r="H112" s="3">
        <v>5586</v>
      </c>
      <c r="I112" s="3">
        <v>5586</v>
      </c>
      <c r="J112">
        <v>0</v>
      </c>
      <c r="K112" s="3">
        <v>6423.9</v>
      </c>
      <c r="L112" s="3">
        <v>550.20000000000005</v>
      </c>
      <c r="M112" s="3">
        <v>330.12</v>
      </c>
      <c r="N112" t="s">
        <v>52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126</v>
      </c>
      <c r="V112" t="s">
        <v>56</v>
      </c>
      <c r="W112" t="s">
        <v>78</v>
      </c>
      <c r="X112" s="4">
        <v>0</v>
      </c>
      <c r="Y112" t="s">
        <v>62</v>
      </c>
      <c r="Z112" s="3"/>
      <c r="AB112" s="3"/>
      <c r="AD112" s="3"/>
      <c r="AE112" s="3"/>
      <c r="AK112" s="5"/>
    </row>
    <row r="113" spans="1:47" x14ac:dyDescent="0.25">
      <c r="A113" t="s">
        <v>63</v>
      </c>
      <c r="B113" s="1">
        <v>0</v>
      </c>
      <c r="C113">
        <v>0</v>
      </c>
      <c r="D113">
        <v>550.20000000000005</v>
      </c>
      <c r="E113" s="2">
        <v>0</v>
      </c>
      <c r="F113">
        <v>0</v>
      </c>
      <c r="G113">
        <v>300</v>
      </c>
      <c r="H113" s="3" t="s">
        <v>54</v>
      </c>
      <c r="I113" s="3" t="s">
        <v>59</v>
      </c>
      <c r="J113" t="s">
        <v>165</v>
      </c>
      <c r="K113" s="3" t="s">
        <v>60</v>
      </c>
      <c r="L113" s="3" t="s">
        <v>60</v>
      </c>
      <c r="M113" s="3">
        <v>46050.412604166668</v>
      </c>
      <c r="Q113" t="s">
        <v>54</v>
      </c>
      <c r="R113">
        <v>0</v>
      </c>
      <c r="T113" t="s">
        <v>54</v>
      </c>
      <c r="U113" t="s">
        <v>54</v>
      </c>
      <c r="V113">
        <v>5328</v>
      </c>
      <c r="W113" t="s">
        <v>55</v>
      </c>
      <c r="X113" s="4"/>
      <c r="Z113" s="3"/>
      <c r="AB113" s="3"/>
      <c r="AE113" s="3"/>
      <c r="AK113" s="5"/>
    </row>
    <row r="114" spans="1:47" x14ac:dyDescent="0.25">
      <c r="A114" t="s">
        <v>96</v>
      </c>
      <c r="B114" s="1">
        <v>38485</v>
      </c>
      <c r="C114" t="s">
        <v>48</v>
      </c>
      <c r="D114" t="s">
        <v>49</v>
      </c>
      <c r="E114" s="2">
        <v>46050</v>
      </c>
      <c r="F114" t="s">
        <v>413</v>
      </c>
      <c r="G114" s="3" t="s">
        <v>66</v>
      </c>
      <c r="H114" s="3">
        <v>870</v>
      </c>
      <c r="I114" s="3">
        <v>870</v>
      </c>
      <c r="J114">
        <v>0</v>
      </c>
      <c r="K114" s="3">
        <v>870</v>
      </c>
      <c r="L114" s="3">
        <v>175</v>
      </c>
      <c r="M114" s="3">
        <v>50.75</v>
      </c>
      <c r="N114" t="s">
        <v>52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126</v>
      </c>
      <c r="V114" t="s">
        <v>56</v>
      </c>
      <c r="W114" t="s">
        <v>72</v>
      </c>
      <c r="X114" s="4">
        <v>0</v>
      </c>
      <c r="Y114" t="s">
        <v>62</v>
      </c>
    </row>
    <row r="115" spans="1:47" x14ac:dyDescent="0.25">
      <c r="A115" t="s">
        <v>63</v>
      </c>
      <c r="B115" s="3">
        <v>175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60</v>
      </c>
      <c r="L115" t="s">
        <v>73</v>
      </c>
      <c r="M115" s="3">
        <v>46050.464699074073</v>
      </c>
      <c r="Q115" t="s">
        <v>54</v>
      </c>
      <c r="R115">
        <v>0</v>
      </c>
      <c r="T115" t="s">
        <v>54</v>
      </c>
      <c r="U115" t="s">
        <v>54</v>
      </c>
      <c r="V115">
        <v>7228</v>
      </c>
      <c r="W115" t="s">
        <v>55</v>
      </c>
      <c r="X115" s="4"/>
      <c r="AK115" s="5"/>
    </row>
    <row r="116" spans="1:47" x14ac:dyDescent="0.25">
      <c r="A116" t="s">
        <v>96</v>
      </c>
      <c r="B116" s="1">
        <v>38486</v>
      </c>
      <c r="C116" t="s">
        <v>48</v>
      </c>
      <c r="D116" t="s">
        <v>49</v>
      </c>
      <c r="E116" s="2">
        <v>46050</v>
      </c>
      <c r="F116" t="s">
        <v>163</v>
      </c>
      <c r="G116" t="s">
        <v>66</v>
      </c>
      <c r="H116" s="3">
        <v>900</v>
      </c>
      <c r="I116" s="3">
        <v>900</v>
      </c>
      <c r="J116">
        <v>0</v>
      </c>
      <c r="K116" s="3">
        <v>900</v>
      </c>
      <c r="L116" s="3">
        <v>241</v>
      </c>
      <c r="M116" s="3">
        <v>69.89</v>
      </c>
      <c r="N116" t="s">
        <v>52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126</v>
      </c>
      <c r="V116" t="s">
        <v>56</v>
      </c>
      <c r="W116" t="s">
        <v>153</v>
      </c>
      <c r="X116" s="4">
        <v>0</v>
      </c>
      <c r="Y116" t="s">
        <v>58</v>
      </c>
      <c r="Z116">
        <v>241</v>
      </c>
      <c r="AA116">
        <v>0</v>
      </c>
      <c r="AB116">
        <v>0</v>
      </c>
      <c r="AC116">
        <v>0</v>
      </c>
      <c r="AD116" s="3">
        <v>0</v>
      </c>
      <c r="AE116" s="3">
        <v>1000</v>
      </c>
      <c r="AF116" t="s">
        <v>54</v>
      </c>
      <c r="AG116" t="s">
        <v>59</v>
      </c>
      <c r="AH116" t="s">
        <v>165</v>
      </c>
      <c r="AI116" t="s">
        <v>60</v>
      </c>
      <c r="AJ116" t="s">
        <v>60</v>
      </c>
      <c r="AK116" s="5">
        <v>46050.450312499997</v>
      </c>
      <c r="AO116" t="s">
        <v>54</v>
      </c>
      <c r="AP116">
        <v>0</v>
      </c>
      <c r="AR116" t="s">
        <v>54</v>
      </c>
      <c r="AS116" t="s">
        <v>54</v>
      </c>
      <c r="AT116">
        <v>5486</v>
      </c>
      <c r="AU116" t="s">
        <v>55</v>
      </c>
    </row>
    <row r="117" spans="1:47" x14ac:dyDescent="0.25">
      <c r="A117" t="s">
        <v>96</v>
      </c>
      <c r="B117" s="1">
        <v>38487</v>
      </c>
      <c r="C117" t="s">
        <v>48</v>
      </c>
      <c r="D117" t="s">
        <v>49</v>
      </c>
      <c r="E117" s="2">
        <v>46050</v>
      </c>
      <c r="F117" t="s">
        <v>180</v>
      </c>
      <c r="G117" t="s">
        <v>69</v>
      </c>
      <c r="H117" s="3">
        <v>20626</v>
      </c>
      <c r="I117" s="3">
        <v>20626</v>
      </c>
      <c r="J117">
        <v>0</v>
      </c>
      <c r="K117" s="3">
        <v>20626</v>
      </c>
      <c r="L117" s="3">
        <v>2928</v>
      </c>
      <c r="M117" s="3">
        <v>1548.3</v>
      </c>
      <c r="N117" t="s">
        <v>52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126</v>
      </c>
      <c r="V117" t="s">
        <v>56</v>
      </c>
      <c r="W117" t="s">
        <v>202</v>
      </c>
      <c r="X117" s="4">
        <v>0</v>
      </c>
      <c r="Y117" t="s">
        <v>62</v>
      </c>
      <c r="AD117" s="3"/>
      <c r="AE117" s="3"/>
      <c r="AK117" s="5"/>
    </row>
    <row r="118" spans="1:47" x14ac:dyDescent="0.25">
      <c r="A118" t="s">
        <v>63</v>
      </c>
      <c r="B118" s="1">
        <v>0</v>
      </c>
      <c r="C118">
        <v>0</v>
      </c>
      <c r="D118">
        <v>468</v>
      </c>
      <c r="E118" s="2">
        <v>0</v>
      </c>
      <c r="F118" s="3">
        <v>2460</v>
      </c>
      <c r="G118" s="3">
        <v>6000</v>
      </c>
      <c r="H118" s="3" t="s">
        <v>54</v>
      </c>
      <c r="I118" s="3" t="s">
        <v>59</v>
      </c>
      <c r="J118" t="s">
        <v>79</v>
      </c>
      <c r="K118" s="3" t="s">
        <v>60</v>
      </c>
      <c r="L118" s="3" t="s">
        <v>60</v>
      </c>
      <c r="M118" s="3">
        <v>46050.45449074074</v>
      </c>
      <c r="Q118" t="s">
        <v>54</v>
      </c>
      <c r="R118">
        <v>0</v>
      </c>
      <c r="T118" t="s">
        <v>54</v>
      </c>
      <c r="U118" t="s">
        <v>54</v>
      </c>
      <c r="V118">
        <v>8105</v>
      </c>
      <c r="W118" t="s">
        <v>55</v>
      </c>
      <c r="X118" s="4"/>
      <c r="Z118" s="3"/>
      <c r="AD118" s="3"/>
      <c r="AE118" s="3"/>
      <c r="AK118" s="5"/>
    </row>
    <row r="119" spans="1:47" x14ac:dyDescent="0.25">
      <c r="A119" t="s">
        <v>96</v>
      </c>
      <c r="B119" s="1">
        <v>38488</v>
      </c>
      <c r="C119" t="s">
        <v>48</v>
      </c>
      <c r="D119" t="s">
        <v>49</v>
      </c>
      <c r="E119" s="2">
        <v>46050</v>
      </c>
      <c r="F119" t="s">
        <v>180</v>
      </c>
      <c r="G119" t="s">
        <v>69</v>
      </c>
      <c r="H119" s="3">
        <v>20180</v>
      </c>
      <c r="I119" s="3">
        <v>20180</v>
      </c>
      <c r="J119">
        <v>0</v>
      </c>
      <c r="K119" s="3">
        <v>20180</v>
      </c>
      <c r="L119" s="3">
        <v>3021</v>
      </c>
      <c r="M119" s="3">
        <v>1495</v>
      </c>
      <c r="N119" t="s">
        <v>52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126</v>
      </c>
      <c r="V119" t="s">
        <v>56</v>
      </c>
      <c r="W119" t="s">
        <v>202</v>
      </c>
      <c r="X119" s="4">
        <v>0</v>
      </c>
      <c r="Y119" t="s">
        <v>62</v>
      </c>
      <c r="Z119" s="3"/>
      <c r="AD119" s="3"/>
      <c r="AE119" s="3"/>
      <c r="AK119" s="5"/>
    </row>
    <row r="120" spans="1:47" x14ac:dyDescent="0.25">
      <c r="A120" t="s">
        <v>63</v>
      </c>
      <c r="B120" s="1">
        <v>666</v>
      </c>
      <c r="C120">
        <v>0</v>
      </c>
      <c r="D120">
        <v>0</v>
      </c>
      <c r="E120" s="2">
        <v>0</v>
      </c>
      <c r="F120" s="3">
        <v>2355</v>
      </c>
      <c r="G120" s="3">
        <v>7000</v>
      </c>
      <c r="H120" s="3" t="s">
        <v>54</v>
      </c>
      <c r="I120" s="3" t="s">
        <v>59</v>
      </c>
      <c r="J120" t="s">
        <v>79</v>
      </c>
      <c r="K120" s="3" t="s">
        <v>60</v>
      </c>
      <c r="L120" s="3" t="s">
        <v>60</v>
      </c>
      <c r="M120" s="3">
        <v>46050.460289351853</v>
      </c>
      <c r="Q120" t="s">
        <v>54</v>
      </c>
      <c r="R120">
        <v>0</v>
      </c>
      <c r="T120" t="s">
        <v>54</v>
      </c>
      <c r="U120" t="s">
        <v>54</v>
      </c>
      <c r="V120">
        <v>8105</v>
      </c>
      <c r="W120" t="s">
        <v>55</v>
      </c>
      <c r="X120" s="4"/>
      <c r="Z120" s="3"/>
      <c r="AD120" s="3"/>
      <c r="AE120" s="3"/>
      <c r="AK120" s="5"/>
    </row>
    <row r="121" spans="1:47" x14ac:dyDescent="0.25">
      <c r="A121" t="s">
        <v>47</v>
      </c>
      <c r="B121" s="1">
        <v>38490</v>
      </c>
      <c r="C121" t="s">
        <v>48</v>
      </c>
      <c r="D121" t="s">
        <v>49</v>
      </c>
      <c r="E121" s="2">
        <v>46050</v>
      </c>
      <c r="F121" t="s">
        <v>419</v>
      </c>
      <c r="G121" t="s">
        <v>172</v>
      </c>
      <c r="H121" s="3">
        <v>7092</v>
      </c>
      <c r="I121" s="3">
        <v>7092</v>
      </c>
      <c r="J121">
        <v>0</v>
      </c>
      <c r="K121" s="3">
        <v>8155.8</v>
      </c>
      <c r="L121" s="3">
        <v>605.4</v>
      </c>
      <c r="M121" s="3">
        <v>386.25</v>
      </c>
      <c r="N121" t="s">
        <v>98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167</v>
      </c>
      <c r="V121" t="s">
        <v>99</v>
      </c>
      <c r="W121" t="s">
        <v>57</v>
      </c>
      <c r="X121" s="4">
        <v>0</v>
      </c>
      <c r="Y121" t="s">
        <v>62</v>
      </c>
      <c r="Z121" s="3"/>
      <c r="AD121" s="3"/>
      <c r="AE121" s="3"/>
      <c r="AK121" s="5"/>
    </row>
    <row r="122" spans="1:47" x14ac:dyDescent="0.25">
      <c r="A122" t="s">
        <v>63</v>
      </c>
      <c r="B122" s="1">
        <v>0</v>
      </c>
      <c r="C122">
        <v>0</v>
      </c>
      <c r="D122">
        <v>605.4</v>
      </c>
      <c r="E122" s="2">
        <v>0</v>
      </c>
      <c r="F122">
        <v>0</v>
      </c>
      <c r="G122">
        <v>375</v>
      </c>
      <c r="H122" s="3" t="s">
        <v>54</v>
      </c>
      <c r="I122" s="3" t="s">
        <v>59</v>
      </c>
      <c r="K122" s="3" t="s">
        <v>73</v>
      </c>
      <c r="L122" s="3" t="s">
        <v>73</v>
      </c>
      <c r="M122" s="3">
        <v>46051.318055555559</v>
      </c>
      <c r="Q122" t="s">
        <v>54</v>
      </c>
      <c r="R122">
        <v>0</v>
      </c>
      <c r="T122" t="s">
        <v>54</v>
      </c>
      <c r="U122" t="s">
        <v>54</v>
      </c>
      <c r="V122">
        <v>5904</v>
      </c>
      <c r="W122" t="s">
        <v>55</v>
      </c>
      <c r="X122" s="4"/>
      <c r="Z122" s="3"/>
      <c r="AD122" s="3"/>
      <c r="AE122" s="3"/>
      <c r="AK122" s="5"/>
    </row>
    <row r="123" spans="1:47" x14ac:dyDescent="0.25">
      <c r="A123" t="s">
        <v>47</v>
      </c>
      <c r="B123" s="1">
        <v>38491</v>
      </c>
      <c r="C123" t="s">
        <v>48</v>
      </c>
      <c r="D123" t="s">
        <v>49</v>
      </c>
      <c r="E123" s="2">
        <v>46051</v>
      </c>
      <c r="F123" t="s">
        <v>252</v>
      </c>
      <c r="G123" s="3" t="s">
        <v>69</v>
      </c>
      <c r="H123" s="3">
        <v>5837</v>
      </c>
      <c r="I123" s="3">
        <v>5837</v>
      </c>
      <c r="J123">
        <v>0</v>
      </c>
      <c r="K123" s="3">
        <v>6712.55</v>
      </c>
      <c r="L123" s="3">
        <v>1033.5</v>
      </c>
      <c r="M123" s="3">
        <v>476.44</v>
      </c>
      <c r="N123" t="s">
        <v>84</v>
      </c>
      <c r="O123" t="s">
        <v>53</v>
      </c>
      <c r="P123" t="s">
        <v>53</v>
      </c>
      <c r="Q123" t="s">
        <v>53</v>
      </c>
      <c r="R123" t="s">
        <v>54</v>
      </c>
      <c r="S123" t="s">
        <v>54</v>
      </c>
      <c r="T123" t="s">
        <v>55</v>
      </c>
      <c r="U123">
        <v>9</v>
      </c>
      <c r="V123" t="s">
        <v>71</v>
      </c>
      <c r="W123" t="s">
        <v>95</v>
      </c>
      <c r="X123" s="4">
        <v>0</v>
      </c>
      <c r="Y123" t="s">
        <v>58</v>
      </c>
      <c r="Z123" s="3">
        <v>0</v>
      </c>
      <c r="AA123" s="3">
        <v>1033.5</v>
      </c>
      <c r="AB123">
        <v>0</v>
      </c>
      <c r="AC123">
        <v>0</v>
      </c>
      <c r="AD123" s="3">
        <v>0</v>
      </c>
      <c r="AE123" s="3">
        <v>1300</v>
      </c>
      <c r="AF123" t="s">
        <v>54</v>
      </c>
      <c r="AG123" t="s">
        <v>59</v>
      </c>
      <c r="AI123" t="s">
        <v>73</v>
      </c>
      <c r="AJ123" t="s">
        <v>73</v>
      </c>
      <c r="AK123" s="5">
        <v>46051.317708333336</v>
      </c>
      <c r="AO123" t="s">
        <v>54</v>
      </c>
      <c r="AP123">
        <v>0</v>
      </c>
      <c r="AR123" t="s">
        <v>54</v>
      </c>
      <c r="AS123" t="s">
        <v>54</v>
      </c>
      <c r="AT123">
        <v>3723</v>
      </c>
      <c r="AU123" t="s">
        <v>55</v>
      </c>
    </row>
    <row r="124" spans="1:47" x14ac:dyDescent="0.25">
      <c r="A124" t="s">
        <v>96</v>
      </c>
      <c r="B124" s="1">
        <v>38492</v>
      </c>
      <c r="C124" t="s">
        <v>48</v>
      </c>
      <c r="D124" t="s">
        <v>49</v>
      </c>
      <c r="E124" s="2">
        <v>46051</v>
      </c>
      <c r="F124" t="s">
        <v>163</v>
      </c>
      <c r="G124" t="s">
        <v>66</v>
      </c>
      <c r="H124" s="3">
        <v>8706.5</v>
      </c>
      <c r="I124" s="3">
        <v>8706.5</v>
      </c>
      <c r="J124">
        <v>0</v>
      </c>
      <c r="K124" s="3">
        <v>8706.5</v>
      </c>
      <c r="L124" s="3">
        <v>2429.61</v>
      </c>
      <c r="M124" s="3">
        <v>748.7</v>
      </c>
      <c r="N124" t="s">
        <v>52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126</v>
      </c>
      <c r="V124" t="s">
        <v>56</v>
      </c>
      <c r="W124" t="s">
        <v>143</v>
      </c>
      <c r="X124" s="4">
        <v>0</v>
      </c>
      <c r="Y124" t="s">
        <v>58</v>
      </c>
      <c r="Z124" s="3">
        <v>2285.0100000000002</v>
      </c>
      <c r="AA124">
        <v>0</v>
      </c>
      <c r="AB124">
        <v>144.6</v>
      </c>
      <c r="AC124">
        <v>0</v>
      </c>
      <c r="AD124">
        <v>0</v>
      </c>
      <c r="AE124" s="3">
        <v>15770</v>
      </c>
      <c r="AF124" t="s">
        <v>54</v>
      </c>
      <c r="AG124" t="s">
        <v>59</v>
      </c>
      <c r="AH124" t="s">
        <v>165</v>
      </c>
      <c r="AI124" t="s">
        <v>60</v>
      </c>
      <c r="AJ124" t="s">
        <v>60</v>
      </c>
      <c r="AK124" s="5">
        <v>46051.685995370368</v>
      </c>
      <c r="AO124" t="s">
        <v>54</v>
      </c>
      <c r="AP124">
        <v>0</v>
      </c>
      <c r="AR124" t="s">
        <v>54</v>
      </c>
      <c r="AS124" t="s">
        <v>54</v>
      </c>
      <c r="AT124">
        <v>5486</v>
      </c>
      <c r="AU124" t="s">
        <v>55</v>
      </c>
    </row>
    <row r="125" spans="1:47" x14ac:dyDescent="0.25">
      <c r="A125" t="s">
        <v>96</v>
      </c>
      <c r="B125" s="1">
        <v>38493</v>
      </c>
      <c r="C125" t="s">
        <v>48</v>
      </c>
      <c r="D125" s="3" t="s">
        <v>49</v>
      </c>
      <c r="E125" s="2">
        <v>46051</v>
      </c>
      <c r="F125" t="s">
        <v>350</v>
      </c>
      <c r="G125" s="3" t="s">
        <v>51</v>
      </c>
      <c r="H125" s="3">
        <v>2288</v>
      </c>
      <c r="I125" s="3">
        <v>2288</v>
      </c>
      <c r="J125">
        <v>0</v>
      </c>
      <c r="K125" s="3">
        <v>2288</v>
      </c>
      <c r="L125" s="3">
        <v>329.6</v>
      </c>
      <c r="M125" s="3">
        <v>210.28</v>
      </c>
      <c r="N125" t="s">
        <v>52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126</v>
      </c>
      <c r="V125" t="s">
        <v>56</v>
      </c>
      <c r="W125" t="s">
        <v>117</v>
      </c>
      <c r="X125" s="4">
        <v>0</v>
      </c>
      <c r="Y125" t="s">
        <v>62</v>
      </c>
      <c r="AB125" s="3"/>
      <c r="AE125" s="3"/>
      <c r="AK125" s="5"/>
    </row>
    <row r="126" spans="1:47" x14ac:dyDescent="0.25">
      <c r="A126" t="s">
        <v>63</v>
      </c>
      <c r="B126" s="1">
        <v>0</v>
      </c>
      <c r="C126">
        <v>0</v>
      </c>
      <c r="D126">
        <v>329.6</v>
      </c>
      <c r="E126" s="2">
        <v>0</v>
      </c>
      <c r="F126">
        <v>0</v>
      </c>
      <c r="G126">
        <v>800</v>
      </c>
      <c r="H126" s="3" t="s">
        <v>54</v>
      </c>
      <c r="I126" s="3" t="s">
        <v>59</v>
      </c>
      <c r="K126" s="3" t="s">
        <v>60</v>
      </c>
      <c r="L126" s="3" t="s">
        <v>60</v>
      </c>
      <c r="M126" s="3">
        <v>46051.468425925923</v>
      </c>
      <c r="Q126" t="s">
        <v>54</v>
      </c>
      <c r="R126">
        <v>0</v>
      </c>
      <c r="T126" t="s">
        <v>54</v>
      </c>
      <c r="U126" t="s">
        <v>54</v>
      </c>
      <c r="V126">
        <v>7429</v>
      </c>
      <c r="W126" t="s">
        <v>55</v>
      </c>
      <c r="X126" s="4"/>
      <c r="AB126" s="3"/>
      <c r="AE126" s="3"/>
      <c r="AK126" s="5"/>
    </row>
    <row r="127" spans="1:47" x14ac:dyDescent="0.25">
      <c r="A127" t="s">
        <v>47</v>
      </c>
      <c r="B127" s="1">
        <v>38494</v>
      </c>
      <c r="C127" t="s">
        <v>48</v>
      </c>
      <c r="D127" t="s">
        <v>49</v>
      </c>
      <c r="E127" s="2">
        <v>46051</v>
      </c>
      <c r="F127" t="s">
        <v>244</v>
      </c>
      <c r="G127" t="s">
        <v>69</v>
      </c>
      <c r="H127" s="3">
        <v>6036</v>
      </c>
      <c r="I127" s="3">
        <v>6036</v>
      </c>
      <c r="J127">
        <v>0</v>
      </c>
      <c r="K127" s="3">
        <v>6941.4</v>
      </c>
      <c r="L127" s="3">
        <v>1290.5999999999999</v>
      </c>
      <c r="M127" s="3">
        <v>419.45</v>
      </c>
      <c r="N127" t="s">
        <v>77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83</v>
      </c>
      <c r="V127" t="s">
        <v>121</v>
      </c>
      <c r="W127" t="s">
        <v>95</v>
      </c>
      <c r="X127" s="4">
        <v>0</v>
      </c>
      <c r="Y127" t="s">
        <v>62</v>
      </c>
      <c r="AB127" s="3"/>
      <c r="AE127" s="3"/>
      <c r="AK127" s="5"/>
    </row>
    <row r="128" spans="1:47" x14ac:dyDescent="0.25">
      <c r="A128" t="s">
        <v>63</v>
      </c>
      <c r="B128" s="1">
        <v>1290.5999999999999</v>
      </c>
      <c r="C128">
        <v>0</v>
      </c>
      <c r="D128">
        <v>0</v>
      </c>
      <c r="E128" s="2">
        <v>0</v>
      </c>
      <c r="F128">
        <v>0</v>
      </c>
      <c r="G128" s="3">
        <v>1200</v>
      </c>
      <c r="H128" s="3" t="s">
        <v>54</v>
      </c>
      <c r="I128" s="3" t="s">
        <v>59</v>
      </c>
      <c r="K128" s="3" t="s">
        <v>80</v>
      </c>
      <c r="L128" s="3" t="s">
        <v>73</v>
      </c>
      <c r="M128" s="3">
        <v>46051.603935185187</v>
      </c>
      <c r="Q128" t="s">
        <v>54</v>
      </c>
      <c r="R128">
        <v>0</v>
      </c>
      <c r="T128" t="s">
        <v>54</v>
      </c>
      <c r="U128" t="s">
        <v>54</v>
      </c>
      <c r="V128">
        <v>4126</v>
      </c>
      <c r="W128" t="s">
        <v>55</v>
      </c>
      <c r="X128" s="4"/>
      <c r="Z128" s="3"/>
      <c r="AB128" s="3"/>
      <c r="AE128" s="3"/>
      <c r="AK128" s="5"/>
    </row>
    <row r="129" spans="1:47" x14ac:dyDescent="0.25">
      <c r="A129" t="s">
        <v>96</v>
      </c>
      <c r="B129" s="1">
        <v>38495</v>
      </c>
      <c r="C129" t="s">
        <v>48</v>
      </c>
      <c r="D129" t="s">
        <v>49</v>
      </c>
      <c r="E129" s="2">
        <v>46051</v>
      </c>
      <c r="F129" t="s">
        <v>412</v>
      </c>
      <c r="G129" s="3" t="s">
        <v>119</v>
      </c>
      <c r="H129" s="3">
        <v>3820</v>
      </c>
      <c r="I129" s="3">
        <v>3820</v>
      </c>
      <c r="J129">
        <v>0</v>
      </c>
      <c r="K129" s="3">
        <v>3820</v>
      </c>
      <c r="L129" s="3">
        <v>690.5</v>
      </c>
      <c r="M129" s="3">
        <v>303.3</v>
      </c>
      <c r="N129" t="s">
        <v>52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126</v>
      </c>
      <c r="V129" t="s">
        <v>56</v>
      </c>
      <c r="W129" t="s">
        <v>72</v>
      </c>
      <c r="X129" s="4">
        <v>0</v>
      </c>
      <c r="Y129" t="s">
        <v>201</v>
      </c>
      <c r="Z129">
        <v>118</v>
      </c>
      <c r="AA129">
        <v>0</v>
      </c>
      <c r="AB129" s="3">
        <v>0</v>
      </c>
      <c r="AC129">
        <v>0</v>
      </c>
      <c r="AD129">
        <v>572.5</v>
      </c>
      <c r="AE129" s="3">
        <v>1500</v>
      </c>
      <c r="AF129" t="s">
        <v>54</v>
      </c>
      <c r="AG129" t="s">
        <v>59</v>
      </c>
      <c r="AI129" t="s">
        <v>60</v>
      </c>
      <c r="AJ129" t="s">
        <v>60</v>
      </c>
      <c r="AK129" s="5">
        <v>46051.548159722224</v>
      </c>
      <c r="AO129" t="s">
        <v>54</v>
      </c>
      <c r="AP129">
        <v>0</v>
      </c>
      <c r="AR129" t="s">
        <v>54</v>
      </c>
      <c r="AS129" t="s">
        <v>54</v>
      </c>
      <c r="AT129">
        <v>4075</v>
      </c>
      <c r="AU129" t="s">
        <v>55</v>
      </c>
    </row>
    <row r="130" spans="1:47" x14ac:dyDescent="0.25">
      <c r="A130" t="s">
        <v>47</v>
      </c>
      <c r="B130" s="1">
        <v>38496</v>
      </c>
      <c r="C130" t="s">
        <v>48</v>
      </c>
      <c r="D130" t="s">
        <v>49</v>
      </c>
      <c r="E130" s="2">
        <v>46051</v>
      </c>
      <c r="F130" t="s">
        <v>232</v>
      </c>
      <c r="G130" t="s">
        <v>172</v>
      </c>
      <c r="H130" s="3">
        <v>12295</v>
      </c>
      <c r="I130" s="3">
        <v>12295</v>
      </c>
      <c r="J130">
        <v>0</v>
      </c>
      <c r="K130" s="3">
        <v>14056.75</v>
      </c>
      <c r="L130" s="3">
        <v>1797</v>
      </c>
      <c r="M130" s="3">
        <v>954.78</v>
      </c>
      <c r="N130" t="s">
        <v>77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83</v>
      </c>
      <c r="V130" t="s">
        <v>204</v>
      </c>
      <c r="W130" t="s">
        <v>202</v>
      </c>
      <c r="X130" s="4">
        <v>0</v>
      </c>
      <c r="Y130" t="s">
        <v>62</v>
      </c>
    </row>
    <row r="131" spans="1:47" x14ac:dyDescent="0.25">
      <c r="A131" t="s">
        <v>63</v>
      </c>
      <c r="B131" s="3">
        <v>771</v>
      </c>
      <c r="C131">
        <v>0</v>
      </c>
      <c r="D131" s="3">
        <v>1026</v>
      </c>
      <c r="E131">
        <v>0</v>
      </c>
      <c r="F131">
        <v>0</v>
      </c>
      <c r="G131" s="3">
        <v>2501</v>
      </c>
      <c r="H131" t="s">
        <v>54</v>
      </c>
      <c r="I131" t="s">
        <v>59</v>
      </c>
      <c r="K131" t="s">
        <v>80</v>
      </c>
      <c r="L131" t="s">
        <v>73</v>
      </c>
      <c r="M131" s="3">
        <v>46052.339131944442</v>
      </c>
      <c r="Q131" t="s">
        <v>54</v>
      </c>
      <c r="R131">
        <v>0</v>
      </c>
      <c r="T131" t="s">
        <v>54</v>
      </c>
      <c r="U131" t="s">
        <v>54</v>
      </c>
      <c r="V131">
        <v>7023</v>
      </c>
      <c r="W131" t="s">
        <v>55</v>
      </c>
    </row>
    <row r="132" spans="1:47" x14ac:dyDescent="0.25">
      <c r="A132" t="s">
        <v>81</v>
      </c>
      <c r="B132" s="1">
        <v>38497</v>
      </c>
      <c r="C132" t="s">
        <v>48</v>
      </c>
      <c r="D132" t="s">
        <v>49</v>
      </c>
      <c r="E132" s="2">
        <v>46051</v>
      </c>
      <c r="F132" t="s">
        <v>319</v>
      </c>
      <c r="G132" t="s">
        <v>69</v>
      </c>
      <c r="H132" s="3">
        <v>3378.2</v>
      </c>
      <c r="I132" s="3">
        <v>3378.2</v>
      </c>
      <c r="J132">
        <v>0</v>
      </c>
      <c r="K132" s="3">
        <v>3378.2</v>
      </c>
      <c r="L132">
        <v>571.14</v>
      </c>
      <c r="M132" s="3">
        <v>328.41</v>
      </c>
      <c r="N132" t="s">
        <v>77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83</v>
      </c>
      <c r="V132" t="s">
        <v>121</v>
      </c>
      <c r="W132" t="s">
        <v>289</v>
      </c>
      <c r="X132" s="4">
        <v>0</v>
      </c>
      <c r="Y132" t="s">
        <v>62</v>
      </c>
    </row>
    <row r="133" spans="1:47" x14ac:dyDescent="0.25">
      <c r="A133" t="s">
        <v>63</v>
      </c>
      <c r="B133">
        <v>0</v>
      </c>
      <c r="C133">
        <v>0</v>
      </c>
      <c r="D133">
        <v>571.14</v>
      </c>
      <c r="E133">
        <v>0</v>
      </c>
      <c r="F133">
        <v>0</v>
      </c>
      <c r="G133" s="3">
        <v>380</v>
      </c>
      <c r="H133" t="s">
        <v>54</v>
      </c>
      <c r="I133" t="s">
        <v>59</v>
      </c>
      <c r="K133" t="s">
        <v>80</v>
      </c>
      <c r="L133" t="s">
        <v>73</v>
      </c>
      <c r="M133" s="3">
        <v>46051.687615740739</v>
      </c>
      <c r="Q133" t="s">
        <v>54</v>
      </c>
      <c r="R133">
        <v>0</v>
      </c>
      <c r="T133" t="s">
        <v>54</v>
      </c>
      <c r="U133" t="s">
        <v>54</v>
      </c>
      <c r="V133">
        <v>8443</v>
      </c>
      <c r="W133" t="s">
        <v>55</v>
      </c>
    </row>
    <row r="134" spans="1:47" x14ac:dyDescent="0.25">
      <c r="A134" t="s">
        <v>47</v>
      </c>
      <c r="B134" s="1">
        <v>38498</v>
      </c>
      <c r="C134" t="s">
        <v>48</v>
      </c>
      <c r="D134" t="s">
        <v>49</v>
      </c>
      <c r="E134" s="2">
        <v>46051</v>
      </c>
      <c r="F134" t="s">
        <v>61</v>
      </c>
      <c r="G134" t="s">
        <v>51</v>
      </c>
      <c r="H134" s="3">
        <v>12152</v>
      </c>
      <c r="I134" s="3">
        <v>12152</v>
      </c>
      <c r="J134">
        <v>0</v>
      </c>
      <c r="K134" s="3">
        <v>13974.8</v>
      </c>
      <c r="L134" s="3">
        <v>1496.8</v>
      </c>
      <c r="M134" s="3">
        <v>921.11</v>
      </c>
      <c r="N134" t="s">
        <v>52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126</v>
      </c>
      <c r="V134" t="s">
        <v>56</v>
      </c>
      <c r="W134" t="s">
        <v>57</v>
      </c>
      <c r="X134" s="4">
        <v>0</v>
      </c>
      <c r="Y134" t="s">
        <v>62</v>
      </c>
      <c r="AK134" s="5"/>
    </row>
    <row r="135" spans="1:47" x14ac:dyDescent="0.25">
      <c r="A135" t="s">
        <v>63</v>
      </c>
      <c r="B135" s="1">
        <v>142.19999999999999</v>
      </c>
      <c r="C135">
        <v>0</v>
      </c>
      <c r="D135" s="3">
        <v>1354.6</v>
      </c>
      <c r="E135" s="2">
        <v>0</v>
      </c>
      <c r="F135">
        <v>0</v>
      </c>
      <c r="G135" s="3">
        <v>2000</v>
      </c>
      <c r="H135" s="3" t="s">
        <v>54</v>
      </c>
      <c r="I135" s="3" t="s">
        <v>59</v>
      </c>
      <c r="J135" t="s">
        <v>64</v>
      </c>
      <c r="K135" s="3" t="s">
        <v>60</v>
      </c>
      <c r="L135" s="3" t="s">
        <v>60</v>
      </c>
      <c r="M135" s="3">
        <v>46051.691655092596</v>
      </c>
      <c r="Q135" t="s">
        <v>54</v>
      </c>
      <c r="R135">
        <v>0</v>
      </c>
      <c r="T135" t="s">
        <v>54</v>
      </c>
      <c r="U135" t="s">
        <v>54</v>
      </c>
      <c r="V135">
        <v>7006</v>
      </c>
      <c r="W135" t="s">
        <v>55</v>
      </c>
      <c r="X135" s="4"/>
      <c r="Z135" s="3"/>
      <c r="AE135" s="3"/>
      <c r="AK135" s="5"/>
    </row>
    <row r="136" spans="1:47" x14ac:dyDescent="0.25">
      <c r="A136" t="s">
        <v>47</v>
      </c>
      <c r="B136" s="1">
        <v>38499</v>
      </c>
      <c r="C136" t="s">
        <v>48</v>
      </c>
      <c r="D136" t="s">
        <v>49</v>
      </c>
      <c r="E136" s="2">
        <v>46051</v>
      </c>
      <c r="F136" t="s">
        <v>50</v>
      </c>
      <c r="G136" t="s">
        <v>51</v>
      </c>
      <c r="H136" s="3">
        <v>5276</v>
      </c>
      <c r="I136" s="3">
        <v>5276</v>
      </c>
      <c r="J136">
        <v>0</v>
      </c>
      <c r="K136" s="3">
        <v>6067.4</v>
      </c>
      <c r="L136" s="3">
        <v>1029.5999999999999</v>
      </c>
      <c r="M136" s="3">
        <v>401.54</v>
      </c>
      <c r="N136" t="s">
        <v>52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126</v>
      </c>
      <c r="V136" t="s">
        <v>56</v>
      </c>
      <c r="W136" t="s">
        <v>57</v>
      </c>
      <c r="X136" s="4">
        <v>0</v>
      </c>
      <c r="Y136" t="s">
        <v>58</v>
      </c>
      <c r="Z136" s="3">
        <v>1029.5999999999999</v>
      </c>
      <c r="AA136">
        <v>0</v>
      </c>
      <c r="AB136">
        <v>0</v>
      </c>
      <c r="AC136">
        <v>0</v>
      </c>
      <c r="AD136">
        <v>0</v>
      </c>
      <c r="AE136">
        <v>400</v>
      </c>
      <c r="AF136" t="s">
        <v>54</v>
      </c>
      <c r="AG136" t="s">
        <v>59</v>
      </c>
      <c r="AI136" t="s">
        <v>60</v>
      </c>
      <c r="AJ136" t="s">
        <v>60</v>
      </c>
      <c r="AK136" s="5">
        <v>46051.677627314813</v>
      </c>
      <c r="AO136" t="s">
        <v>54</v>
      </c>
      <c r="AP136">
        <v>0</v>
      </c>
      <c r="AR136" t="s">
        <v>54</v>
      </c>
      <c r="AS136" t="s">
        <v>54</v>
      </c>
      <c r="AT136">
        <v>6611</v>
      </c>
      <c r="AU136" t="s">
        <v>55</v>
      </c>
    </row>
    <row r="137" spans="1:47" x14ac:dyDescent="0.25">
      <c r="A137" t="s">
        <v>47</v>
      </c>
      <c r="B137" s="3">
        <v>38500</v>
      </c>
      <c r="C137" t="s">
        <v>48</v>
      </c>
      <c r="D137" t="s">
        <v>49</v>
      </c>
      <c r="E137" s="2">
        <v>46052</v>
      </c>
      <c r="F137" t="s">
        <v>206</v>
      </c>
      <c r="G137" s="3" t="s">
        <v>124</v>
      </c>
      <c r="H137" s="3">
        <v>14119.82</v>
      </c>
      <c r="I137" s="3">
        <v>14119.82</v>
      </c>
      <c r="J137">
        <v>0</v>
      </c>
      <c r="K137" s="3">
        <v>16237.79</v>
      </c>
      <c r="L137" s="3">
        <v>1573.08</v>
      </c>
      <c r="M137" s="3">
        <v>1046.56</v>
      </c>
      <c r="N137" t="s">
        <v>75</v>
      </c>
      <c r="O137" t="s">
        <v>53</v>
      </c>
      <c r="P137" t="s">
        <v>53</v>
      </c>
      <c r="Q137" t="s">
        <v>53</v>
      </c>
      <c r="R137" t="s">
        <v>54</v>
      </c>
      <c r="S137" t="s">
        <v>54</v>
      </c>
      <c r="T137" t="s">
        <v>55</v>
      </c>
      <c r="U137">
        <v>43</v>
      </c>
      <c r="W137" t="s">
        <v>72</v>
      </c>
      <c r="X137" s="4">
        <v>0</v>
      </c>
      <c r="Y137" t="s">
        <v>58</v>
      </c>
      <c r="Z137">
        <v>0</v>
      </c>
      <c r="AA137">
        <v>0</v>
      </c>
      <c r="AB137" s="3">
        <v>1573.08</v>
      </c>
      <c r="AC137">
        <v>0</v>
      </c>
      <c r="AD137">
        <v>0</v>
      </c>
      <c r="AE137" s="3">
        <v>1156</v>
      </c>
      <c r="AF137" t="s">
        <v>54</v>
      </c>
      <c r="AG137" t="s">
        <v>59</v>
      </c>
      <c r="AI137" t="s">
        <v>73</v>
      </c>
      <c r="AJ137" t="s">
        <v>73</v>
      </c>
      <c r="AK137" s="5">
        <v>46052.438414351855</v>
      </c>
      <c r="AO137" t="s">
        <v>54</v>
      </c>
      <c r="AP137">
        <v>0</v>
      </c>
      <c r="AR137" t="s">
        <v>54</v>
      </c>
      <c r="AS137" t="s">
        <v>54</v>
      </c>
      <c r="AT137">
        <v>4694</v>
      </c>
      <c r="AU137" t="s">
        <v>55</v>
      </c>
    </row>
    <row r="138" spans="1:47" x14ac:dyDescent="0.25">
      <c r="A138" t="s">
        <v>47</v>
      </c>
      <c r="B138" s="1">
        <v>38501</v>
      </c>
      <c r="C138" t="s">
        <v>48</v>
      </c>
      <c r="D138" t="s">
        <v>49</v>
      </c>
      <c r="E138" s="2">
        <v>46052</v>
      </c>
      <c r="F138" t="s">
        <v>108</v>
      </c>
      <c r="G138" t="s">
        <v>109</v>
      </c>
      <c r="H138" s="3">
        <v>2690</v>
      </c>
      <c r="I138" s="3">
        <v>2690</v>
      </c>
      <c r="J138">
        <v>0</v>
      </c>
      <c r="K138" s="3">
        <v>2690</v>
      </c>
      <c r="L138" s="3">
        <v>339</v>
      </c>
      <c r="M138" s="3">
        <v>216.28</v>
      </c>
      <c r="N138" t="s">
        <v>84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9</v>
      </c>
      <c r="V138" t="s">
        <v>56</v>
      </c>
      <c r="W138" t="s">
        <v>110</v>
      </c>
      <c r="X138" s="4">
        <v>0</v>
      </c>
      <c r="Y138" t="s">
        <v>58</v>
      </c>
      <c r="Z138" s="3">
        <v>0</v>
      </c>
      <c r="AA138">
        <v>0</v>
      </c>
      <c r="AB138">
        <v>339</v>
      </c>
      <c r="AC138">
        <v>0</v>
      </c>
      <c r="AD138" s="3">
        <v>0</v>
      </c>
      <c r="AE138" s="3">
        <v>1000</v>
      </c>
      <c r="AF138" t="s">
        <v>54</v>
      </c>
      <c r="AG138" t="s">
        <v>59</v>
      </c>
      <c r="AI138" t="s">
        <v>92</v>
      </c>
      <c r="AJ138" t="s">
        <v>92</v>
      </c>
      <c r="AK138" s="5">
        <v>46052.445231481484</v>
      </c>
      <c r="AO138" t="s">
        <v>54</v>
      </c>
      <c r="AP138">
        <v>0</v>
      </c>
      <c r="AR138" t="s">
        <v>54</v>
      </c>
      <c r="AS138" t="s">
        <v>54</v>
      </c>
      <c r="AT138">
        <v>3124</v>
      </c>
      <c r="AU138" t="s">
        <v>55</v>
      </c>
    </row>
    <row r="139" spans="1:47" x14ac:dyDescent="0.25">
      <c r="A139" t="s">
        <v>81</v>
      </c>
      <c r="B139" s="1">
        <v>38503</v>
      </c>
      <c r="C139" t="s">
        <v>48</v>
      </c>
      <c r="D139" t="s">
        <v>49</v>
      </c>
      <c r="E139" s="2">
        <v>46052</v>
      </c>
      <c r="F139" t="s">
        <v>420</v>
      </c>
      <c r="G139" t="s">
        <v>83</v>
      </c>
      <c r="H139" s="3">
        <v>25124</v>
      </c>
      <c r="I139" s="3">
        <v>25124</v>
      </c>
      <c r="J139">
        <v>0</v>
      </c>
      <c r="K139" s="3">
        <v>25124</v>
      </c>
      <c r="L139" s="3">
        <v>5213.1000000000004</v>
      </c>
      <c r="M139" s="3">
        <v>2335.15</v>
      </c>
      <c r="N139" t="s">
        <v>84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9</v>
      </c>
      <c r="W139" t="s">
        <v>223</v>
      </c>
      <c r="X139" s="4">
        <v>0</v>
      </c>
      <c r="Y139" t="s">
        <v>62</v>
      </c>
      <c r="Z139" s="3"/>
      <c r="AB139" s="3"/>
      <c r="AE139" s="3"/>
      <c r="AK139" s="5"/>
    </row>
    <row r="140" spans="1:47" x14ac:dyDescent="0.25">
      <c r="A140" t="s">
        <v>63</v>
      </c>
      <c r="B140" s="1">
        <v>0</v>
      </c>
      <c r="C140" s="3">
        <v>5213.1000000000004</v>
      </c>
      <c r="D140" s="3">
        <v>0</v>
      </c>
      <c r="E140" s="2">
        <v>0</v>
      </c>
      <c r="F140">
        <v>0</v>
      </c>
      <c r="G140" s="3">
        <v>2300</v>
      </c>
      <c r="H140" s="3" t="s">
        <v>54</v>
      </c>
      <c r="I140" s="3" t="s">
        <v>59</v>
      </c>
      <c r="K140" s="3" t="s">
        <v>92</v>
      </c>
      <c r="L140" s="3" t="s">
        <v>92</v>
      </c>
      <c r="M140" s="3">
        <v>46052.518252314818</v>
      </c>
      <c r="Q140" t="s">
        <v>54</v>
      </c>
      <c r="R140">
        <v>0</v>
      </c>
      <c r="T140" t="s">
        <v>54</v>
      </c>
      <c r="U140" t="s">
        <v>54</v>
      </c>
      <c r="V140">
        <v>8856</v>
      </c>
      <c r="W140" t="s">
        <v>55</v>
      </c>
      <c r="X140" s="4"/>
      <c r="AB140" s="3"/>
      <c r="AE140" s="3"/>
      <c r="AK140" s="5"/>
    </row>
    <row r="141" spans="1:47" x14ac:dyDescent="0.25">
      <c r="A141" t="s">
        <v>47</v>
      </c>
      <c r="B141" s="1">
        <v>38504</v>
      </c>
      <c r="C141" t="s">
        <v>48</v>
      </c>
      <c r="D141" t="s">
        <v>49</v>
      </c>
      <c r="E141" s="2">
        <v>46055</v>
      </c>
      <c r="F141" t="s">
        <v>112</v>
      </c>
      <c r="G141" t="s">
        <v>113</v>
      </c>
      <c r="H141" s="3">
        <v>870</v>
      </c>
      <c r="I141" s="3">
        <v>870</v>
      </c>
      <c r="J141">
        <v>0</v>
      </c>
      <c r="K141" s="3">
        <v>870</v>
      </c>
      <c r="L141" s="3">
        <v>143.4</v>
      </c>
      <c r="M141" s="3">
        <v>55.93</v>
      </c>
      <c r="N141" t="s">
        <v>52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126</v>
      </c>
      <c r="V141" t="s">
        <v>56</v>
      </c>
      <c r="W141" t="s">
        <v>78</v>
      </c>
      <c r="X141" s="4">
        <v>0</v>
      </c>
      <c r="Y141" t="s">
        <v>58</v>
      </c>
      <c r="Z141">
        <v>143.4</v>
      </c>
      <c r="AA141">
        <v>0</v>
      </c>
      <c r="AB141" s="3">
        <v>0</v>
      </c>
      <c r="AC141">
        <v>0</v>
      </c>
      <c r="AD141">
        <v>0</v>
      </c>
      <c r="AE141" s="3">
        <v>600</v>
      </c>
      <c r="AF141" t="s">
        <v>54</v>
      </c>
      <c r="AG141" t="s">
        <v>59</v>
      </c>
      <c r="AH141" t="s">
        <v>115</v>
      </c>
      <c r="AI141" t="s">
        <v>60</v>
      </c>
      <c r="AJ141" t="s">
        <v>60</v>
      </c>
      <c r="AK141" s="5">
        <v>46055.343298611115</v>
      </c>
      <c r="AO141" t="s">
        <v>54</v>
      </c>
      <c r="AP141">
        <v>0</v>
      </c>
      <c r="AR141" t="s">
        <v>54</v>
      </c>
      <c r="AS141" t="s">
        <v>54</v>
      </c>
      <c r="AT141">
        <v>4089</v>
      </c>
      <c r="AU141" t="s">
        <v>55</v>
      </c>
    </row>
    <row r="142" spans="1:47" x14ac:dyDescent="0.25">
      <c r="A142" t="s">
        <v>47</v>
      </c>
      <c r="B142" s="1">
        <v>38505</v>
      </c>
      <c r="C142" t="s">
        <v>48</v>
      </c>
      <c r="D142" t="s">
        <v>49</v>
      </c>
      <c r="E142" s="2">
        <v>46055</v>
      </c>
      <c r="F142" t="s">
        <v>111</v>
      </c>
      <c r="G142" t="s">
        <v>69</v>
      </c>
      <c r="H142" s="3">
        <v>18310</v>
      </c>
      <c r="I142" s="3">
        <v>18310</v>
      </c>
      <c r="J142">
        <v>0</v>
      </c>
      <c r="K142" s="3">
        <v>21056.5</v>
      </c>
      <c r="L142" s="3">
        <v>4084</v>
      </c>
      <c r="M142" s="3">
        <v>1624.73</v>
      </c>
      <c r="N142" t="s">
        <v>52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126</v>
      </c>
      <c r="V142" t="s">
        <v>56</v>
      </c>
      <c r="W142" t="s">
        <v>95</v>
      </c>
      <c r="X142" s="4">
        <v>0</v>
      </c>
      <c r="Y142" t="s">
        <v>58</v>
      </c>
      <c r="Z142" s="3">
        <v>4084</v>
      </c>
      <c r="AA142">
        <v>0</v>
      </c>
      <c r="AB142">
        <v>0</v>
      </c>
      <c r="AC142">
        <v>0</v>
      </c>
      <c r="AD142">
        <v>0</v>
      </c>
      <c r="AE142" s="3">
        <v>4000</v>
      </c>
      <c r="AF142" t="s">
        <v>54</v>
      </c>
      <c r="AG142" t="s">
        <v>59</v>
      </c>
      <c r="AI142" t="s">
        <v>60</v>
      </c>
      <c r="AJ142" t="s">
        <v>60</v>
      </c>
      <c r="AK142" s="5">
        <v>46055.483912037038</v>
      </c>
      <c r="AO142" t="s">
        <v>54</v>
      </c>
      <c r="AP142">
        <v>0</v>
      </c>
      <c r="AR142" t="s">
        <v>54</v>
      </c>
      <c r="AS142" t="s">
        <v>54</v>
      </c>
      <c r="AT142">
        <v>1877</v>
      </c>
      <c r="AU142" t="s">
        <v>55</v>
      </c>
    </row>
    <row r="143" spans="1:47" x14ac:dyDescent="0.25">
      <c r="A143" t="s">
        <v>47</v>
      </c>
      <c r="B143" s="1">
        <v>38506</v>
      </c>
      <c r="C143" t="s">
        <v>48</v>
      </c>
      <c r="D143" t="s">
        <v>49</v>
      </c>
      <c r="E143" s="2">
        <v>46055</v>
      </c>
      <c r="F143" t="s">
        <v>111</v>
      </c>
      <c r="G143" t="s">
        <v>69</v>
      </c>
      <c r="H143" s="3">
        <v>10200</v>
      </c>
      <c r="I143" s="3">
        <v>10200</v>
      </c>
      <c r="J143">
        <v>0</v>
      </c>
      <c r="K143" s="3">
        <v>11730</v>
      </c>
      <c r="L143" s="3">
        <v>2328</v>
      </c>
      <c r="M143" s="3">
        <v>907.92</v>
      </c>
      <c r="N143" t="s">
        <v>52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126</v>
      </c>
      <c r="V143" t="s">
        <v>56</v>
      </c>
      <c r="W143" t="s">
        <v>95</v>
      </c>
      <c r="X143" s="4">
        <v>0</v>
      </c>
      <c r="Y143" t="s">
        <v>58</v>
      </c>
      <c r="Z143" s="3">
        <v>2328</v>
      </c>
      <c r="AA143">
        <v>0</v>
      </c>
      <c r="AB143">
        <v>0</v>
      </c>
      <c r="AC143">
        <v>0</v>
      </c>
      <c r="AD143">
        <v>0</v>
      </c>
      <c r="AE143" s="3">
        <v>2000</v>
      </c>
      <c r="AF143" t="s">
        <v>54</v>
      </c>
      <c r="AG143" t="s">
        <v>59</v>
      </c>
      <c r="AI143" t="s">
        <v>60</v>
      </c>
      <c r="AJ143" t="s">
        <v>60</v>
      </c>
      <c r="AK143" s="5">
        <v>46055.489907407406</v>
      </c>
      <c r="AO143" t="s">
        <v>54</v>
      </c>
      <c r="AP143">
        <v>0</v>
      </c>
      <c r="AR143" t="s">
        <v>54</v>
      </c>
      <c r="AS143" t="s">
        <v>54</v>
      </c>
      <c r="AT143">
        <v>1877</v>
      </c>
      <c r="AU143" t="s">
        <v>55</v>
      </c>
    </row>
    <row r="144" spans="1:47" x14ac:dyDescent="0.25">
      <c r="A144" t="s">
        <v>96</v>
      </c>
      <c r="B144" s="1">
        <v>38507</v>
      </c>
      <c r="C144" t="s">
        <v>48</v>
      </c>
      <c r="D144" t="s">
        <v>49</v>
      </c>
      <c r="E144" s="2">
        <v>46055</v>
      </c>
      <c r="F144" t="s">
        <v>303</v>
      </c>
      <c r="G144" t="s">
        <v>66</v>
      </c>
      <c r="H144" s="3">
        <v>5033.25</v>
      </c>
      <c r="I144" s="3">
        <v>5033.25</v>
      </c>
      <c r="J144">
        <v>0</v>
      </c>
      <c r="K144" s="3">
        <v>5033.25</v>
      </c>
      <c r="L144" s="3">
        <v>1240.83</v>
      </c>
      <c r="M144" s="3">
        <v>364.15</v>
      </c>
      <c r="N144" t="s">
        <v>52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126</v>
      </c>
      <c r="V144" t="s">
        <v>56</v>
      </c>
      <c r="W144" t="s">
        <v>72</v>
      </c>
      <c r="X144" s="4">
        <v>0</v>
      </c>
      <c r="Y144" t="s">
        <v>62</v>
      </c>
      <c r="AD144" s="3"/>
      <c r="AE144" s="3"/>
      <c r="AK144" s="5"/>
    </row>
    <row r="145" spans="1:47" x14ac:dyDescent="0.25">
      <c r="A145" t="s">
        <v>63</v>
      </c>
      <c r="B145" s="1">
        <v>1240.83</v>
      </c>
      <c r="C145">
        <v>0</v>
      </c>
      <c r="D145">
        <v>0</v>
      </c>
      <c r="E145" s="2">
        <v>0</v>
      </c>
      <c r="F145">
        <v>0</v>
      </c>
      <c r="G145" s="3">
        <v>3175</v>
      </c>
      <c r="H145" s="3" t="s">
        <v>54</v>
      </c>
      <c r="I145" s="3" t="s">
        <v>59</v>
      </c>
      <c r="K145" s="3" t="s">
        <v>60</v>
      </c>
      <c r="L145" s="3" t="s">
        <v>60</v>
      </c>
      <c r="M145" s="3">
        <v>46056.375428240739</v>
      </c>
      <c r="Q145" t="s">
        <v>54</v>
      </c>
      <c r="R145">
        <v>0</v>
      </c>
      <c r="T145" t="s">
        <v>54</v>
      </c>
      <c r="U145" t="s">
        <v>54</v>
      </c>
      <c r="V145">
        <v>8454</v>
      </c>
      <c r="W145" t="s">
        <v>55</v>
      </c>
      <c r="X145" s="4"/>
      <c r="AD145" s="3"/>
      <c r="AE145" s="3"/>
      <c r="AK145" s="5"/>
    </row>
    <row r="146" spans="1:47" x14ac:dyDescent="0.25">
      <c r="A146" t="s">
        <v>96</v>
      </c>
      <c r="B146" s="1">
        <v>38508</v>
      </c>
      <c r="C146" t="s">
        <v>48</v>
      </c>
      <c r="D146" t="s">
        <v>49</v>
      </c>
      <c r="E146" s="2">
        <v>46056</v>
      </c>
      <c r="F146" t="s">
        <v>382</v>
      </c>
      <c r="G146" t="s">
        <v>138</v>
      </c>
      <c r="H146" s="3">
        <v>1704</v>
      </c>
      <c r="I146" s="3">
        <v>1704</v>
      </c>
      <c r="J146">
        <v>0</v>
      </c>
      <c r="K146" s="3">
        <v>1704</v>
      </c>
      <c r="L146" s="3">
        <v>215.4</v>
      </c>
      <c r="M146" s="3">
        <v>128.16</v>
      </c>
      <c r="N146" t="s">
        <v>52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126</v>
      </c>
      <c r="V146" t="s">
        <v>56</v>
      </c>
      <c r="W146" t="s">
        <v>117</v>
      </c>
      <c r="X146" s="4">
        <v>0</v>
      </c>
      <c r="Y146" t="s">
        <v>62</v>
      </c>
      <c r="Z146" s="3"/>
      <c r="AA146" s="3"/>
      <c r="AE146" s="3"/>
      <c r="AK146" s="5"/>
    </row>
    <row r="147" spans="1:47" x14ac:dyDescent="0.25">
      <c r="A147" t="s">
        <v>63</v>
      </c>
      <c r="B147" s="1">
        <v>0</v>
      </c>
      <c r="C147">
        <v>0</v>
      </c>
      <c r="D147">
        <v>215.4</v>
      </c>
      <c r="E147" s="2">
        <v>0</v>
      </c>
      <c r="F147">
        <v>0</v>
      </c>
      <c r="G147">
        <v>600</v>
      </c>
      <c r="H147" s="3" t="s">
        <v>54</v>
      </c>
      <c r="I147" s="3" t="s">
        <v>59</v>
      </c>
      <c r="K147" s="3" t="s">
        <v>60</v>
      </c>
      <c r="L147" s="3" t="s">
        <v>60</v>
      </c>
      <c r="M147" s="3">
        <v>46056.394178240742</v>
      </c>
      <c r="Q147" t="s">
        <v>54</v>
      </c>
      <c r="R147">
        <v>0</v>
      </c>
      <c r="T147" t="s">
        <v>54</v>
      </c>
      <c r="U147" t="s">
        <v>54</v>
      </c>
      <c r="V147">
        <v>7986</v>
      </c>
      <c r="W147" t="s">
        <v>55</v>
      </c>
      <c r="X147" s="4"/>
      <c r="AA147" s="3"/>
      <c r="AE147" s="3"/>
      <c r="AK147" s="5"/>
    </row>
    <row r="148" spans="1:47" x14ac:dyDescent="0.25">
      <c r="A148" t="s">
        <v>96</v>
      </c>
      <c r="B148" s="1">
        <v>38509</v>
      </c>
      <c r="C148" t="s">
        <v>48</v>
      </c>
      <c r="D148" s="3" t="s">
        <v>49</v>
      </c>
      <c r="E148" s="2">
        <v>46056</v>
      </c>
      <c r="F148" t="s">
        <v>303</v>
      </c>
      <c r="G148" s="3" t="s">
        <v>66</v>
      </c>
      <c r="H148" s="3">
        <v>5033.25</v>
      </c>
      <c r="I148" s="3">
        <v>5033.25</v>
      </c>
      <c r="J148">
        <v>0</v>
      </c>
      <c r="K148" s="3">
        <v>5033.25</v>
      </c>
      <c r="L148" s="3">
        <v>1240.83</v>
      </c>
      <c r="M148" s="3">
        <v>364.15</v>
      </c>
      <c r="N148" t="s">
        <v>52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126</v>
      </c>
      <c r="V148" t="s">
        <v>56</v>
      </c>
      <c r="W148" t="s">
        <v>72</v>
      </c>
      <c r="X148" s="4">
        <v>0</v>
      </c>
      <c r="Y148" t="s">
        <v>62</v>
      </c>
      <c r="AB148" s="3"/>
      <c r="AE148" s="3"/>
      <c r="AK148" s="5"/>
    </row>
    <row r="149" spans="1:47" x14ac:dyDescent="0.25">
      <c r="A149" t="s">
        <v>63</v>
      </c>
      <c r="B149" s="1">
        <v>1240.83</v>
      </c>
      <c r="C149">
        <v>0</v>
      </c>
      <c r="D149">
        <v>0</v>
      </c>
      <c r="E149" s="2">
        <v>0</v>
      </c>
      <c r="F149">
        <v>0</v>
      </c>
      <c r="G149" s="3">
        <v>3175</v>
      </c>
      <c r="H149" s="3" t="s">
        <v>54</v>
      </c>
      <c r="I149" s="3" t="s">
        <v>59</v>
      </c>
      <c r="K149" s="3" t="s">
        <v>60</v>
      </c>
      <c r="L149" s="3" t="s">
        <v>60</v>
      </c>
      <c r="M149" s="3">
        <v>46056.411585648151</v>
      </c>
      <c r="Q149" t="s">
        <v>54</v>
      </c>
      <c r="R149">
        <v>0</v>
      </c>
      <c r="T149" t="s">
        <v>54</v>
      </c>
      <c r="U149" t="s">
        <v>54</v>
      </c>
      <c r="V149">
        <v>8454</v>
      </c>
      <c r="W149" t="s">
        <v>55</v>
      </c>
      <c r="X149" s="4"/>
      <c r="Z149" s="3"/>
      <c r="AB149" s="3"/>
      <c r="AE149" s="3"/>
      <c r="AK149" s="5"/>
    </row>
    <row r="150" spans="1:47" x14ac:dyDescent="0.25">
      <c r="A150" t="s">
        <v>96</v>
      </c>
      <c r="B150" s="1">
        <v>38510</v>
      </c>
      <c r="C150" t="s">
        <v>48</v>
      </c>
      <c r="D150" t="s">
        <v>49</v>
      </c>
      <c r="E150" s="2">
        <v>46056</v>
      </c>
      <c r="F150" t="s">
        <v>250</v>
      </c>
      <c r="G150" t="s">
        <v>251</v>
      </c>
      <c r="H150" s="3">
        <v>5640</v>
      </c>
      <c r="I150" s="3">
        <v>5640</v>
      </c>
      <c r="J150">
        <v>0</v>
      </c>
      <c r="K150" s="3">
        <v>5640</v>
      </c>
      <c r="L150" s="3">
        <v>1380</v>
      </c>
      <c r="M150" s="3">
        <v>448.5</v>
      </c>
      <c r="N150" t="s">
        <v>77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83</v>
      </c>
      <c r="V150" t="s">
        <v>121</v>
      </c>
      <c r="W150" t="s">
        <v>202</v>
      </c>
      <c r="X150" s="4">
        <v>0</v>
      </c>
      <c r="Y150" t="s">
        <v>62</v>
      </c>
      <c r="AD150" s="3"/>
      <c r="AE150" s="3"/>
      <c r="AK150" s="5"/>
    </row>
    <row r="151" spans="1:47" x14ac:dyDescent="0.25">
      <c r="A151" t="s">
        <v>63</v>
      </c>
      <c r="B151" s="1">
        <v>1380</v>
      </c>
      <c r="C151">
        <v>0</v>
      </c>
      <c r="D151">
        <v>0</v>
      </c>
      <c r="E151" s="2">
        <v>0</v>
      </c>
      <c r="F151">
        <v>0</v>
      </c>
      <c r="G151" s="3">
        <v>3000</v>
      </c>
      <c r="H151" s="3" t="s">
        <v>54</v>
      </c>
      <c r="I151" s="3" t="s">
        <v>59</v>
      </c>
      <c r="K151" s="3" t="s">
        <v>80</v>
      </c>
      <c r="L151" s="3" t="s">
        <v>73</v>
      </c>
      <c r="M151" s="3">
        <v>46056.637974537036</v>
      </c>
      <c r="Q151" t="s">
        <v>54</v>
      </c>
      <c r="R151">
        <v>0</v>
      </c>
      <c r="T151" t="s">
        <v>54</v>
      </c>
      <c r="U151" t="s">
        <v>54</v>
      </c>
      <c r="V151">
        <v>5908</v>
      </c>
      <c r="W151" t="s">
        <v>55</v>
      </c>
      <c r="X151" s="4"/>
      <c r="AB151" s="3"/>
      <c r="AK151" s="5"/>
    </row>
    <row r="152" spans="1:47" x14ac:dyDescent="0.25">
      <c r="A152" t="s">
        <v>96</v>
      </c>
      <c r="B152" s="1">
        <v>38511</v>
      </c>
      <c r="C152" t="s">
        <v>48</v>
      </c>
      <c r="D152" t="s">
        <v>49</v>
      </c>
      <c r="E152" s="2">
        <v>46056</v>
      </c>
      <c r="F152" t="s">
        <v>331</v>
      </c>
      <c r="G152" t="s">
        <v>332</v>
      </c>
      <c r="H152" s="3">
        <v>13393.4</v>
      </c>
      <c r="I152" s="3">
        <v>13393.4</v>
      </c>
      <c r="J152">
        <v>0</v>
      </c>
      <c r="K152" s="3">
        <v>13393.4</v>
      </c>
      <c r="L152" s="3">
        <v>2445.16</v>
      </c>
      <c r="M152" s="3">
        <v>1149.23</v>
      </c>
      <c r="N152" t="s">
        <v>106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92</v>
      </c>
      <c r="W152" t="s">
        <v>134</v>
      </c>
      <c r="X152" s="4">
        <v>0</v>
      </c>
      <c r="Y152" t="s">
        <v>58</v>
      </c>
      <c r="Z152">
        <v>0</v>
      </c>
      <c r="AA152">
        <v>0</v>
      </c>
      <c r="AB152">
        <v>0</v>
      </c>
      <c r="AC152">
        <v>0</v>
      </c>
      <c r="AD152" s="3">
        <v>2445.16</v>
      </c>
      <c r="AE152" s="3">
        <v>1461</v>
      </c>
      <c r="AF152" t="s">
        <v>54</v>
      </c>
      <c r="AG152" t="s">
        <v>59</v>
      </c>
      <c r="AH152" t="s">
        <v>79</v>
      </c>
      <c r="AI152" t="s">
        <v>73</v>
      </c>
      <c r="AJ152" t="s">
        <v>92</v>
      </c>
      <c r="AK152" s="5">
        <v>46056.690995370373</v>
      </c>
      <c r="AO152" t="s">
        <v>54</v>
      </c>
      <c r="AP152">
        <v>0</v>
      </c>
      <c r="AR152" t="s">
        <v>54</v>
      </c>
      <c r="AS152" t="s">
        <v>54</v>
      </c>
      <c r="AT152">
        <v>8600</v>
      </c>
      <c r="AU152" t="s">
        <v>55</v>
      </c>
    </row>
    <row r="153" spans="1:47" x14ac:dyDescent="0.25">
      <c r="A153" t="s">
        <v>47</v>
      </c>
      <c r="B153" s="1">
        <v>38512</v>
      </c>
      <c r="C153" t="s">
        <v>48</v>
      </c>
      <c r="D153" s="3" t="s">
        <v>49</v>
      </c>
      <c r="E153" s="2">
        <v>46056</v>
      </c>
      <c r="F153" t="s">
        <v>368</v>
      </c>
      <c r="G153" s="3" t="s">
        <v>69</v>
      </c>
      <c r="H153" s="3">
        <v>4845.8999999999996</v>
      </c>
      <c r="I153" s="3">
        <v>4845.8999999999996</v>
      </c>
      <c r="J153">
        <v>0</v>
      </c>
      <c r="K153" s="3">
        <v>5572.78</v>
      </c>
      <c r="L153" s="3">
        <v>922.55</v>
      </c>
      <c r="M153" s="3">
        <v>295.60000000000002</v>
      </c>
      <c r="N153" t="s">
        <v>77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83</v>
      </c>
      <c r="W153" t="s">
        <v>181</v>
      </c>
      <c r="X153" s="4">
        <v>0</v>
      </c>
      <c r="Y153" t="s">
        <v>62</v>
      </c>
      <c r="Z153" s="3"/>
      <c r="AE153" s="3"/>
      <c r="AK153" s="5"/>
    </row>
    <row r="154" spans="1:47" x14ac:dyDescent="0.25">
      <c r="A154" t="s">
        <v>63</v>
      </c>
      <c r="B154" s="1">
        <v>922.55</v>
      </c>
      <c r="C154">
        <v>0</v>
      </c>
      <c r="D154">
        <v>0</v>
      </c>
      <c r="E154" s="2">
        <v>0</v>
      </c>
      <c r="F154">
        <v>0</v>
      </c>
      <c r="G154" s="3">
        <v>1030</v>
      </c>
      <c r="H154" s="3" t="s">
        <v>54</v>
      </c>
      <c r="I154" s="3" t="s">
        <v>59</v>
      </c>
      <c r="K154" s="3" t="s">
        <v>80</v>
      </c>
      <c r="L154" s="3" t="s">
        <v>73</v>
      </c>
      <c r="M154" s="3">
        <v>46056.636597222219</v>
      </c>
      <c r="Q154" t="s">
        <v>54</v>
      </c>
      <c r="R154">
        <v>0</v>
      </c>
      <c r="T154" t="s">
        <v>54</v>
      </c>
      <c r="U154" t="s">
        <v>54</v>
      </c>
      <c r="V154">
        <v>7361</v>
      </c>
      <c r="W154" t="s">
        <v>55</v>
      </c>
      <c r="X154" s="4"/>
      <c r="Z154" s="3"/>
      <c r="AE154" s="3"/>
      <c r="AK154" s="5"/>
    </row>
    <row r="155" spans="1:47" x14ac:dyDescent="0.25">
      <c r="A155" t="s">
        <v>96</v>
      </c>
      <c r="B155" s="1">
        <v>38514</v>
      </c>
      <c r="C155" t="s">
        <v>48</v>
      </c>
      <c r="D155" t="s">
        <v>49</v>
      </c>
      <c r="E155" s="2">
        <v>46057</v>
      </c>
      <c r="F155" t="s">
        <v>351</v>
      </c>
      <c r="G155" s="3" t="s">
        <v>89</v>
      </c>
      <c r="H155" s="3">
        <v>7764</v>
      </c>
      <c r="I155" s="3">
        <v>7764</v>
      </c>
      <c r="J155">
        <v>0</v>
      </c>
      <c r="K155" s="3">
        <v>7764</v>
      </c>
      <c r="L155" s="3">
        <v>1257.2</v>
      </c>
      <c r="M155" s="3">
        <v>653.74</v>
      </c>
      <c r="N155" t="s">
        <v>52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126</v>
      </c>
      <c r="V155" t="s">
        <v>56</v>
      </c>
      <c r="W155" t="s">
        <v>90</v>
      </c>
      <c r="X155" s="4">
        <v>0</v>
      </c>
      <c r="Y155" t="s">
        <v>62</v>
      </c>
      <c r="AB155" s="3"/>
      <c r="AE155" s="3"/>
      <c r="AK155" s="5"/>
    </row>
    <row r="156" spans="1:47" x14ac:dyDescent="0.25">
      <c r="A156" t="s">
        <v>63</v>
      </c>
      <c r="B156" s="1">
        <v>0</v>
      </c>
      <c r="C156">
        <v>0</v>
      </c>
      <c r="D156">
        <v>0</v>
      </c>
      <c r="E156" s="2">
        <v>0</v>
      </c>
      <c r="F156" s="3">
        <v>1257.2</v>
      </c>
      <c r="G156" s="3">
        <v>3600</v>
      </c>
      <c r="H156" s="3" t="s">
        <v>54</v>
      </c>
      <c r="I156" s="3" t="s">
        <v>59</v>
      </c>
      <c r="K156" s="3" t="s">
        <v>60</v>
      </c>
      <c r="L156" s="3" t="s">
        <v>60</v>
      </c>
      <c r="M156" s="3">
        <v>46057.402233796296</v>
      </c>
      <c r="Q156" t="s">
        <v>54</v>
      </c>
      <c r="R156">
        <v>0</v>
      </c>
      <c r="T156" t="s">
        <v>54</v>
      </c>
      <c r="U156" t="s">
        <v>54</v>
      </c>
      <c r="V156">
        <v>8070</v>
      </c>
      <c r="W156" t="s">
        <v>55</v>
      </c>
      <c r="X156" s="4"/>
      <c r="AD156" s="3"/>
      <c r="AE156" s="3"/>
      <c r="AK156" s="5"/>
    </row>
    <row r="157" spans="1:47" x14ac:dyDescent="0.25">
      <c r="A157" t="s">
        <v>47</v>
      </c>
      <c r="B157" s="1">
        <v>38515</v>
      </c>
      <c r="C157" t="s">
        <v>48</v>
      </c>
      <c r="D157" t="s">
        <v>49</v>
      </c>
      <c r="E157" s="2">
        <v>46057</v>
      </c>
      <c r="F157" t="s">
        <v>150</v>
      </c>
      <c r="G157" t="s">
        <v>66</v>
      </c>
      <c r="H157" s="3">
        <v>1389.4</v>
      </c>
      <c r="I157" s="3">
        <v>1389.4</v>
      </c>
      <c r="J157">
        <v>0</v>
      </c>
      <c r="K157" s="3">
        <v>1597.81</v>
      </c>
      <c r="L157" s="3">
        <v>150.12</v>
      </c>
      <c r="M157" s="3">
        <v>112.29</v>
      </c>
      <c r="N157" t="s">
        <v>84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9</v>
      </c>
      <c r="V157" t="s">
        <v>71</v>
      </c>
      <c r="W157" t="s">
        <v>57</v>
      </c>
      <c r="X157" s="4">
        <v>0</v>
      </c>
      <c r="Y157" t="s">
        <v>58</v>
      </c>
      <c r="Z157" s="3">
        <v>0</v>
      </c>
      <c r="AA157">
        <v>0</v>
      </c>
      <c r="AB157">
        <v>150.12</v>
      </c>
      <c r="AC157">
        <v>0</v>
      </c>
      <c r="AD157" s="3">
        <v>0</v>
      </c>
      <c r="AE157" s="3">
        <v>40</v>
      </c>
      <c r="AF157" t="s">
        <v>54</v>
      </c>
      <c r="AG157" t="s">
        <v>59</v>
      </c>
      <c r="AI157" t="s">
        <v>73</v>
      </c>
      <c r="AJ157" t="s">
        <v>73</v>
      </c>
      <c r="AK157" s="5">
        <v>46057.414085648146</v>
      </c>
      <c r="AO157" t="s">
        <v>54</v>
      </c>
      <c r="AP157">
        <v>0</v>
      </c>
      <c r="AR157" t="s">
        <v>54</v>
      </c>
      <c r="AS157" t="s">
        <v>54</v>
      </c>
      <c r="AT157">
        <v>1009</v>
      </c>
      <c r="AU157" t="s">
        <v>55</v>
      </c>
    </row>
    <row r="158" spans="1:47" x14ac:dyDescent="0.25">
      <c r="A158" t="s">
        <v>96</v>
      </c>
      <c r="B158" s="1">
        <v>38516</v>
      </c>
      <c r="C158" t="s">
        <v>48</v>
      </c>
      <c r="D158" t="s">
        <v>49</v>
      </c>
      <c r="E158" s="2">
        <v>46057</v>
      </c>
      <c r="F158" t="s">
        <v>205</v>
      </c>
      <c r="G158" t="s">
        <v>66</v>
      </c>
      <c r="H158" s="3">
        <v>3850</v>
      </c>
      <c r="I158" s="3">
        <v>3850</v>
      </c>
      <c r="J158">
        <v>0</v>
      </c>
      <c r="K158" s="3">
        <v>3850</v>
      </c>
      <c r="L158" s="3">
        <v>1060</v>
      </c>
      <c r="M158" s="3">
        <v>319.3</v>
      </c>
      <c r="N158" t="s">
        <v>52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126</v>
      </c>
      <c r="V158" t="s">
        <v>56</v>
      </c>
      <c r="W158" t="s">
        <v>95</v>
      </c>
      <c r="X158" s="4">
        <v>0</v>
      </c>
      <c r="Y158" t="s">
        <v>58</v>
      </c>
      <c r="Z158" s="3">
        <v>1060</v>
      </c>
      <c r="AA158">
        <v>0</v>
      </c>
      <c r="AB158">
        <v>0</v>
      </c>
      <c r="AC158">
        <v>0</v>
      </c>
      <c r="AD158" s="3">
        <v>0</v>
      </c>
      <c r="AE158" s="3">
        <v>25000</v>
      </c>
      <c r="AF158" t="s">
        <v>54</v>
      </c>
      <c r="AG158" t="s">
        <v>59</v>
      </c>
      <c r="AH158" t="s">
        <v>165</v>
      </c>
      <c r="AI158" t="s">
        <v>60</v>
      </c>
      <c r="AJ158" t="s">
        <v>60</v>
      </c>
      <c r="AK158" s="5">
        <v>46057.417604166665</v>
      </c>
      <c r="AO158" t="s">
        <v>54</v>
      </c>
      <c r="AP158">
        <v>0</v>
      </c>
      <c r="AR158" t="s">
        <v>54</v>
      </c>
      <c r="AS158" t="s">
        <v>54</v>
      </c>
      <c r="AT158">
        <v>4759</v>
      </c>
      <c r="AU158" t="s">
        <v>55</v>
      </c>
    </row>
    <row r="159" spans="1:47" x14ac:dyDescent="0.25">
      <c r="A159" t="s">
        <v>47</v>
      </c>
      <c r="B159" s="1">
        <v>38517</v>
      </c>
      <c r="C159" t="s">
        <v>48</v>
      </c>
      <c r="D159" t="s">
        <v>49</v>
      </c>
      <c r="E159" s="2">
        <v>46057</v>
      </c>
      <c r="F159" t="s">
        <v>150</v>
      </c>
      <c r="G159" t="s">
        <v>66</v>
      </c>
      <c r="H159" s="3">
        <v>2165.1999999999998</v>
      </c>
      <c r="I159" s="3">
        <v>2165.1999999999998</v>
      </c>
      <c r="J159">
        <v>0</v>
      </c>
      <c r="K159" s="3">
        <v>2489.98</v>
      </c>
      <c r="L159" s="3">
        <v>210.16</v>
      </c>
      <c r="M159" s="3">
        <v>157.19999999999999</v>
      </c>
      <c r="N159" t="s">
        <v>84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9</v>
      </c>
      <c r="V159" t="s">
        <v>71</v>
      </c>
      <c r="W159" t="s">
        <v>57</v>
      </c>
      <c r="X159" s="4">
        <v>0</v>
      </c>
      <c r="Y159" t="s">
        <v>58</v>
      </c>
      <c r="Z159">
        <v>0</v>
      </c>
      <c r="AA159">
        <v>0</v>
      </c>
      <c r="AB159" s="3">
        <v>210.16</v>
      </c>
      <c r="AC159">
        <v>0</v>
      </c>
      <c r="AD159" s="3">
        <v>0</v>
      </c>
      <c r="AE159" s="3">
        <v>60</v>
      </c>
      <c r="AF159" t="s">
        <v>54</v>
      </c>
      <c r="AG159" t="s">
        <v>59</v>
      </c>
      <c r="AI159" t="s">
        <v>73</v>
      </c>
      <c r="AJ159" t="s">
        <v>73</v>
      </c>
      <c r="AK159" s="5">
        <v>46057.419872685183</v>
      </c>
      <c r="AO159" t="s">
        <v>54</v>
      </c>
      <c r="AP159">
        <v>0</v>
      </c>
      <c r="AR159" t="s">
        <v>54</v>
      </c>
      <c r="AS159" t="s">
        <v>54</v>
      </c>
      <c r="AT159">
        <v>1009</v>
      </c>
      <c r="AU159" t="s">
        <v>55</v>
      </c>
    </row>
    <row r="160" spans="1:47" x14ac:dyDescent="0.25">
      <c r="A160" t="s">
        <v>47</v>
      </c>
      <c r="B160" s="1">
        <v>38518</v>
      </c>
      <c r="C160" t="s">
        <v>48</v>
      </c>
      <c r="D160" t="s">
        <v>49</v>
      </c>
      <c r="E160" s="2">
        <v>46057</v>
      </c>
      <c r="F160" t="s">
        <v>150</v>
      </c>
      <c r="G160" t="s">
        <v>66</v>
      </c>
      <c r="H160" s="3">
        <v>5703.6</v>
      </c>
      <c r="I160" s="3">
        <v>5703.6</v>
      </c>
      <c r="J160">
        <v>0</v>
      </c>
      <c r="K160" s="3">
        <v>6133.79</v>
      </c>
      <c r="L160">
        <v>752.04</v>
      </c>
      <c r="M160" s="3">
        <v>351.59</v>
      </c>
      <c r="N160" t="s">
        <v>84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9</v>
      </c>
      <c r="V160" t="s">
        <v>71</v>
      </c>
      <c r="W160" t="s">
        <v>57</v>
      </c>
      <c r="X160" s="4">
        <v>0</v>
      </c>
      <c r="Y160" t="s">
        <v>58</v>
      </c>
      <c r="Z160">
        <v>530</v>
      </c>
      <c r="AA160">
        <v>0</v>
      </c>
      <c r="AB160">
        <v>222.04</v>
      </c>
      <c r="AC160">
        <v>0</v>
      </c>
      <c r="AD160">
        <v>0</v>
      </c>
      <c r="AE160" s="3">
        <v>1060</v>
      </c>
      <c r="AF160" t="s">
        <v>54</v>
      </c>
      <c r="AG160" t="s">
        <v>59</v>
      </c>
      <c r="AI160" t="s">
        <v>73</v>
      </c>
      <c r="AJ160" t="s">
        <v>73</v>
      </c>
      <c r="AK160" s="5">
        <v>46057.421446759261</v>
      </c>
      <c r="AO160" t="s">
        <v>54</v>
      </c>
      <c r="AP160">
        <v>0</v>
      </c>
      <c r="AR160" t="s">
        <v>54</v>
      </c>
      <c r="AS160" t="s">
        <v>54</v>
      </c>
      <c r="AT160">
        <v>1009</v>
      </c>
      <c r="AU160" t="s">
        <v>55</v>
      </c>
    </row>
    <row r="161" spans="1:47" x14ac:dyDescent="0.25">
      <c r="A161" t="s">
        <v>47</v>
      </c>
      <c r="B161" s="1">
        <v>38519</v>
      </c>
      <c r="C161" t="s">
        <v>48</v>
      </c>
      <c r="D161" t="s">
        <v>49</v>
      </c>
      <c r="E161" s="2">
        <v>46057</v>
      </c>
      <c r="F161" t="s">
        <v>150</v>
      </c>
      <c r="G161" t="s">
        <v>66</v>
      </c>
      <c r="H161" s="3">
        <v>2217.4</v>
      </c>
      <c r="I161" s="3">
        <v>2217.4</v>
      </c>
      <c r="J161">
        <v>0</v>
      </c>
      <c r="K161" s="3">
        <v>2550.0100000000002</v>
      </c>
      <c r="L161">
        <v>235.2</v>
      </c>
      <c r="M161" s="3">
        <v>175.93</v>
      </c>
      <c r="N161" t="s">
        <v>84</v>
      </c>
      <c r="O161" t="s">
        <v>53</v>
      </c>
      <c r="P161" t="s">
        <v>53</v>
      </c>
      <c r="Q161" t="s">
        <v>53</v>
      </c>
      <c r="R161" t="s">
        <v>54</v>
      </c>
      <c r="S161" t="s">
        <v>54</v>
      </c>
      <c r="T161" t="s">
        <v>55</v>
      </c>
      <c r="U161">
        <v>9</v>
      </c>
      <c r="V161" t="s">
        <v>71</v>
      </c>
      <c r="W161" t="s">
        <v>57</v>
      </c>
      <c r="X161" s="4">
        <v>0</v>
      </c>
      <c r="Y161" t="s">
        <v>58</v>
      </c>
      <c r="Z161">
        <v>0</v>
      </c>
      <c r="AA161">
        <v>0</v>
      </c>
      <c r="AB161">
        <v>235.2</v>
      </c>
      <c r="AC161">
        <v>0</v>
      </c>
      <c r="AD161">
        <v>0</v>
      </c>
      <c r="AE161">
        <v>60</v>
      </c>
      <c r="AF161" t="s">
        <v>54</v>
      </c>
      <c r="AG161" t="s">
        <v>59</v>
      </c>
      <c r="AI161" t="s">
        <v>73</v>
      </c>
      <c r="AJ161" t="s">
        <v>73</v>
      </c>
      <c r="AK161" s="5">
        <v>46057.424016203702</v>
      </c>
      <c r="AO161" t="s">
        <v>54</v>
      </c>
      <c r="AP161">
        <v>0</v>
      </c>
      <c r="AR161" t="s">
        <v>54</v>
      </c>
      <c r="AS161" t="s">
        <v>54</v>
      </c>
      <c r="AT161">
        <v>1009</v>
      </c>
      <c r="AU161" t="s">
        <v>55</v>
      </c>
    </row>
    <row r="162" spans="1:47" x14ac:dyDescent="0.25">
      <c r="A162" t="s">
        <v>96</v>
      </c>
      <c r="B162" s="1">
        <v>38521</v>
      </c>
      <c r="C162" t="s">
        <v>48</v>
      </c>
      <c r="D162" t="s">
        <v>49</v>
      </c>
      <c r="E162" s="2">
        <v>46057</v>
      </c>
      <c r="F162" t="s">
        <v>198</v>
      </c>
      <c r="G162" t="s">
        <v>69</v>
      </c>
      <c r="H162" s="3">
        <v>4709</v>
      </c>
      <c r="I162" s="3">
        <v>4709</v>
      </c>
      <c r="J162">
        <v>0</v>
      </c>
      <c r="K162" s="3">
        <v>4709</v>
      </c>
      <c r="L162" s="3">
        <v>969</v>
      </c>
      <c r="M162" s="3">
        <v>377.91</v>
      </c>
      <c r="N162" t="s">
        <v>84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9</v>
      </c>
      <c r="V162" t="s">
        <v>71</v>
      </c>
      <c r="W162" t="s">
        <v>153</v>
      </c>
      <c r="X162" s="4">
        <v>0</v>
      </c>
      <c r="Y162" t="s">
        <v>58</v>
      </c>
      <c r="Z162">
        <v>969</v>
      </c>
      <c r="AA162">
        <v>0</v>
      </c>
      <c r="AB162">
        <v>0</v>
      </c>
      <c r="AC162">
        <v>0</v>
      </c>
      <c r="AD162">
        <v>0</v>
      </c>
      <c r="AE162" s="3">
        <v>1700</v>
      </c>
      <c r="AF162" t="s">
        <v>54</v>
      </c>
      <c r="AG162" t="s">
        <v>59</v>
      </c>
      <c r="AI162" t="s">
        <v>73</v>
      </c>
      <c r="AJ162" t="s">
        <v>73</v>
      </c>
      <c r="AK162" s="5">
        <v>46057.615706018521</v>
      </c>
      <c r="AO162" t="s">
        <v>54</v>
      </c>
      <c r="AP162">
        <v>0</v>
      </c>
      <c r="AR162" t="s">
        <v>54</v>
      </c>
      <c r="AS162" t="s">
        <v>54</v>
      </c>
      <c r="AT162">
        <v>3508</v>
      </c>
      <c r="AU162" t="s">
        <v>55</v>
      </c>
    </row>
    <row r="163" spans="1:47" x14ac:dyDescent="0.25">
      <c r="A163" t="s">
        <v>47</v>
      </c>
      <c r="B163" s="1">
        <v>38523</v>
      </c>
      <c r="C163" t="s">
        <v>48</v>
      </c>
      <c r="D163" s="3" t="s">
        <v>49</v>
      </c>
      <c r="E163" s="2">
        <v>46057</v>
      </c>
      <c r="F163" t="s">
        <v>325</v>
      </c>
      <c r="G163" s="3" t="s">
        <v>251</v>
      </c>
      <c r="H163" s="3">
        <v>4020</v>
      </c>
      <c r="I163" s="3">
        <v>4020</v>
      </c>
      <c r="J163">
        <v>0</v>
      </c>
      <c r="K163" s="3">
        <v>4623</v>
      </c>
      <c r="L163" s="3">
        <v>732</v>
      </c>
      <c r="M163" s="3">
        <v>212.28</v>
      </c>
      <c r="N163" t="s">
        <v>84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9</v>
      </c>
      <c r="V163" t="s">
        <v>71</v>
      </c>
      <c r="W163" t="s">
        <v>117</v>
      </c>
      <c r="X163" s="4">
        <v>0</v>
      </c>
      <c r="Y163" t="s">
        <v>58</v>
      </c>
      <c r="Z163">
        <v>732</v>
      </c>
      <c r="AA163">
        <v>0</v>
      </c>
      <c r="AB163">
        <v>0</v>
      </c>
      <c r="AC163">
        <v>0</v>
      </c>
      <c r="AD163">
        <v>0</v>
      </c>
      <c r="AE163" s="3">
        <v>2000</v>
      </c>
      <c r="AF163" t="s">
        <v>54</v>
      </c>
      <c r="AG163" t="s">
        <v>59</v>
      </c>
      <c r="AI163" t="s">
        <v>73</v>
      </c>
      <c r="AJ163" t="s">
        <v>73</v>
      </c>
      <c r="AK163" s="5">
        <v>46057.694733796299</v>
      </c>
      <c r="AO163" t="s">
        <v>54</v>
      </c>
      <c r="AP163">
        <v>0</v>
      </c>
      <c r="AR163" t="s">
        <v>54</v>
      </c>
      <c r="AS163" t="s">
        <v>54</v>
      </c>
      <c r="AT163">
        <v>6401</v>
      </c>
      <c r="AU163" t="s">
        <v>55</v>
      </c>
    </row>
    <row r="164" spans="1:47" x14ac:dyDescent="0.25">
      <c r="A164" t="s">
        <v>96</v>
      </c>
      <c r="B164" s="1">
        <v>38524</v>
      </c>
      <c r="C164" t="s">
        <v>48</v>
      </c>
      <c r="D164" t="s">
        <v>49</v>
      </c>
      <c r="E164" s="2">
        <v>46057</v>
      </c>
      <c r="F164" s="3" t="s">
        <v>142</v>
      </c>
      <c r="G164" s="3" t="s">
        <v>94</v>
      </c>
      <c r="H164" s="3">
        <v>3960</v>
      </c>
      <c r="I164" s="3">
        <v>3960</v>
      </c>
      <c r="J164">
        <v>0</v>
      </c>
      <c r="K164" s="3">
        <v>3960</v>
      </c>
      <c r="L164" s="3">
        <v>1045</v>
      </c>
      <c r="M164" s="3">
        <v>303.05</v>
      </c>
      <c r="N164" t="s">
        <v>106</v>
      </c>
      <c r="O164" t="s">
        <v>53</v>
      </c>
      <c r="P164" t="s">
        <v>53</v>
      </c>
      <c r="Q164" t="s">
        <v>53</v>
      </c>
      <c r="R164" t="s">
        <v>54</v>
      </c>
      <c r="S164" t="s">
        <v>54</v>
      </c>
      <c r="T164" t="s">
        <v>55</v>
      </c>
      <c r="U164">
        <v>145</v>
      </c>
      <c r="W164" t="s">
        <v>143</v>
      </c>
      <c r="X164" s="4">
        <v>0</v>
      </c>
      <c r="Y164" t="s">
        <v>62</v>
      </c>
      <c r="Z164" s="3"/>
      <c r="AE164" s="3"/>
      <c r="AK164" s="5"/>
    </row>
    <row r="165" spans="1:47" x14ac:dyDescent="0.25">
      <c r="A165" t="s">
        <v>63</v>
      </c>
      <c r="B165" s="1">
        <v>1045</v>
      </c>
      <c r="C165">
        <v>0</v>
      </c>
      <c r="D165">
        <v>0</v>
      </c>
      <c r="E165" s="2">
        <v>0</v>
      </c>
      <c r="F165" s="3">
        <v>0</v>
      </c>
      <c r="G165" s="3">
        <v>2200</v>
      </c>
      <c r="H165" s="3" t="s">
        <v>54</v>
      </c>
      <c r="I165" s="3" t="s">
        <v>59</v>
      </c>
      <c r="J165" t="s">
        <v>144</v>
      </c>
      <c r="K165" s="3" t="s">
        <v>73</v>
      </c>
      <c r="L165" s="3" t="s">
        <v>73</v>
      </c>
      <c r="M165" s="3">
        <v>46057.728310185186</v>
      </c>
      <c r="Q165" t="s">
        <v>54</v>
      </c>
      <c r="R165">
        <v>0</v>
      </c>
      <c r="T165" t="s">
        <v>54</v>
      </c>
      <c r="U165" t="s">
        <v>54</v>
      </c>
      <c r="V165">
        <v>8241</v>
      </c>
      <c r="W165" t="s">
        <v>55</v>
      </c>
      <c r="X165" s="4"/>
    </row>
    <row r="166" spans="1:47" x14ac:dyDescent="0.25">
      <c r="A166" t="s">
        <v>96</v>
      </c>
      <c r="B166" s="1">
        <v>38525</v>
      </c>
      <c r="C166" t="s">
        <v>48</v>
      </c>
      <c r="D166" t="s">
        <v>49</v>
      </c>
      <c r="E166" s="2">
        <v>46058</v>
      </c>
      <c r="F166" s="3" t="s">
        <v>166</v>
      </c>
      <c r="G166" t="s">
        <v>69</v>
      </c>
      <c r="H166" s="3">
        <v>15280</v>
      </c>
      <c r="I166" s="3">
        <v>15280</v>
      </c>
      <c r="J166">
        <v>0</v>
      </c>
      <c r="K166" s="3">
        <v>15280</v>
      </c>
      <c r="L166" s="3">
        <v>2684</v>
      </c>
      <c r="M166" s="3">
        <v>1543.3</v>
      </c>
      <c r="N166" t="s">
        <v>52</v>
      </c>
      <c r="O166" t="s">
        <v>53</v>
      </c>
      <c r="P166" t="s">
        <v>53</v>
      </c>
      <c r="Q166" t="s">
        <v>53</v>
      </c>
      <c r="R166" t="s">
        <v>54</v>
      </c>
      <c r="S166" t="s">
        <v>54</v>
      </c>
      <c r="T166" t="s">
        <v>55</v>
      </c>
      <c r="U166">
        <v>126</v>
      </c>
      <c r="V166" t="s">
        <v>56</v>
      </c>
      <c r="W166" t="s">
        <v>153</v>
      </c>
      <c r="X166" s="4">
        <v>0</v>
      </c>
      <c r="Y166" t="s">
        <v>58</v>
      </c>
      <c r="Z166">
        <v>0</v>
      </c>
      <c r="AA166">
        <v>0</v>
      </c>
      <c r="AB166" s="3">
        <v>2684</v>
      </c>
      <c r="AC166">
        <v>0</v>
      </c>
      <c r="AD166">
        <v>0</v>
      </c>
      <c r="AE166" s="3">
        <v>4000</v>
      </c>
      <c r="AF166" t="s">
        <v>54</v>
      </c>
      <c r="AG166" t="s">
        <v>59</v>
      </c>
      <c r="AI166" t="s">
        <v>60</v>
      </c>
      <c r="AJ166" t="s">
        <v>60</v>
      </c>
      <c r="AK166" s="5">
        <v>46058.450324074074</v>
      </c>
      <c r="AO166" t="s">
        <v>54</v>
      </c>
      <c r="AP166">
        <v>0</v>
      </c>
      <c r="AR166" t="s">
        <v>54</v>
      </c>
      <c r="AS166" t="s">
        <v>54</v>
      </c>
      <c r="AT166">
        <v>322</v>
      </c>
      <c r="AU166" t="s">
        <v>55</v>
      </c>
    </row>
    <row r="167" spans="1:47" x14ac:dyDescent="0.25">
      <c r="A167" t="s">
        <v>47</v>
      </c>
      <c r="B167" s="1">
        <v>38526</v>
      </c>
      <c r="C167" t="s">
        <v>48</v>
      </c>
      <c r="D167" t="s">
        <v>49</v>
      </c>
      <c r="E167" s="2">
        <v>46059</v>
      </c>
      <c r="F167" s="3" t="s">
        <v>112</v>
      </c>
      <c r="G167" s="3" t="s">
        <v>113</v>
      </c>
      <c r="H167" s="3">
        <v>8100</v>
      </c>
      <c r="I167" s="3">
        <v>8100</v>
      </c>
      <c r="J167">
        <v>0</v>
      </c>
      <c r="K167" s="3">
        <v>8100</v>
      </c>
      <c r="L167" s="3">
        <v>1098</v>
      </c>
      <c r="M167" s="3">
        <v>700.52</v>
      </c>
      <c r="N167" t="s">
        <v>52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126</v>
      </c>
      <c r="V167" t="s">
        <v>56</v>
      </c>
      <c r="W167" t="s">
        <v>78</v>
      </c>
      <c r="X167" s="4">
        <v>0</v>
      </c>
      <c r="Y167" t="s">
        <v>58</v>
      </c>
      <c r="Z167">
        <v>0</v>
      </c>
      <c r="AA167">
        <v>0</v>
      </c>
      <c r="AB167" s="3">
        <v>1098</v>
      </c>
      <c r="AC167">
        <v>0</v>
      </c>
      <c r="AD167">
        <v>0</v>
      </c>
      <c r="AE167" s="3">
        <v>1500</v>
      </c>
      <c r="AF167" t="s">
        <v>54</v>
      </c>
      <c r="AG167" t="s">
        <v>59</v>
      </c>
      <c r="AH167" t="s">
        <v>115</v>
      </c>
      <c r="AI167" t="s">
        <v>92</v>
      </c>
      <c r="AJ167" t="s">
        <v>92</v>
      </c>
      <c r="AK167" s="5">
        <v>46059.494930555556</v>
      </c>
      <c r="AO167" t="s">
        <v>54</v>
      </c>
      <c r="AP167">
        <v>0</v>
      </c>
      <c r="AR167" t="s">
        <v>54</v>
      </c>
      <c r="AS167" t="s">
        <v>54</v>
      </c>
      <c r="AT167">
        <v>4089</v>
      </c>
      <c r="AU167" t="s">
        <v>55</v>
      </c>
    </row>
    <row r="168" spans="1:47" x14ac:dyDescent="0.25">
      <c r="A168" t="s">
        <v>47</v>
      </c>
      <c r="B168" s="1">
        <v>38527</v>
      </c>
      <c r="C168" t="s">
        <v>48</v>
      </c>
      <c r="D168" t="s">
        <v>49</v>
      </c>
      <c r="E168" s="2">
        <v>46059</v>
      </c>
      <c r="F168" t="s">
        <v>101</v>
      </c>
      <c r="G168" t="s">
        <v>94</v>
      </c>
      <c r="H168" s="3">
        <v>68640</v>
      </c>
      <c r="I168" s="3">
        <v>68640</v>
      </c>
      <c r="J168">
        <v>0</v>
      </c>
      <c r="K168" s="3">
        <v>78936</v>
      </c>
      <c r="L168" s="3">
        <v>14277</v>
      </c>
      <c r="M168" s="3">
        <v>5021.04</v>
      </c>
      <c r="N168" t="s">
        <v>84</v>
      </c>
      <c r="O168" t="s">
        <v>53</v>
      </c>
      <c r="P168" t="s">
        <v>53</v>
      </c>
      <c r="Q168" t="s">
        <v>53</v>
      </c>
      <c r="R168" t="s">
        <v>54</v>
      </c>
      <c r="S168" t="s">
        <v>54</v>
      </c>
      <c r="T168" t="s">
        <v>55</v>
      </c>
      <c r="U168">
        <v>9</v>
      </c>
      <c r="V168" t="s">
        <v>71</v>
      </c>
      <c r="W168" t="s">
        <v>102</v>
      </c>
      <c r="X168" s="4">
        <v>0</v>
      </c>
      <c r="Y168" t="s">
        <v>58</v>
      </c>
      <c r="Z168" s="3">
        <v>14277</v>
      </c>
      <c r="AA168">
        <v>0</v>
      </c>
      <c r="AB168">
        <v>0</v>
      </c>
      <c r="AC168">
        <v>0</v>
      </c>
      <c r="AD168">
        <v>0</v>
      </c>
      <c r="AE168" s="3">
        <v>21000</v>
      </c>
      <c r="AF168" t="s">
        <v>54</v>
      </c>
      <c r="AG168" t="s">
        <v>59</v>
      </c>
      <c r="AH168" t="s">
        <v>103</v>
      </c>
      <c r="AI168" t="s">
        <v>92</v>
      </c>
      <c r="AJ168" t="s">
        <v>92</v>
      </c>
      <c r="AK168" s="5">
        <v>46059.544537037036</v>
      </c>
      <c r="AO168" t="s">
        <v>54</v>
      </c>
      <c r="AP168">
        <v>0</v>
      </c>
      <c r="AR168" t="s">
        <v>54</v>
      </c>
      <c r="AS168" t="s">
        <v>54</v>
      </c>
      <c r="AT168">
        <v>161</v>
      </c>
      <c r="AU168" t="s">
        <v>55</v>
      </c>
    </row>
    <row r="169" spans="1:47" x14ac:dyDescent="0.25">
      <c r="A169" t="s">
        <v>47</v>
      </c>
      <c r="B169" s="1">
        <v>38528</v>
      </c>
      <c r="C169" t="s">
        <v>48</v>
      </c>
      <c r="D169" s="3" t="s">
        <v>49</v>
      </c>
      <c r="E169" s="2">
        <v>46059</v>
      </c>
      <c r="F169" t="s">
        <v>129</v>
      </c>
      <c r="G169" s="3" t="s">
        <v>130</v>
      </c>
      <c r="H169" s="3">
        <v>12082</v>
      </c>
      <c r="I169" s="3">
        <v>12082</v>
      </c>
      <c r="J169">
        <v>0</v>
      </c>
      <c r="K169" s="3">
        <v>13894.3</v>
      </c>
      <c r="L169" s="3">
        <v>2395.16</v>
      </c>
      <c r="M169" s="3">
        <v>897.31</v>
      </c>
      <c r="N169" t="s">
        <v>52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126</v>
      </c>
      <c r="V169" t="s">
        <v>56</v>
      </c>
      <c r="W169" t="s">
        <v>78</v>
      </c>
      <c r="X169" s="4">
        <v>0</v>
      </c>
      <c r="Y169" t="s">
        <v>62</v>
      </c>
      <c r="AB169" s="3"/>
      <c r="AE169" s="3"/>
      <c r="AK169" s="5"/>
    </row>
    <row r="170" spans="1:47" x14ac:dyDescent="0.25">
      <c r="A170" t="s">
        <v>63</v>
      </c>
      <c r="B170" s="1">
        <v>2102.36</v>
      </c>
      <c r="C170">
        <v>0</v>
      </c>
      <c r="D170">
        <v>0</v>
      </c>
      <c r="E170" s="2">
        <v>0</v>
      </c>
      <c r="F170">
        <v>292.8</v>
      </c>
      <c r="G170" s="3">
        <v>3820</v>
      </c>
      <c r="H170" s="3" t="s">
        <v>54</v>
      </c>
      <c r="I170" s="3" t="s">
        <v>59</v>
      </c>
      <c r="K170" s="3" t="s">
        <v>60</v>
      </c>
      <c r="L170" s="3" t="s">
        <v>60</v>
      </c>
      <c r="M170" s="3">
        <v>46059.583055555559</v>
      </c>
      <c r="Q170" t="s">
        <v>54</v>
      </c>
      <c r="R170">
        <v>0</v>
      </c>
      <c r="T170" t="s">
        <v>54</v>
      </c>
      <c r="U170" t="s">
        <v>54</v>
      </c>
      <c r="V170">
        <v>6379</v>
      </c>
      <c r="W170" t="s">
        <v>55</v>
      </c>
      <c r="X170" s="4"/>
      <c r="AD170" s="3"/>
      <c r="AE170" s="3"/>
      <c r="AK170" s="5"/>
    </row>
    <row r="171" spans="1:47" x14ac:dyDescent="0.25">
      <c r="A171" t="s">
        <v>96</v>
      </c>
      <c r="B171" s="1">
        <v>38530</v>
      </c>
      <c r="C171" t="s">
        <v>48</v>
      </c>
      <c r="D171" t="s">
        <v>49</v>
      </c>
      <c r="E171" s="2">
        <v>46059</v>
      </c>
      <c r="F171" t="s">
        <v>414</v>
      </c>
      <c r="G171" t="s">
        <v>119</v>
      </c>
      <c r="H171" s="3">
        <v>1569</v>
      </c>
      <c r="I171" s="3">
        <v>1569</v>
      </c>
      <c r="J171">
        <v>0</v>
      </c>
      <c r="K171" s="3">
        <v>1569</v>
      </c>
      <c r="L171" s="3">
        <v>297.89999999999998</v>
      </c>
      <c r="M171" s="3">
        <v>96.82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56</v>
      </c>
      <c r="W171" t="s">
        <v>95</v>
      </c>
      <c r="X171" s="4">
        <v>0</v>
      </c>
      <c r="Y171" t="s">
        <v>62</v>
      </c>
      <c r="AB171" s="3"/>
      <c r="AK171" s="5"/>
    </row>
    <row r="172" spans="1:47" x14ac:dyDescent="0.25">
      <c r="A172" t="s">
        <v>63</v>
      </c>
      <c r="B172" s="1">
        <v>297.89999999999998</v>
      </c>
      <c r="C172">
        <v>0</v>
      </c>
      <c r="D172">
        <v>0</v>
      </c>
      <c r="E172" s="2">
        <v>0</v>
      </c>
      <c r="F172">
        <v>0</v>
      </c>
      <c r="G172" s="3">
        <v>700</v>
      </c>
      <c r="H172" t="s">
        <v>54</v>
      </c>
      <c r="I172" t="s">
        <v>59</v>
      </c>
      <c r="K172" t="s">
        <v>60</v>
      </c>
      <c r="L172" t="s">
        <v>60</v>
      </c>
      <c r="M172" s="3">
        <v>46059.62740740741</v>
      </c>
      <c r="Q172" t="s">
        <v>54</v>
      </c>
      <c r="R172">
        <v>0</v>
      </c>
      <c r="T172" t="s">
        <v>54</v>
      </c>
      <c r="U172" t="s">
        <v>54</v>
      </c>
      <c r="V172">
        <v>8501</v>
      </c>
      <c r="W172" t="s">
        <v>55</v>
      </c>
      <c r="X172" s="4"/>
    </row>
    <row r="173" spans="1:47" x14ac:dyDescent="0.25">
      <c r="A173" t="s">
        <v>47</v>
      </c>
      <c r="B173" s="1">
        <v>38531</v>
      </c>
      <c r="C173" t="s">
        <v>48</v>
      </c>
      <c r="D173" t="s">
        <v>49</v>
      </c>
      <c r="E173" s="2">
        <v>46062</v>
      </c>
      <c r="F173" t="s">
        <v>68</v>
      </c>
      <c r="G173" t="s">
        <v>69</v>
      </c>
      <c r="H173" s="3">
        <v>3220</v>
      </c>
      <c r="I173" s="3">
        <v>3220</v>
      </c>
      <c r="J173">
        <v>0</v>
      </c>
      <c r="K173" s="3">
        <v>3703</v>
      </c>
      <c r="L173" s="3">
        <v>516</v>
      </c>
      <c r="M173" s="3">
        <v>242.52</v>
      </c>
      <c r="N173" t="s">
        <v>70</v>
      </c>
      <c r="O173" t="s">
        <v>53</v>
      </c>
      <c r="P173" t="s">
        <v>53</v>
      </c>
      <c r="Q173" t="s">
        <v>53</v>
      </c>
      <c r="R173" t="s">
        <v>54</v>
      </c>
      <c r="S173" t="s">
        <v>54</v>
      </c>
      <c r="T173" t="s">
        <v>55</v>
      </c>
      <c r="U173">
        <v>76</v>
      </c>
      <c r="V173" t="s">
        <v>71</v>
      </c>
      <c r="W173" t="s">
        <v>72</v>
      </c>
      <c r="X173" s="4">
        <v>0</v>
      </c>
      <c r="Y173" t="s">
        <v>62</v>
      </c>
      <c r="AB173" s="3"/>
      <c r="AK173" s="5"/>
    </row>
    <row r="174" spans="1:47" x14ac:dyDescent="0.25">
      <c r="A174" t="s">
        <v>63</v>
      </c>
      <c r="B174" s="1">
        <v>0</v>
      </c>
      <c r="C174">
        <v>0</v>
      </c>
      <c r="D174">
        <v>0</v>
      </c>
      <c r="E174" s="2">
        <v>0</v>
      </c>
      <c r="F174">
        <v>516</v>
      </c>
      <c r="G174" s="3">
        <v>400</v>
      </c>
      <c r="H174" s="3" t="s">
        <v>54</v>
      </c>
      <c r="I174" s="3" t="s">
        <v>59</v>
      </c>
      <c r="K174" s="3" t="s">
        <v>73</v>
      </c>
      <c r="L174" s="3" t="s">
        <v>73</v>
      </c>
      <c r="M174" s="3">
        <v>46062.387812499997</v>
      </c>
      <c r="Q174" t="s">
        <v>54</v>
      </c>
      <c r="R174">
        <v>0</v>
      </c>
      <c r="T174" t="s">
        <v>54</v>
      </c>
      <c r="U174" t="s">
        <v>54</v>
      </c>
      <c r="V174">
        <v>139</v>
      </c>
      <c r="W174" t="s">
        <v>55</v>
      </c>
      <c r="X174" s="4"/>
      <c r="Z174" s="3"/>
      <c r="AB174" s="3"/>
      <c r="AE174" s="3"/>
      <c r="AK174" s="5"/>
    </row>
    <row r="175" spans="1:47" x14ac:dyDescent="0.25">
      <c r="A175" t="s">
        <v>96</v>
      </c>
      <c r="B175" s="1">
        <v>38532</v>
      </c>
      <c r="C175" t="s">
        <v>48</v>
      </c>
      <c r="D175" t="s">
        <v>49</v>
      </c>
      <c r="E175" s="2">
        <v>46062</v>
      </c>
      <c r="F175" t="s">
        <v>281</v>
      </c>
      <c r="G175" t="s">
        <v>94</v>
      </c>
      <c r="H175" s="3">
        <v>12428</v>
      </c>
      <c r="I175" s="3">
        <v>12428</v>
      </c>
      <c r="J175">
        <v>0</v>
      </c>
      <c r="K175" s="3">
        <v>12428</v>
      </c>
      <c r="L175" s="3">
        <v>1247.4000000000001</v>
      </c>
      <c r="M175" s="3">
        <v>790.23</v>
      </c>
      <c r="N175" t="s">
        <v>282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138</v>
      </c>
      <c r="V175" t="s">
        <v>146</v>
      </c>
      <c r="W175" t="s">
        <v>72</v>
      </c>
      <c r="X175" s="4">
        <v>0</v>
      </c>
      <c r="Y175" t="s">
        <v>62</v>
      </c>
      <c r="AB175" s="3"/>
      <c r="AK175" s="5"/>
    </row>
    <row r="176" spans="1:47" x14ac:dyDescent="0.25">
      <c r="A176" t="s">
        <v>63</v>
      </c>
      <c r="B176" s="3">
        <v>0</v>
      </c>
      <c r="C176">
        <v>0</v>
      </c>
      <c r="D176" s="3">
        <v>259</v>
      </c>
      <c r="E176" s="2">
        <v>0</v>
      </c>
      <c r="F176">
        <v>988.4</v>
      </c>
      <c r="G176" s="3">
        <v>3400</v>
      </c>
      <c r="H176" s="3" t="s">
        <v>54</v>
      </c>
      <c r="I176" s="3" t="s">
        <v>59</v>
      </c>
      <c r="J176" t="s">
        <v>144</v>
      </c>
      <c r="K176" s="3" t="s">
        <v>92</v>
      </c>
      <c r="L176" t="s">
        <v>92</v>
      </c>
      <c r="M176" s="3">
        <v>46062.607604166667</v>
      </c>
      <c r="Q176" t="s">
        <v>54</v>
      </c>
      <c r="R176">
        <v>0</v>
      </c>
      <c r="T176" t="s">
        <v>54</v>
      </c>
      <c r="U176" t="s">
        <v>54</v>
      </c>
      <c r="V176">
        <v>2162</v>
      </c>
      <c r="W176" t="s">
        <v>55</v>
      </c>
      <c r="X176" s="4"/>
    </row>
    <row r="177" spans="1:47" x14ac:dyDescent="0.25">
      <c r="A177" t="s">
        <v>47</v>
      </c>
      <c r="B177" s="1">
        <v>38534</v>
      </c>
      <c r="C177" t="s">
        <v>48</v>
      </c>
      <c r="D177" t="s">
        <v>49</v>
      </c>
      <c r="E177" s="2">
        <v>46062</v>
      </c>
      <c r="F177" t="s">
        <v>426</v>
      </c>
      <c r="G177" t="s">
        <v>69</v>
      </c>
      <c r="H177" s="3">
        <v>240</v>
      </c>
      <c r="I177" s="3">
        <v>240</v>
      </c>
      <c r="J177">
        <v>0</v>
      </c>
      <c r="K177" s="3">
        <v>276</v>
      </c>
      <c r="L177" s="3">
        <v>68.400000000000006</v>
      </c>
      <c r="M177" s="3">
        <v>19.84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289</v>
      </c>
      <c r="X177" s="4">
        <v>0</v>
      </c>
      <c r="Y177" t="s">
        <v>62</v>
      </c>
    </row>
    <row r="178" spans="1:47" x14ac:dyDescent="0.25">
      <c r="A178" t="s">
        <v>63</v>
      </c>
      <c r="B178" s="1">
        <v>68.400000000000006</v>
      </c>
      <c r="C178">
        <v>0</v>
      </c>
      <c r="D178" s="3">
        <v>0</v>
      </c>
      <c r="E178" s="2">
        <v>0</v>
      </c>
      <c r="F178">
        <v>0</v>
      </c>
      <c r="G178" s="3">
        <v>60</v>
      </c>
      <c r="H178" s="3" t="s">
        <v>54</v>
      </c>
      <c r="I178" s="3" t="s">
        <v>59</v>
      </c>
      <c r="K178" s="3" t="s">
        <v>80</v>
      </c>
      <c r="L178" t="s">
        <v>73</v>
      </c>
      <c r="M178" s="3">
        <v>46062.663541666669</v>
      </c>
      <c r="Q178" t="s">
        <v>54</v>
      </c>
      <c r="R178">
        <v>0</v>
      </c>
      <c r="T178" t="s">
        <v>54</v>
      </c>
      <c r="U178" t="s">
        <v>54</v>
      </c>
      <c r="V178">
        <v>8858</v>
      </c>
      <c r="W178" t="s">
        <v>55</v>
      </c>
      <c r="X178" s="4"/>
      <c r="AK178" s="5"/>
    </row>
    <row r="179" spans="1:47" x14ac:dyDescent="0.25">
      <c r="A179" t="s">
        <v>47</v>
      </c>
      <c r="B179" s="1">
        <v>38535</v>
      </c>
      <c r="C179" t="s">
        <v>48</v>
      </c>
      <c r="D179" t="s">
        <v>49</v>
      </c>
      <c r="E179" s="2">
        <v>46062</v>
      </c>
      <c r="F179" t="s">
        <v>112</v>
      </c>
      <c r="G179" t="s">
        <v>113</v>
      </c>
      <c r="H179" s="3">
        <v>8160</v>
      </c>
      <c r="I179" s="3">
        <v>8160</v>
      </c>
      <c r="J179">
        <v>0</v>
      </c>
      <c r="K179" s="3">
        <v>8160</v>
      </c>
      <c r="L179" s="3">
        <v>1118</v>
      </c>
      <c r="M179" s="3">
        <v>609.30999999999995</v>
      </c>
      <c r="N179" t="s">
        <v>52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126</v>
      </c>
      <c r="V179" t="s">
        <v>56</v>
      </c>
      <c r="W179" t="s">
        <v>78</v>
      </c>
      <c r="X179" s="4">
        <v>0</v>
      </c>
      <c r="Y179" t="s">
        <v>58</v>
      </c>
      <c r="Z179" s="3">
        <v>1118</v>
      </c>
      <c r="AA179">
        <v>0</v>
      </c>
      <c r="AB179">
        <v>0</v>
      </c>
      <c r="AC179">
        <v>0</v>
      </c>
      <c r="AD179">
        <v>0</v>
      </c>
      <c r="AE179" s="3">
        <v>2000</v>
      </c>
      <c r="AF179" t="s">
        <v>54</v>
      </c>
      <c r="AG179" t="s">
        <v>59</v>
      </c>
      <c r="AH179" t="s">
        <v>115</v>
      </c>
      <c r="AI179" t="s">
        <v>92</v>
      </c>
      <c r="AJ179" t="s">
        <v>92</v>
      </c>
      <c r="AK179" s="5">
        <v>46062.690451388888</v>
      </c>
      <c r="AO179" t="s">
        <v>54</v>
      </c>
      <c r="AP179">
        <v>0</v>
      </c>
      <c r="AR179" t="s">
        <v>54</v>
      </c>
      <c r="AS179" t="s">
        <v>54</v>
      </c>
      <c r="AT179">
        <v>4089</v>
      </c>
      <c r="AU179" t="s">
        <v>55</v>
      </c>
    </row>
    <row r="180" spans="1:47" x14ac:dyDescent="0.25">
      <c r="A180" t="s">
        <v>47</v>
      </c>
      <c r="B180" s="3">
        <v>38536</v>
      </c>
      <c r="C180" t="s">
        <v>48</v>
      </c>
      <c r="D180" t="s">
        <v>49</v>
      </c>
      <c r="E180" s="2">
        <v>46062</v>
      </c>
      <c r="F180" t="s">
        <v>101</v>
      </c>
      <c r="G180" s="3" t="s">
        <v>94</v>
      </c>
      <c r="H180" s="3">
        <v>7490</v>
      </c>
      <c r="I180" s="3">
        <v>7490</v>
      </c>
      <c r="J180">
        <v>0</v>
      </c>
      <c r="K180" s="3">
        <v>8613.5</v>
      </c>
      <c r="L180" s="3">
        <v>1578</v>
      </c>
      <c r="M180" s="3">
        <v>499.74</v>
      </c>
      <c r="N180" t="s">
        <v>84</v>
      </c>
      <c r="O180" t="s">
        <v>53</v>
      </c>
      <c r="P180" t="s">
        <v>53</v>
      </c>
      <c r="Q180" t="s">
        <v>53</v>
      </c>
      <c r="R180" t="s">
        <v>54</v>
      </c>
      <c r="S180" t="s">
        <v>54</v>
      </c>
      <c r="T180" t="s">
        <v>55</v>
      </c>
      <c r="U180">
        <v>9</v>
      </c>
      <c r="V180" t="s">
        <v>71</v>
      </c>
      <c r="W180" t="s">
        <v>102</v>
      </c>
      <c r="X180" s="4">
        <v>0</v>
      </c>
      <c r="Y180" t="s">
        <v>58</v>
      </c>
      <c r="Z180" s="3">
        <v>1578</v>
      </c>
      <c r="AA180">
        <v>0</v>
      </c>
      <c r="AB180" s="3">
        <v>0</v>
      </c>
      <c r="AC180">
        <v>0</v>
      </c>
      <c r="AD180">
        <v>0</v>
      </c>
      <c r="AE180" s="3">
        <v>5000</v>
      </c>
      <c r="AF180" t="s">
        <v>54</v>
      </c>
      <c r="AG180" t="s">
        <v>59</v>
      </c>
      <c r="AH180" t="s">
        <v>103</v>
      </c>
      <c r="AI180" t="s">
        <v>92</v>
      </c>
      <c r="AJ180" t="s">
        <v>92</v>
      </c>
      <c r="AK180" s="5">
        <v>46062.736458333333</v>
      </c>
      <c r="AO180" t="s">
        <v>54</v>
      </c>
      <c r="AP180">
        <v>0</v>
      </c>
      <c r="AR180" t="s">
        <v>54</v>
      </c>
      <c r="AS180" t="s">
        <v>54</v>
      </c>
      <c r="AT180">
        <v>161</v>
      </c>
      <c r="AU180" t="s">
        <v>55</v>
      </c>
    </row>
    <row r="181" spans="1:47" x14ac:dyDescent="0.25">
      <c r="A181" t="s">
        <v>96</v>
      </c>
      <c r="B181" s="1">
        <v>38537</v>
      </c>
      <c r="C181" t="s">
        <v>48</v>
      </c>
      <c r="D181" t="s">
        <v>49</v>
      </c>
      <c r="E181" s="2">
        <v>46063</v>
      </c>
      <c r="F181" t="s">
        <v>145</v>
      </c>
      <c r="G181" t="s">
        <v>66</v>
      </c>
      <c r="H181" s="3">
        <v>15450</v>
      </c>
      <c r="I181" s="3">
        <v>15450</v>
      </c>
      <c r="J181">
        <v>0</v>
      </c>
      <c r="K181" s="3">
        <v>15450</v>
      </c>
      <c r="L181" s="3">
        <v>2910</v>
      </c>
      <c r="M181" s="3">
        <v>1367.7</v>
      </c>
      <c r="N181" t="s">
        <v>84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9</v>
      </c>
      <c r="V181" t="s">
        <v>146</v>
      </c>
      <c r="W181" t="s">
        <v>147</v>
      </c>
      <c r="X181" s="4">
        <v>0</v>
      </c>
      <c r="Y181" t="s">
        <v>58</v>
      </c>
      <c r="Z181">
        <v>0</v>
      </c>
      <c r="AA181">
        <v>0</v>
      </c>
      <c r="AB181">
        <v>0</v>
      </c>
      <c r="AC181">
        <v>0</v>
      </c>
      <c r="AD181" s="3">
        <v>2910</v>
      </c>
      <c r="AE181" s="3">
        <v>5000</v>
      </c>
      <c r="AF181" t="s">
        <v>54</v>
      </c>
      <c r="AG181" t="s">
        <v>59</v>
      </c>
      <c r="AI181" t="s">
        <v>73</v>
      </c>
      <c r="AJ181" t="s">
        <v>73</v>
      </c>
      <c r="AK181" s="5">
        <v>46063.376909722225</v>
      </c>
      <c r="AO181" t="s">
        <v>54</v>
      </c>
      <c r="AP181">
        <v>0</v>
      </c>
      <c r="AR181" t="s">
        <v>54</v>
      </c>
      <c r="AS181" t="s">
        <v>54</v>
      </c>
      <c r="AT181">
        <v>1301</v>
      </c>
      <c r="AU181" t="s">
        <v>55</v>
      </c>
    </row>
    <row r="182" spans="1:47" x14ac:dyDescent="0.25">
      <c r="A182" t="s">
        <v>96</v>
      </c>
      <c r="B182" s="1">
        <v>38538</v>
      </c>
      <c r="C182" t="s">
        <v>48</v>
      </c>
      <c r="D182" t="s">
        <v>49</v>
      </c>
      <c r="E182" s="2">
        <v>46063</v>
      </c>
      <c r="F182" t="s">
        <v>145</v>
      </c>
      <c r="G182" s="3" t="s">
        <v>66</v>
      </c>
      <c r="H182" s="3">
        <v>15450</v>
      </c>
      <c r="I182" s="3">
        <v>15450</v>
      </c>
      <c r="J182">
        <v>0</v>
      </c>
      <c r="K182" s="3">
        <v>15450</v>
      </c>
      <c r="L182" s="3">
        <v>2910</v>
      </c>
      <c r="M182" s="3">
        <v>1367.7</v>
      </c>
      <c r="N182" t="s">
        <v>84</v>
      </c>
      <c r="O182" t="s">
        <v>53</v>
      </c>
      <c r="P182" t="s">
        <v>53</v>
      </c>
      <c r="Q182" t="s">
        <v>53</v>
      </c>
      <c r="R182" t="s">
        <v>54</v>
      </c>
      <c r="S182" t="s">
        <v>54</v>
      </c>
      <c r="T182" t="s">
        <v>55</v>
      </c>
      <c r="U182">
        <v>9</v>
      </c>
      <c r="V182" t="s">
        <v>146</v>
      </c>
      <c r="W182" t="s">
        <v>147</v>
      </c>
      <c r="X182" s="4">
        <v>0</v>
      </c>
      <c r="Y182" t="s">
        <v>58</v>
      </c>
      <c r="Z182" s="3">
        <v>0</v>
      </c>
      <c r="AA182">
        <v>0</v>
      </c>
      <c r="AB182">
        <v>0</v>
      </c>
      <c r="AC182">
        <v>0</v>
      </c>
      <c r="AD182" s="3">
        <v>2910</v>
      </c>
      <c r="AE182" s="3">
        <v>5000</v>
      </c>
      <c r="AF182" t="s">
        <v>54</v>
      </c>
      <c r="AG182" t="s">
        <v>59</v>
      </c>
      <c r="AI182" t="s">
        <v>73</v>
      </c>
      <c r="AJ182" t="s">
        <v>73</v>
      </c>
      <c r="AK182" s="5">
        <v>46063.376122685186</v>
      </c>
      <c r="AO182" t="s">
        <v>54</v>
      </c>
      <c r="AP182">
        <v>0</v>
      </c>
      <c r="AR182" t="s">
        <v>54</v>
      </c>
      <c r="AS182" t="s">
        <v>54</v>
      </c>
      <c r="AT182">
        <v>1301</v>
      </c>
      <c r="AU182" t="s">
        <v>55</v>
      </c>
    </row>
    <row r="183" spans="1:47" x14ac:dyDescent="0.25">
      <c r="A183" t="s">
        <v>96</v>
      </c>
      <c r="B183" s="1">
        <v>38540</v>
      </c>
      <c r="C183" t="s">
        <v>48</v>
      </c>
      <c r="D183" t="s">
        <v>49</v>
      </c>
      <c r="E183" s="2">
        <v>46063</v>
      </c>
      <c r="F183" t="s">
        <v>225</v>
      </c>
      <c r="G183" t="s">
        <v>226</v>
      </c>
      <c r="H183" s="3">
        <v>4360</v>
      </c>
      <c r="I183" s="3">
        <v>4360</v>
      </c>
      <c r="J183">
        <v>0</v>
      </c>
      <c r="K183" s="3">
        <v>4360</v>
      </c>
      <c r="L183" s="3">
        <v>1104</v>
      </c>
      <c r="M183" s="3">
        <v>358.8</v>
      </c>
      <c r="N183" t="s">
        <v>52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126</v>
      </c>
      <c r="V183" t="s">
        <v>56</v>
      </c>
      <c r="W183" t="s">
        <v>95</v>
      </c>
      <c r="X183" s="4">
        <v>0</v>
      </c>
      <c r="Y183" t="s">
        <v>58</v>
      </c>
      <c r="Z183" s="3">
        <v>1104</v>
      </c>
      <c r="AA183">
        <v>0</v>
      </c>
      <c r="AB183">
        <v>0</v>
      </c>
      <c r="AC183">
        <v>0</v>
      </c>
      <c r="AD183">
        <v>0</v>
      </c>
      <c r="AE183" s="3">
        <v>2000</v>
      </c>
      <c r="AF183" t="s">
        <v>54</v>
      </c>
      <c r="AG183" t="s">
        <v>59</v>
      </c>
      <c r="AI183" t="s">
        <v>60</v>
      </c>
      <c r="AJ183" t="s">
        <v>60</v>
      </c>
      <c r="AK183" s="5">
        <v>46063.562696759262</v>
      </c>
      <c r="AO183" t="s">
        <v>54</v>
      </c>
      <c r="AP183">
        <v>0</v>
      </c>
      <c r="AR183" t="s">
        <v>54</v>
      </c>
      <c r="AS183" t="s">
        <v>54</v>
      </c>
      <c r="AT183">
        <v>5478</v>
      </c>
      <c r="AU183" t="s">
        <v>55</v>
      </c>
    </row>
    <row r="184" spans="1:47" x14ac:dyDescent="0.25">
      <c r="A184" t="s">
        <v>96</v>
      </c>
      <c r="B184" s="3">
        <v>38542</v>
      </c>
      <c r="C184" t="s">
        <v>48</v>
      </c>
      <c r="D184" t="s">
        <v>49</v>
      </c>
      <c r="E184" s="2">
        <v>46063</v>
      </c>
      <c r="F184" t="s">
        <v>427</v>
      </c>
      <c r="G184" s="3" t="s">
        <v>94</v>
      </c>
      <c r="H184" s="3">
        <v>9320</v>
      </c>
      <c r="I184" s="3">
        <v>9320</v>
      </c>
      <c r="J184">
        <v>0</v>
      </c>
      <c r="K184" s="3">
        <v>9320</v>
      </c>
      <c r="L184" s="3">
        <v>1896</v>
      </c>
      <c r="M184" s="3">
        <v>929.04</v>
      </c>
      <c r="N184" t="s">
        <v>52</v>
      </c>
      <c r="O184" t="s">
        <v>53</v>
      </c>
      <c r="P184" t="s">
        <v>53</v>
      </c>
      <c r="Q184" t="s">
        <v>53</v>
      </c>
      <c r="R184" t="s">
        <v>54</v>
      </c>
      <c r="S184" t="s">
        <v>54</v>
      </c>
      <c r="T184" t="s">
        <v>55</v>
      </c>
      <c r="U184">
        <v>126</v>
      </c>
      <c r="V184" t="s">
        <v>56</v>
      </c>
      <c r="W184" t="s">
        <v>72</v>
      </c>
      <c r="X184" s="4">
        <v>0</v>
      </c>
      <c r="Y184" t="s">
        <v>58</v>
      </c>
      <c r="Z184" s="3">
        <v>1896</v>
      </c>
      <c r="AA184">
        <v>0</v>
      </c>
      <c r="AB184">
        <v>0</v>
      </c>
      <c r="AC184">
        <v>0</v>
      </c>
      <c r="AD184">
        <v>0</v>
      </c>
      <c r="AE184" s="3">
        <v>4000</v>
      </c>
      <c r="AF184" t="s">
        <v>54</v>
      </c>
      <c r="AG184" t="s">
        <v>59</v>
      </c>
      <c r="AI184" t="s">
        <v>73</v>
      </c>
      <c r="AJ184" t="s">
        <v>73</v>
      </c>
      <c r="AK184" s="5">
        <v>46063.71638888889</v>
      </c>
      <c r="AO184" t="s">
        <v>54</v>
      </c>
      <c r="AP184">
        <v>0</v>
      </c>
      <c r="AR184" t="s">
        <v>54</v>
      </c>
      <c r="AS184" t="s">
        <v>54</v>
      </c>
      <c r="AT184">
        <v>5117</v>
      </c>
      <c r="AU184" t="s">
        <v>55</v>
      </c>
    </row>
    <row r="185" spans="1:47" x14ac:dyDescent="0.25">
      <c r="A185" t="s">
        <v>136</v>
      </c>
      <c r="B185" s="1">
        <v>38543</v>
      </c>
      <c r="C185" t="s">
        <v>48</v>
      </c>
      <c r="D185" t="s">
        <v>49</v>
      </c>
      <c r="E185" s="2">
        <v>46064</v>
      </c>
      <c r="F185" t="s">
        <v>246</v>
      </c>
      <c r="G185" t="s">
        <v>94</v>
      </c>
      <c r="H185" s="3">
        <v>6880</v>
      </c>
      <c r="I185" s="3">
        <v>6880</v>
      </c>
      <c r="J185">
        <v>0</v>
      </c>
      <c r="K185" s="3">
        <v>6880</v>
      </c>
      <c r="L185" s="3">
        <v>1153</v>
      </c>
      <c r="M185" s="3">
        <v>513.59</v>
      </c>
      <c r="N185" t="s">
        <v>106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145</v>
      </c>
      <c r="V185" t="s">
        <v>99</v>
      </c>
      <c r="W185" t="s">
        <v>134</v>
      </c>
      <c r="X185" s="4">
        <v>0</v>
      </c>
      <c r="Y185" t="s">
        <v>58</v>
      </c>
      <c r="Z185" s="3">
        <v>275</v>
      </c>
      <c r="AA185">
        <v>0</v>
      </c>
      <c r="AB185">
        <v>0</v>
      </c>
      <c r="AC185">
        <v>0</v>
      </c>
      <c r="AD185" s="3">
        <v>878</v>
      </c>
      <c r="AE185" s="3">
        <v>1500</v>
      </c>
      <c r="AF185" t="s">
        <v>54</v>
      </c>
      <c r="AG185" t="s">
        <v>59</v>
      </c>
      <c r="AI185" t="s">
        <v>73</v>
      </c>
      <c r="AJ185" t="s">
        <v>73</v>
      </c>
      <c r="AK185" s="5">
        <v>46064.455208333333</v>
      </c>
      <c r="AO185" t="s">
        <v>54</v>
      </c>
      <c r="AP185">
        <v>0</v>
      </c>
      <c r="AR185" t="s">
        <v>54</v>
      </c>
      <c r="AS185" t="s">
        <v>54</v>
      </c>
      <c r="AT185">
        <v>251</v>
      </c>
      <c r="AU185" t="s">
        <v>55</v>
      </c>
    </row>
    <row r="186" spans="1:47" x14ac:dyDescent="0.25">
      <c r="A186" t="s">
        <v>96</v>
      </c>
      <c r="B186" s="1">
        <v>38544</v>
      </c>
      <c r="C186" t="s">
        <v>48</v>
      </c>
      <c r="D186" t="s">
        <v>49</v>
      </c>
      <c r="E186" s="2">
        <v>46064</v>
      </c>
      <c r="F186" t="s">
        <v>335</v>
      </c>
      <c r="G186" s="3" t="s">
        <v>69</v>
      </c>
      <c r="H186" s="3">
        <v>3576</v>
      </c>
      <c r="I186" s="3">
        <v>3576</v>
      </c>
      <c r="J186">
        <v>0</v>
      </c>
      <c r="K186" s="3">
        <v>3576</v>
      </c>
      <c r="L186" s="3">
        <v>643.20000000000005</v>
      </c>
      <c r="M186" s="3">
        <v>302.3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W186" t="s">
        <v>134</v>
      </c>
      <c r="X186" s="4">
        <v>0</v>
      </c>
      <c r="Y186" t="s">
        <v>58</v>
      </c>
      <c r="Z186">
        <v>0</v>
      </c>
      <c r="AA186">
        <v>0</v>
      </c>
      <c r="AB186">
        <v>0</v>
      </c>
      <c r="AC186">
        <v>0</v>
      </c>
      <c r="AD186">
        <v>643.20000000000005</v>
      </c>
      <c r="AE186" s="3">
        <v>2400</v>
      </c>
      <c r="AF186" t="s">
        <v>54</v>
      </c>
      <c r="AG186" t="s">
        <v>59</v>
      </c>
      <c r="AI186" t="s">
        <v>80</v>
      </c>
      <c r="AJ186" t="s">
        <v>73</v>
      </c>
      <c r="AK186" s="5">
        <v>46064.578784722224</v>
      </c>
      <c r="AO186" t="s">
        <v>54</v>
      </c>
      <c r="AP186">
        <v>0</v>
      </c>
      <c r="AR186" t="s">
        <v>54</v>
      </c>
      <c r="AS186" t="s">
        <v>54</v>
      </c>
      <c r="AT186">
        <v>4097</v>
      </c>
      <c r="AU186" t="s">
        <v>55</v>
      </c>
    </row>
    <row r="187" spans="1:47" x14ac:dyDescent="0.25">
      <c r="A187" t="s">
        <v>47</v>
      </c>
      <c r="B187" s="1">
        <v>38545</v>
      </c>
      <c r="C187" t="s">
        <v>48</v>
      </c>
      <c r="D187" s="3" t="s">
        <v>49</v>
      </c>
      <c r="E187" s="2">
        <v>46064</v>
      </c>
      <c r="F187" t="s">
        <v>304</v>
      </c>
      <c r="G187" s="3" t="s">
        <v>87</v>
      </c>
      <c r="H187" s="3">
        <v>7000</v>
      </c>
      <c r="I187" s="3">
        <v>7000</v>
      </c>
      <c r="J187">
        <v>0</v>
      </c>
      <c r="K187" s="3">
        <v>8050</v>
      </c>
      <c r="L187" s="3">
        <v>1041</v>
      </c>
      <c r="M187" s="3">
        <v>655.83</v>
      </c>
      <c r="N187" t="s">
        <v>52</v>
      </c>
      <c r="O187" t="s">
        <v>53</v>
      </c>
      <c r="P187" t="s">
        <v>53</v>
      </c>
      <c r="Q187" t="s">
        <v>53</v>
      </c>
      <c r="R187" t="s">
        <v>54</v>
      </c>
      <c r="S187" t="s">
        <v>54</v>
      </c>
      <c r="T187" t="s">
        <v>55</v>
      </c>
      <c r="U187">
        <v>126</v>
      </c>
      <c r="V187" t="s">
        <v>56</v>
      </c>
      <c r="W187" t="s">
        <v>178</v>
      </c>
      <c r="X187" s="4">
        <v>0</v>
      </c>
      <c r="Y187" t="s">
        <v>62</v>
      </c>
    </row>
    <row r="188" spans="1:47" x14ac:dyDescent="0.25">
      <c r="A188" t="s">
        <v>63</v>
      </c>
      <c r="B188" s="1">
        <v>0</v>
      </c>
      <c r="C188">
        <v>0</v>
      </c>
      <c r="D188" s="3">
        <v>1041</v>
      </c>
      <c r="E188" s="2">
        <v>0</v>
      </c>
      <c r="F188">
        <v>0</v>
      </c>
      <c r="G188" s="3">
        <v>1000</v>
      </c>
      <c r="H188" s="3" t="s">
        <v>54</v>
      </c>
      <c r="I188" s="3" t="s">
        <v>59</v>
      </c>
      <c r="K188" s="3" t="s">
        <v>60</v>
      </c>
      <c r="L188" s="3" t="s">
        <v>73</v>
      </c>
      <c r="M188" s="3">
        <v>46064.596574074072</v>
      </c>
      <c r="Q188" t="s">
        <v>54</v>
      </c>
      <c r="R188">
        <v>0</v>
      </c>
      <c r="T188" t="s">
        <v>54</v>
      </c>
      <c r="U188" t="s">
        <v>54</v>
      </c>
      <c r="V188">
        <v>7376</v>
      </c>
      <c r="W188" t="s">
        <v>55</v>
      </c>
      <c r="X188" s="4"/>
      <c r="Z188" s="3"/>
      <c r="AD188" s="3"/>
      <c r="AE188" s="3"/>
      <c r="AK188" s="5"/>
    </row>
    <row r="189" spans="1:47" x14ac:dyDescent="0.25">
      <c r="A189" t="s">
        <v>47</v>
      </c>
      <c r="B189" s="1">
        <v>38546</v>
      </c>
      <c r="C189" t="s">
        <v>48</v>
      </c>
      <c r="D189" t="s">
        <v>49</v>
      </c>
      <c r="E189" s="2">
        <v>46064</v>
      </c>
      <c r="F189" t="s">
        <v>118</v>
      </c>
      <c r="G189" t="s">
        <v>119</v>
      </c>
      <c r="H189" s="3">
        <v>1685.25</v>
      </c>
      <c r="I189" s="3">
        <v>1685.25</v>
      </c>
      <c r="J189">
        <v>0</v>
      </c>
      <c r="K189" s="3">
        <v>1938.04</v>
      </c>
      <c r="L189" s="3">
        <v>262.43</v>
      </c>
      <c r="M189" s="3">
        <v>150.9</v>
      </c>
      <c r="N189" t="s">
        <v>77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83</v>
      </c>
      <c r="W189" t="s">
        <v>85</v>
      </c>
      <c r="X189" s="4">
        <v>0</v>
      </c>
      <c r="Y189" t="s">
        <v>58</v>
      </c>
      <c r="Z189">
        <v>0</v>
      </c>
      <c r="AA189">
        <v>0</v>
      </c>
      <c r="AB189">
        <v>262.43</v>
      </c>
      <c r="AC189">
        <v>0</v>
      </c>
      <c r="AD189" s="3">
        <v>0</v>
      </c>
      <c r="AE189" s="3">
        <v>75</v>
      </c>
      <c r="AF189" t="s">
        <v>54</v>
      </c>
      <c r="AG189" t="s">
        <v>59</v>
      </c>
      <c r="AI189" t="s">
        <v>80</v>
      </c>
      <c r="AJ189" t="s">
        <v>73</v>
      </c>
      <c r="AK189" s="5">
        <v>46064.552233796298</v>
      </c>
      <c r="AO189" t="s">
        <v>54</v>
      </c>
      <c r="AP189">
        <v>0</v>
      </c>
      <c r="AR189" t="s">
        <v>54</v>
      </c>
      <c r="AS189" t="s">
        <v>54</v>
      </c>
      <c r="AT189">
        <v>4900</v>
      </c>
      <c r="AU189" t="s">
        <v>55</v>
      </c>
    </row>
    <row r="190" spans="1:47" x14ac:dyDescent="0.25">
      <c r="A190" t="s">
        <v>47</v>
      </c>
      <c r="B190" s="1">
        <v>38547</v>
      </c>
      <c r="C190" t="s">
        <v>48</v>
      </c>
      <c r="D190" s="3" t="s">
        <v>49</v>
      </c>
      <c r="E190" s="2">
        <v>46064</v>
      </c>
      <c r="F190" t="s">
        <v>118</v>
      </c>
      <c r="G190" t="s">
        <v>119</v>
      </c>
      <c r="H190" s="3">
        <v>1685.25</v>
      </c>
      <c r="I190" s="3">
        <v>1685.25</v>
      </c>
      <c r="J190">
        <v>0</v>
      </c>
      <c r="K190" s="3">
        <v>1938.04</v>
      </c>
      <c r="L190" s="3">
        <v>262.43</v>
      </c>
      <c r="M190" s="3">
        <v>150.9</v>
      </c>
      <c r="N190" t="s">
        <v>77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83</v>
      </c>
      <c r="W190" t="s">
        <v>85</v>
      </c>
      <c r="X190" s="4">
        <v>0</v>
      </c>
      <c r="Y190" t="s">
        <v>58</v>
      </c>
      <c r="Z190">
        <v>0</v>
      </c>
      <c r="AA190">
        <v>0</v>
      </c>
      <c r="AB190">
        <v>262.43</v>
      </c>
      <c r="AC190">
        <v>0</v>
      </c>
      <c r="AD190" s="3">
        <v>0</v>
      </c>
      <c r="AE190" s="3">
        <v>75</v>
      </c>
      <c r="AF190" t="s">
        <v>54</v>
      </c>
      <c r="AG190" t="s">
        <v>59</v>
      </c>
      <c r="AI190" t="s">
        <v>80</v>
      </c>
      <c r="AJ190" t="s">
        <v>73</v>
      </c>
      <c r="AK190" s="5">
        <v>46064.552372685182</v>
      </c>
      <c r="AO190" t="s">
        <v>54</v>
      </c>
      <c r="AP190">
        <v>0</v>
      </c>
      <c r="AR190" t="s">
        <v>54</v>
      </c>
      <c r="AS190" t="s">
        <v>54</v>
      </c>
      <c r="AT190">
        <v>4900</v>
      </c>
      <c r="AU190" t="s">
        <v>55</v>
      </c>
    </row>
    <row r="191" spans="1:47" x14ac:dyDescent="0.25">
      <c r="A191" t="s">
        <v>96</v>
      </c>
      <c r="B191" s="1">
        <v>38548</v>
      </c>
      <c r="C191" t="s">
        <v>48</v>
      </c>
      <c r="D191" t="s">
        <v>49</v>
      </c>
      <c r="E191" s="2">
        <v>46064</v>
      </c>
      <c r="F191" t="s">
        <v>120</v>
      </c>
      <c r="G191" t="s">
        <v>69</v>
      </c>
      <c r="H191" s="3">
        <v>8798</v>
      </c>
      <c r="I191" s="3">
        <v>8798</v>
      </c>
      <c r="J191">
        <v>0</v>
      </c>
      <c r="K191" s="3">
        <v>8798</v>
      </c>
      <c r="L191" s="3">
        <v>1495.3</v>
      </c>
      <c r="M191" s="3">
        <v>702.79</v>
      </c>
      <c r="N191" t="s">
        <v>77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83</v>
      </c>
      <c r="V191" t="s">
        <v>121</v>
      </c>
      <c r="W191" t="s">
        <v>122</v>
      </c>
      <c r="X191" s="4">
        <v>0</v>
      </c>
      <c r="Y191" t="s">
        <v>58</v>
      </c>
      <c r="Z191" s="3">
        <v>0</v>
      </c>
      <c r="AA191">
        <v>0</v>
      </c>
      <c r="AB191">
        <v>0</v>
      </c>
      <c r="AC191">
        <v>0</v>
      </c>
      <c r="AD191" s="3">
        <v>1495.3</v>
      </c>
      <c r="AE191" s="3">
        <v>1700</v>
      </c>
      <c r="AF191" t="s">
        <v>54</v>
      </c>
      <c r="AG191" t="s">
        <v>59</v>
      </c>
      <c r="AH191" t="s">
        <v>79</v>
      </c>
      <c r="AI191" t="s">
        <v>73</v>
      </c>
      <c r="AJ191" t="s">
        <v>73</v>
      </c>
      <c r="AK191" s="5">
        <v>46064.574571759258</v>
      </c>
      <c r="AO191" t="s">
        <v>54</v>
      </c>
      <c r="AP191">
        <v>0</v>
      </c>
      <c r="AR191" t="s">
        <v>54</v>
      </c>
      <c r="AS191" t="s">
        <v>54</v>
      </c>
      <c r="AT191">
        <v>6081</v>
      </c>
      <c r="AU191" t="s">
        <v>55</v>
      </c>
    </row>
    <row r="192" spans="1:47" x14ac:dyDescent="0.25">
      <c r="A192" t="s">
        <v>81</v>
      </c>
      <c r="B192" s="1">
        <v>38549</v>
      </c>
      <c r="C192" t="s">
        <v>48</v>
      </c>
      <c r="D192" t="s">
        <v>49</v>
      </c>
      <c r="E192" s="2">
        <v>46064</v>
      </c>
      <c r="F192" t="s">
        <v>116</v>
      </c>
      <c r="G192" s="3" t="s">
        <v>66</v>
      </c>
      <c r="H192" s="3">
        <v>22050</v>
      </c>
      <c r="I192" s="3">
        <v>22050</v>
      </c>
      <c r="J192">
        <v>0</v>
      </c>
      <c r="K192" s="3">
        <v>22050</v>
      </c>
      <c r="L192" s="3">
        <v>6115</v>
      </c>
      <c r="M192" s="3">
        <v>2244.21</v>
      </c>
      <c r="N192" t="s">
        <v>84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9</v>
      </c>
      <c r="W192" t="s">
        <v>117</v>
      </c>
      <c r="X192" s="4">
        <v>0</v>
      </c>
      <c r="Y192" t="s">
        <v>62</v>
      </c>
      <c r="Z192" s="3"/>
      <c r="AE192" s="3"/>
      <c r="AK192" s="5"/>
    </row>
    <row r="193" spans="1:47" x14ac:dyDescent="0.25">
      <c r="A193" t="s">
        <v>63</v>
      </c>
      <c r="B193" s="1">
        <v>6115</v>
      </c>
      <c r="C193">
        <v>0</v>
      </c>
      <c r="D193" s="3">
        <v>0</v>
      </c>
      <c r="E193" s="2">
        <v>0</v>
      </c>
      <c r="F193">
        <v>0</v>
      </c>
      <c r="G193" s="3">
        <v>5000</v>
      </c>
      <c r="H193" s="3" t="s">
        <v>54</v>
      </c>
      <c r="I193" s="3" t="s">
        <v>59</v>
      </c>
      <c r="K193" s="3" t="s">
        <v>73</v>
      </c>
      <c r="L193" s="3" t="s">
        <v>73</v>
      </c>
      <c r="M193" s="3">
        <v>46064.595590277779</v>
      </c>
      <c r="Q193" t="s">
        <v>54</v>
      </c>
      <c r="R193">
        <v>0</v>
      </c>
      <c r="T193" t="s">
        <v>54</v>
      </c>
      <c r="U193" t="s">
        <v>54</v>
      </c>
      <c r="V193">
        <v>8826</v>
      </c>
      <c r="W193" t="s">
        <v>55</v>
      </c>
      <c r="X193" s="4"/>
      <c r="Z193" s="3"/>
      <c r="AE193" s="3"/>
      <c r="AK193" s="5"/>
    </row>
    <row r="194" spans="1:47" x14ac:dyDescent="0.25">
      <c r="A194" t="s">
        <v>96</v>
      </c>
      <c r="B194" s="1">
        <v>38550</v>
      </c>
      <c r="C194" t="s">
        <v>48</v>
      </c>
      <c r="D194" t="s">
        <v>49</v>
      </c>
      <c r="E194" s="2">
        <v>46064</v>
      </c>
      <c r="F194" t="s">
        <v>166</v>
      </c>
      <c r="G194" s="3" t="s">
        <v>69</v>
      </c>
      <c r="H194" s="3">
        <v>3498</v>
      </c>
      <c r="I194" s="3">
        <v>3498</v>
      </c>
      <c r="J194">
        <v>0</v>
      </c>
      <c r="K194" s="3">
        <v>3498</v>
      </c>
      <c r="L194" s="3">
        <v>547.20000000000005</v>
      </c>
      <c r="M194" s="3">
        <v>314.64</v>
      </c>
      <c r="N194" t="s">
        <v>52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126</v>
      </c>
      <c r="V194" t="s">
        <v>56</v>
      </c>
      <c r="W194" t="s">
        <v>153</v>
      </c>
      <c r="X194" s="4">
        <v>0</v>
      </c>
      <c r="Y194" t="s">
        <v>58</v>
      </c>
      <c r="Z194" s="3">
        <v>0</v>
      </c>
      <c r="AA194">
        <v>0</v>
      </c>
      <c r="AB194">
        <v>547.20000000000005</v>
      </c>
      <c r="AC194">
        <v>0</v>
      </c>
      <c r="AD194">
        <v>0</v>
      </c>
      <c r="AE194" s="3">
        <v>300</v>
      </c>
      <c r="AF194" t="s">
        <v>54</v>
      </c>
      <c r="AG194" t="s">
        <v>59</v>
      </c>
      <c r="AI194" t="s">
        <v>60</v>
      </c>
      <c r="AJ194" t="s">
        <v>60</v>
      </c>
      <c r="AK194" s="5">
        <v>46064.61445601852</v>
      </c>
      <c r="AO194" t="s">
        <v>54</v>
      </c>
      <c r="AP194">
        <v>0</v>
      </c>
      <c r="AR194" t="s">
        <v>54</v>
      </c>
      <c r="AS194" t="s">
        <v>54</v>
      </c>
      <c r="AT194">
        <v>322</v>
      </c>
      <c r="AU194" t="s">
        <v>55</v>
      </c>
    </row>
    <row r="195" spans="1:47" x14ac:dyDescent="0.25">
      <c r="A195" t="s">
        <v>96</v>
      </c>
      <c r="B195" s="1">
        <v>38551</v>
      </c>
      <c r="C195" t="s">
        <v>48</v>
      </c>
      <c r="D195" t="s">
        <v>49</v>
      </c>
      <c r="E195" s="2">
        <v>46064</v>
      </c>
      <c r="F195" t="s">
        <v>359</v>
      </c>
      <c r="G195" t="s">
        <v>69</v>
      </c>
      <c r="H195" s="3">
        <v>954</v>
      </c>
      <c r="I195" s="3">
        <v>954</v>
      </c>
      <c r="J195">
        <v>0</v>
      </c>
      <c r="K195" s="3">
        <v>954</v>
      </c>
      <c r="L195" s="3">
        <v>103.2</v>
      </c>
      <c r="M195" s="3">
        <v>40.25</v>
      </c>
      <c r="N195" t="s">
        <v>52</v>
      </c>
      <c r="O195" t="s">
        <v>54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126</v>
      </c>
      <c r="V195" t="s">
        <v>56</v>
      </c>
      <c r="W195" t="s">
        <v>95</v>
      </c>
      <c r="X195" s="4">
        <v>0</v>
      </c>
      <c r="Z195" s="3">
        <v>103.2</v>
      </c>
      <c r="AA195">
        <v>0</v>
      </c>
      <c r="AB195">
        <v>0</v>
      </c>
      <c r="AC195">
        <v>0</v>
      </c>
      <c r="AD195">
        <v>0</v>
      </c>
      <c r="AE195" s="3">
        <v>300</v>
      </c>
      <c r="AF195" t="s">
        <v>54</v>
      </c>
      <c r="AG195" t="s">
        <v>59</v>
      </c>
      <c r="AI195" t="s">
        <v>60</v>
      </c>
      <c r="AK195" s="5"/>
      <c r="AO195" t="s">
        <v>54</v>
      </c>
      <c r="AP195">
        <v>0</v>
      </c>
      <c r="AR195" t="s">
        <v>54</v>
      </c>
      <c r="AS195" t="s">
        <v>54</v>
      </c>
      <c r="AT195">
        <v>6026</v>
      </c>
      <c r="AU195" t="s">
        <v>55</v>
      </c>
    </row>
    <row r="196" spans="1:47" x14ac:dyDescent="0.25">
      <c r="A196" t="s">
        <v>47</v>
      </c>
      <c r="B196" s="1">
        <v>38552</v>
      </c>
      <c r="C196" t="s">
        <v>48</v>
      </c>
      <c r="D196" t="s">
        <v>49</v>
      </c>
      <c r="E196" s="2">
        <v>46064</v>
      </c>
      <c r="F196" t="s">
        <v>209</v>
      </c>
      <c r="G196" s="3" t="s">
        <v>119</v>
      </c>
      <c r="H196" s="3">
        <v>7174</v>
      </c>
      <c r="I196" s="3">
        <v>7174</v>
      </c>
      <c r="J196">
        <v>0</v>
      </c>
      <c r="K196" s="3">
        <v>8250.1</v>
      </c>
      <c r="L196" s="3">
        <v>1356.8</v>
      </c>
      <c r="M196" s="3">
        <v>591.17999999999995</v>
      </c>
      <c r="N196" t="s">
        <v>52</v>
      </c>
      <c r="O196" t="s">
        <v>53</v>
      </c>
      <c r="P196" t="s">
        <v>53</v>
      </c>
      <c r="Q196" t="s">
        <v>53</v>
      </c>
      <c r="R196" t="s">
        <v>54</v>
      </c>
      <c r="S196" t="s">
        <v>54</v>
      </c>
      <c r="T196" t="s">
        <v>55</v>
      </c>
      <c r="U196">
        <v>126</v>
      </c>
      <c r="V196" t="s">
        <v>56</v>
      </c>
      <c r="W196" t="s">
        <v>72</v>
      </c>
      <c r="X196" s="4">
        <v>0</v>
      </c>
      <c r="Y196" t="s">
        <v>58</v>
      </c>
      <c r="Z196" s="3">
        <v>1356.8</v>
      </c>
      <c r="AA196">
        <v>0</v>
      </c>
      <c r="AB196" s="3">
        <v>0</v>
      </c>
      <c r="AC196">
        <v>0</v>
      </c>
      <c r="AD196">
        <v>0</v>
      </c>
      <c r="AE196" s="3">
        <v>1400</v>
      </c>
      <c r="AF196" t="s">
        <v>54</v>
      </c>
      <c r="AG196" t="s">
        <v>59</v>
      </c>
      <c r="AH196" t="s">
        <v>210</v>
      </c>
      <c r="AI196" t="s">
        <v>60</v>
      </c>
      <c r="AJ196" t="s">
        <v>60</v>
      </c>
      <c r="AK196" s="5">
        <v>46064.715694444443</v>
      </c>
      <c r="AO196" t="s">
        <v>54</v>
      </c>
      <c r="AP196">
        <v>0</v>
      </c>
      <c r="AR196" t="s">
        <v>54</v>
      </c>
      <c r="AS196" t="s">
        <v>54</v>
      </c>
      <c r="AT196">
        <v>6910</v>
      </c>
      <c r="AU196" t="s">
        <v>55</v>
      </c>
    </row>
    <row r="197" spans="1:47" x14ac:dyDescent="0.25">
      <c r="A197" t="s">
        <v>96</v>
      </c>
      <c r="B197" s="1">
        <v>38553</v>
      </c>
      <c r="C197" t="s">
        <v>48</v>
      </c>
      <c r="D197" t="s">
        <v>49</v>
      </c>
      <c r="E197" s="2">
        <v>46064</v>
      </c>
      <c r="F197" t="s">
        <v>428</v>
      </c>
      <c r="G197" s="3" t="s">
        <v>191</v>
      </c>
      <c r="H197" s="3">
        <v>1140</v>
      </c>
      <c r="I197" s="3">
        <v>1140</v>
      </c>
      <c r="J197">
        <v>0</v>
      </c>
      <c r="K197" s="3">
        <v>1140</v>
      </c>
      <c r="L197">
        <v>260</v>
      </c>
      <c r="M197" s="3">
        <v>84.5</v>
      </c>
      <c r="N197" t="s">
        <v>52</v>
      </c>
      <c r="O197" t="s">
        <v>54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126</v>
      </c>
      <c r="W197" t="s">
        <v>95</v>
      </c>
      <c r="X197" s="4">
        <v>0</v>
      </c>
      <c r="Z197">
        <v>260</v>
      </c>
      <c r="AA197">
        <v>0</v>
      </c>
      <c r="AB197">
        <v>0</v>
      </c>
      <c r="AC197">
        <v>0</v>
      </c>
      <c r="AD197">
        <v>0</v>
      </c>
      <c r="AE197" s="3">
        <v>1000</v>
      </c>
      <c r="AF197" t="s">
        <v>54</v>
      </c>
      <c r="AG197" t="s">
        <v>59</v>
      </c>
      <c r="AI197" t="s">
        <v>60</v>
      </c>
      <c r="AK197" s="5"/>
      <c r="AO197" t="s">
        <v>54</v>
      </c>
      <c r="AP197">
        <v>0</v>
      </c>
      <c r="AR197" t="s">
        <v>54</v>
      </c>
      <c r="AS197" t="s">
        <v>54</v>
      </c>
      <c r="AT197">
        <v>8730</v>
      </c>
      <c r="AU197" t="s">
        <v>55</v>
      </c>
    </row>
    <row r="198" spans="1:47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s="3" t="s">
        <v>54</v>
      </c>
      <c r="I198" s="3" t="s">
        <v>59</v>
      </c>
      <c r="K198" s="3" t="s">
        <v>73</v>
      </c>
      <c r="L198" s="3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  <c r="Z198" s="3"/>
      <c r="AD198" s="3"/>
      <c r="AE198" s="3"/>
      <c r="AK198" s="5"/>
    </row>
    <row r="199" spans="1:47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 s="3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  <c r="Z199" s="3"/>
      <c r="AE199" s="3"/>
      <c r="AK199" s="5"/>
    </row>
    <row r="200" spans="1:47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s="3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  <c r="AB200" s="3"/>
      <c r="AK200" s="5"/>
    </row>
    <row r="201" spans="1:47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235</v>
      </c>
      <c r="G201" t="s">
        <v>157</v>
      </c>
      <c r="H201" s="3">
        <v>3640</v>
      </c>
      <c r="I201" s="3">
        <v>3640</v>
      </c>
      <c r="J201">
        <v>0</v>
      </c>
      <c r="K201" s="3">
        <v>3640</v>
      </c>
      <c r="L201" s="3">
        <v>904.8</v>
      </c>
      <c r="M201" s="3">
        <v>307.63</v>
      </c>
      <c r="N201" t="s">
        <v>176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177</v>
      </c>
      <c r="W201" t="s">
        <v>236</v>
      </c>
      <c r="X201" s="4">
        <v>0</v>
      </c>
      <c r="Y201" t="s">
        <v>62</v>
      </c>
      <c r="AB201" s="3"/>
      <c r="AK201" s="5"/>
    </row>
    <row r="202" spans="1:47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237</v>
      </c>
      <c r="K202" s="3" t="s">
        <v>177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88</v>
      </c>
      <c r="G203" t="s">
        <v>89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84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90</v>
      </c>
      <c r="X203" s="4">
        <v>0</v>
      </c>
      <c r="Y203" t="s">
        <v>62</v>
      </c>
      <c r="AK203" s="5"/>
    </row>
    <row r="204" spans="1:47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91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X204" s="4"/>
      <c r="AK204" s="5"/>
    </row>
    <row r="205" spans="1:47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93</v>
      </c>
      <c r="G205" t="s">
        <v>94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84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95</v>
      </c>
      <c r="X205" s="4">
        <v>0</v>
      </c>
      <c r="Y205" t="s">
        <v>62</v>
      </c>
      <c r="AB205" s="3"/>
      <c r="AD205" s="3"/>
      <c r="AE205" s="3"/>
      <c r="AK205" s="5"/>
    </row>
    <row r="206" spans="1:47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 s="3">
        <v>0</v>
      </c>
      <c r="G206" s="3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x14ac:dyDescent="0.25">
      <c r="A207" t="s">
        <v>136</v>
      </c>
      <c r="B207" s="1">
        <v>37097</v>
      </c>
      <c r="C207" t="s">
        <v>48</v>
      </c>
      <c r="D207" t="s">
        <v>49</v>
      </c>
      <c r="E207" s="2">
        <v>45713</v>
      </c>
      <c r="F207" t="s">
        <v>238</v>
      </c>
      <c r="G207" s="3" t="s">
        <v>239</v>
      </c>
      <c r="H207" s="3">
        <v>5220</v>
      </c>
      <c r="I207" s="3">
        <v>5220</v>
      </c>
      <c r="J207">
        <v>0</v>
      </c>
      <c r="K207" s="3">
        <v>5220</v>
      </c>
      <c r="L207" s="3">
        <v>853</v>
      </c>
      <c r="M207" s="3">
        <v>507.54</v>
      </c>
      <c r="N207" t="s">
        <v>84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164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x14ac:dyDescent="0.25">
      <c r="A208" t="s">
        <v>136</v>
      </c>
      <c r="B208" s="1">
        <v>37098</v>
      </c>
      <c r="C208" t="s">
        <v>48</v>
      </c>
      <c r="D208" t="s">
        <v>49</v>
      </c>
      <c r="E208" s="2">
        <v>45713</v>
      </c>
      <c r="F208" s="3" t="s">
        <v>238</v>
      </c>
      <c r="G208" s="3" t="s">
        <v>239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84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164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x14ac:dyDescent="0.25">
      <c r="A209" t="s">
        <v>136</v>
      </c>
      <c r="B209" s="1">
        <v>37099</v>
      </c>
      <c r="C209" t="s">
        <v>48</v>
      </c>
      <c r="D209" t="s">
        <v>49</v>
      </c>
      <c r="E209" s="2">
        <v>45713</v>
      </c>
      <c r="F209" t="s">
        <v>240</v>
      </c>
      <c r="G209" s="3" t="s">
        <v>239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177</v>
      </c>
      <c r="W209" t="s">
        <v>164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177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101</v>
      </c>
      <c r="G210" s="3" t="s">
        <v>94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84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102</v>
      </c>
      <c r="X210" s="4">
        <v>0</v>
      </c>
      <c r="Y210" t="s">
        <v>58</v>
      </c>
      <c r="Z210" s="3">
        <v>28885</v>
      </c>
      <c r="AA210">
        <v>0</v>
      </c>
      <c r="AB210" s="3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103</v>
      </c>
      <c r="AI210" t="s">
        <v>92</v>
      </c>
      <c r="AJ210" t="s">
        <v>92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x14ac:dyDescent="0.25">
      <c r="A211" t="s">
        <v>96</v>
      </c>
      <c r="B211" s="1">
        <v>37102</v>
      </c>
      <c r="C211" t="s">
        <v>48</v>
      </c>
      <c r="D211" t="s">
        <v>49</v>
      </c>
      <c r="E211" s="2">
        <v>45714</v>
      </c>
      <c r="F211" t="s">
        <v>407</v>
      </c>
      <c r="G211" s="3" t="s">
        <v>89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195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204</v>
      </c>
      <c r="W211" t="s">
        <v>408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149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209</v>
      </c>
      <c r="G212" t="s">
        <v>119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176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177</v>
      </c>
      <c r="W212" t="s">
        <v>117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210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209</v>
      </c>
      <c r="G213" s="3" t="s">
        <v>119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176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177</v>
      </c>
      <c r="W213" t="s">
        <v>117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210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241</v>
      </c>
      <c r="G214" t="s">
        <v>242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84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Z214" s="3"/>
      <c r="AE214" s="3"/>
      <c r="AK214" s="5"/>
    </row>
    <row r="215" spans="1:47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x14ac:dyDescent="0.25">
      <c r="A216" t="s">
        <v>47</v>
      </c>
      <c r="B216" s="1">
        <v>37106</v>
      </c>
      <c r="C216" s="3" t="s">
        <v>48</v>
      </c>
      <c r="D216" t="s">
        <v>49</v>
      </c>
      <c r="E216" s="2">
        <v>45715</v>
      </c>
      <c r="F216" t="s">
        <v>241</v>
      </c>
      <c r="G216" s="3" t="s">
        <v>242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84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x14ac:dyDescent="0.25">
      <c r="A217" t="s">
        <v>58</v>
      </c>
      <c r="B217" s="3">
        <v>3988.75</v>
      </c>
      <c r="C217">
        <v>0</v>
      </c>
      <c r="D217">
        <v>0</v>
      </c>
      <c r="E217" s="2">
        <v>0</v>
      </c>
      <c r="F217">
        <v>431</v>
      </c>
      <c r="G217" s="3">
        <v>11750</v>
      </c>
      <c r="H217" s="3" t="s">
        <v>54</v>
      </c>
      <c r="I217" s="3" t="s">
        <v>59</v>
      </c>
      <c r="K217" s="3" t="s">
        <v>73</v>
      </c>
      <c r="L217" s="3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  <c r="X217" s="4"/>
      <c r="AA217" s="3"/>
      <c r="AE217" s="3"/>
      <c r="AK217" s="5"/>
    </row>
    <row r="218" spans="1:47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161</v>
      </c>
      <c r="G218" t="s">
        <v>109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162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243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114</v>
      </c>
      <c r="X219" s="4">
        <v>0</v>
      </c>
      <c r="Y219" t="s">
        <v>62</v>
      </c>
    </row>
    <row r="220" spans="1:47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  <c r="AB220" s="3"/>
      <c r="AE220" s="3"/>
      <c r="AK220" s="5"/>
    </row>
    <row r="221" spans="1:47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244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  <c r="AB221" s="3"/>
      <c r="AE221" s="3"/>
      <c r="AK221" s="5"/>
    </row>
    <row r="222" spans="1:47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  <c r="AE222" s="3"/>
      <c r="AK222" s="5"/>
    </row>
    <row r="223" spans="1:47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x14ac:dyDescent="0.25">
      <c r="A225" t="s">
        <v>96</v>
      </c>
      <c r="B225" s="1">
        <v>37116</v>
      </c>
      <c r="C225" t="s">
        <v>48</v>
      </c>
      <c r="D225" t="s">
        <v>49</v>
      </c>
      <c r="E225" s="2">
        <v>45721</v>
      </c>
      <c r="F225" t="s">
        <v>245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176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177</v>
      </c>
      <c r="W225" t="s">
        <v>153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s="3" t="s">
        <v>108</v>
      </c>
      <c r="G226" s="3" t="s">
        <v>109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84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110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92</v>
      </c>
      <c r="AJ226" t="s">
        <v>92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246</v>
      </c>
      <c r="G227" s="3" t="s">
        <v>94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106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146</v>
      </c>
      <c r="W227" t="s">
        <v>134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218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101</v>
      </c>
      <c r="G228" t="s">
        <v>94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84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102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103</v>
      </c>
      <c r="AI228" t="s">
        <v>92</v>
      </c>
      <c r="AJ228" t="s">
        <v>92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174</v>
      </c>
      <c r="G229" s="3" t="s">
        <v>113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173</v>
      </c>
      <c r="X229" s="4">
        <v>0</v>
      </c>
      <c r="Y229" t="s">
        <v>62</v>
      </c>
      <c r="AK229" s="5"/>
    </row>
    <row r="230" spans="1:47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92</v>
      </c>
      <c r="L230" s="3" t="s">
        <v>92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  <c r="AK230" s="5"/>
    </row>
    <row r="231" spans="1:47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101</v>
      </c>
      <c r="G231" s="3" t="s">
        <v>94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84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102</v>
      </c>
      <c r="X231" s="4">
        <v>0</v>
      </c>
      <c r="Y231" t="s">
        <v>58</v>
      </c>
      <c r="Z231" s="3">
        <v>4995.88</v>
      </c>
      <c r="AA231">
        <v>0</v>
      </c>
      <c r="AB231" s="3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103</v>
      </c>
      <c r="AI231" t="s">
        <v>92</v>
      </c>
      <c r="AJ231" t="s">
        <v>92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x14ac:dyDescent="0.25">
      <c r="A232" t="s">
        <v>96</v>
      </c>
      <c r="B232" s="1">
        <v>37129</v>
      </c>
      <c r="C232" t="s">
        <v>48</v>
      </c>
      <c r="D232" t="s">
        <v>49</v>
      </c>
      <c r="E232" s="2">
        <v>45723</v>
      </c>
      <c r="F232" t="s">
        <v>247</v>
      </c>
      <c r="G232" t="s">
        <v>94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106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146</v>
      </c>
      <c r="W232" t="s">
        <v>162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218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221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106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146</v>
      </c>
      <c r="W233">
        <v>10</v>
      </c>
      <c r="X233" s="4">
        <v>0</v>
      </c>
      <c r="Y233" t="s">
        <v>62</v>
      </c>
      <c r="AE233" s="3"/>
      <c r="AK233" s="5"/>
    </row>
    <row r="234" spans="1:47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218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150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84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150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84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150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84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150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 s="3">
        <v>131.96</v>
      </c>
      <c r="M238" s="3">
        <v>98.71</v>
      </c>
      <c r="N238" t="s">
        <v>84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 s="3">
        <v>131.96</v>
      </c>
      <c r="AC238">
        <v>0</v>
      </c>
      <c r="AD238">
        <v>0</v>
      </c>
      <c r="AE238" s="3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x14ac:dyDescent="0.25">
      <c r="A239" t="s">
        <v>96</v>
      </c>
      <c r="B239" s="1">
        <v>37135</v>
      </c>
      <c r="C239" t="s">
        <v>48</v>
      </c>
      <c r="D239" t="s">
        <v>49</v>
      </c>
      <c r="E239" s="2">
        <v>45726</v>
      </c>
      <c r="F239" t="s">
        <v>183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134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111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176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177</v>
      </c>
      <c r="W240" t="s">
        <v>95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111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176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177</v>
      </c>
      <c r="W241" t="s">
        <v>95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x14ac:dyDescent="0.25">
      <c r="A242" t="s">
        <v>136</v>
      </c>
      <c r="B242" s="1">
        <v>37138</v>
      </c>
      <c r="C242" t="s">
        <v>48</v>
      </c>
      <c r="D242" t="s">
        <v>49</v>
      </c>
      <c r="E242" s="2">
        <v>45727</v>
      </c>
      <c r="F242" t="s">
        <v>240</v>
      </c>
      <c r="G242" t="s">
        <v>239</v>
      </c>
      <c r="H242" s="3">
        <v>1672</v>
      </c>
      <c r="I242" s="3">
        <v>1672</v>
      </c>
      <c r="J242">
        <v>0</v>
      </c>
      <c r="K242" s="3">
        <v>1672</v>
      </c>
      <c r="L242" s="3">
        <v>266</v>
      </c>
      <c r="M242" s="3">
        <v>119.17</v>
      </c>
      <c r="N242" t="s">
        <v>176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177</v>
      </c>
      <c r="W242" t="s">
        <v>164</v>
      </c>
      <c r="X242" s="4">
        <v>0</v>
      </c>
      <c r="Y242" t="s">
        <v>58</v>
      </c>
      <c r="Z242" s="3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x14ac:dyDescent="0.25">
      <c r="A243" t="s">
        <v>136</v>
      </c>
      <c r="B243" s="1">
        <v>37139</v>
      </c>
      <c r="C243" t="s">
        <v>48</v>
      </c>
      <c r="D243" t="s">
        <v>49</v>
      </c>
      <c r="E243" s="2">
        <v>45727</v>
      </c>
      <c r="F243" t="s">
        <v>240</v>
      </c>
      <c r="G243" t="s">
        <v>239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176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177</v>
      </c>
      <c r="W243" t="s">
        <v>164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x14ac:dyDescent="0.25">
      <c r="A244" t="s">
        <v>136</v>
      </c>
      <c r="B244" s="1">
        <v>37140</v>
      </c>
      <c r="C244" t="s">
        <v>48</v>
      </c>
      <c r="D244" t="s">
        <v>49</v>
      </c>
      <c r="E244" s="2">
        <v>45727</v>
      </c>
      <c r="F244" t="s">
        <v>240</v>
      </c>
      <c r="G244" t="s">
        <v>239</v>
      </c>
      <c r="H244" s="3">
        <v>1254</v>
      </c>
      <c r="I244" s="3">
        <v>1254</v>
      </c>
      <c r="J244">
        <v>0</v>
      </c>
      <c r="K244" s="3">
        <v>1254</v>
      </c>
      <c r="L244" s="3">
        <v>199.5</v>
      </c>
      <c r="M244" s="3">
        <v>89.38</v>
      </c>
      <c r="N244" t="s">
        <v>176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177</v>
      </c>
      <c r="W244" t="s">
        <v>164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x14ac:dyDescent="0.25">
      <c r="A245" t="s">
        <v>136</v>
      </c>
      <c r="B245" s="1">
        <v>37141</v>
      </c>
      <c r="C245" t="s">
        <v>48</v>
      </c>
      <c r="D245" s="3" t="s">
        <v>49</v>
      </c>
      <c r="E245" s="2">
        <v>45727</v>
      </c>
      <c r="F245" t="s">
        <v>240</v>
      </c>
      <c r="G245" s="3" t="s">
        <v>239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176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177</v>
      </c>
      <c r="W245" t="s">
        <v>164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244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150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84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112</v>
      </c>
      <c r="G249" t="s">
        <v>113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115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150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84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150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84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150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84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155</v>
      </c>
      <c r="G253" t="s">
        <v>89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106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85</v>
      </c>
      <c r="X253" s="4"/>
      <c r="Y253" t="s">
        <v>62</v>
      </c>
      <c r="Z253" s="3"/>
      <c r="AE253" s="3"/>
      <c r="AK253" s="5"/>
    </row>
    <row r="254" spans="1:47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248</v>
      </c>
      <c r="X254" s="4"/>
      <c r="Z254" s="3"/>
      <c r="AE254" s="3"/>
      <c r="AK254" s="5"/>
    </row>
    <row r="255" spans="1:47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249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153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179</v>
      </c>
      <c r="G256" t="s">
        <v>94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106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146</v>
      </c>
      <c r="W256" t="s">
        <v>107</v>
      </c>
      <c r="X256" s="4">
        <v>0</v>
      </c>
      <c r="Y256" t="s">
        <v>62</v>
      </c>
      <c r="Z256" s="3"/>
      <c r="AB256" s="3"/>
      <c r="AE256" s="3"/>
      <c r="AK256" s="5"/>
    </row>
    <row r="257" spans="1:47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144</v>
      </c>
      <c r="K257" s="3" t="s">
        <v>218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150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84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186</v>
      </c>
      <c r="G259" s="3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84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192</v>
      </c>
      <c r="X259" s="4">
        <v>0</v>
      </c>
      <c r="Y259" t="s">
        <v>62</v>
      </c>
      <c r="Z259" s="3"/>
      <c r="AE259" s="3"/>
      <c r="AK259" s="5"/>
    </row>
    <row r="260" spans="1:47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s="3" t="s">
        <v>54</v>
      </c>
      <c r="I260" s="3" t="s">
        <v>59</v>
      </c>
      <c r="K260" s="3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E260" s="3"/>
      <c r="AK260" s="5"/>
    </row>
    <row r="261" spans="1:47" x14ac:dyDescent="0.25">
      <c r="A261" t="s">
        <v>96</v>
      </c>
      <c r="B261" s="1">
        <v>37165</v>
      </c>
      <c r="C261" t="s">
        <v>48</v>
      </c>
      <c r="D261" t="s">
        <v>49</v>
      </c>
      <c r="E261" s="2">
        <v>45730</v>
      </c>
      <c r="F261" t="s">
        <v>250</v>
      </c>
      <c r="G261" t="s">
        <v>251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202</v>
      </c>
      <c r="X261" s="4">
        <v>0</v>
      </c>
      <c r="Y261" t="s">
        <v>62</v>
      </c>
      <c r="Z261" s="3"/>
      <c r="AE261" s="3"/>
      <c r="AK261" s="5"/>
    </row>
    <row r="262" spans="1:47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92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101</v>
      </c>
      <c r="G263" t="s">
        <v>94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84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102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 s="3">
        <v>0</v>
      </c>
      <c r="AE263" s="3">
        <v>7000</v>
      </c>
      <c r="AF263" t="s">
        <v>54</v>
      </c>
      <c r="AG263" t="s">
        <v>59</v>
      </c>
      <c r="AH263" t="s">
        <v>103</v>
      </c>
      <c r="AI263" t="s">
        <v>92</v>
      </c>
      <c r="AJ263" t="s">
        <v>92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101</v>
      </c>
      <c r="G264" t="s">
        <v>94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84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102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103</v>
      </c>
      <c r="AI264" t="s">
        <v>92</v>
      </c>
      <c r="AJ264" t="s">
        <v>92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174</v>
      </c>
      <c r="G265" t="s">
        <v>113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173</v>
      </c>
      <c r="X265" s="4">
        <v>0</v>
      </c>
      <c r="Y265" t="s">
        <v>62</v>
      </c>
      <c r="Z265" s="3"/>
      <c r="AE265" s="3"/>
      <c r="AK265" s="5"/>
    </row>
    <row r="266" spans="1:47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92</v>
      </c>
      <c r="L266" t="s">
        <v>92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252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84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95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216</v>
      </c>
      <c r="G268" t="s">
        <v>89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195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95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248</v>
      </c>
    </row>
    <row r="269" spans="1:47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s="3" t="s">
        <v>253</v>
      </c>
      <c r="G269" s="3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192</v>
      </c>
      <c r="X269" s="4">
        <v>0</v>
      </c>
      <c r="Y269" t="s">
        <v>62</v>
      </c>
      <c r="AE269" s="3"/>
      <c r="AK269" s="5"/>
    </row>
    <row r="270" spans="1:47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92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B270" s="3"/>
      <c r="AE270" s="3"/>
      <c r="AK270" s="5"/>
    </row>
    <row r="271" spans="1:47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213</v>
      </c>
      <c r="G271" t="s">
        <v>138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84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143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92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248</v>
      </c>
    </row>
    <row r="272" spans="1:47" x14ac:dyDescent="0.25">
      <c r="A272" t="s">
        <v>47</v>
      </c>
      <c r="B272" s="1">
        <v>37181</v>
      </c>
      <c r="C272" t="s">
        <v>48</v>
      </c>
      <c r="D272" s="3" t="s">
        <v>49</v>
      </c>
      <c r="E272" s="2">
        <v>45735</v>
      </c>
      <c r="F272" t="s">
        <v>243</v>
      </c>
      <c r="G272" s="3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114</v>
      </c>
      <c r="X272" s="4">
        <v>0</v>
      </c>
      <c r="Y272" t="s">
        <v>62</v>
      </c>
      <c r="Z272" s="3"/>
      <c r="AE272" s="3"/>
      <c r="AK272" s="5"/>
    </row>
    <row r="273" spans="1:47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92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x14ac:dyDescent="0.25">
      <c r="A274" t="s">
        <v>47</v>
      </c>
      <c r="B274" s="1">
        <v>37182</v>
      </c>
      <c r="C274" t="s">
        <v>48</v>
      </c>
      <c r="D274" s="3" t="s">
        <v>49</v>
      </c>
      <c r="E274" s="2">
        <v>45736</v>
      </c>
      <c r="F274" t="s">
        <v>155</v>
      </c>
      <c r="G274" s="3" t="s">
        <v>89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106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146</v>
      </c>
      <c r="W274" t="s">
        <v>85</v>
      </c>
      <c r="X274" s="4">
        <v>0</v>
      </c>
      <c r="Y274" t="s">
        <v>62</v>
      </c>
      <c r="Z274" s="3"/>
      <c r="AE274" s="3"/>
      <c r="AK274" s="5"/>
    </row>
    <row r="275" spans="1:47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149</v>
      </c>
      <c r="K275" s="3" t="s">
        <v>218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254</v>
      </c>
      <c r="G276" t="s">
        <v>94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106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146</v>
      </c>
      <c r="W276" t="s">
        <v>95</v>
      </c>
      <c r="X276" s="4">
        <v>0</v>
      </c>
      <c r="Y276" t="s">
        <v>62</v>
      </c>
      <c r="Z276" s="3"/>
      <c r="AA276" s="3"/>
      <c r="AE276" s="3"/>
      <c r="AK276" s="5"/>
    </row>
    <row r="277" spans="1:47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218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255</v>
      </c>
      <c r="G278" s="3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256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134</v>
      </c>
      <c r="X280" s="4">
        <v>0</v>
      </c>
      <c r="Y280" t="s">
        <v>62</v>
      </c>
      <c r="AE280" s="3"/>
      <c r="AK280" s="5"/>
    </row>
    <row r="281" spans="1:47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 s="3">
        <v>427.2</v>
      </c>
      <c r="G281" s="3">
        <v>845</v>
      </c>
      <c r="H281" s="3" t="s">
        <v>54</v>
      </c>
      <c r="I281" s="3" t="s">
        <v>59</v>
      </c>
      <c r="K281" s="3" t="s">
        <v>80</v>
      </c>
      <c r="L281" s="3" t="s">
        <v>92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206</v>
      </c>
      <c r="G282" t="s">
        <v>124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92</v>
      </c>
      <c r="AJ282" t="s">
        <v>92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206</v>
      </c>
      <c r="G283" s="3" t="s">
        <v>124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92</v>
      </c>
      <c r="AJ283" t="s">
        <v>92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206</v>
      </c>
      <c r="G284" t="s">
        <v>124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92</v>
      </c>
      <c r="AJ284" t="s">
        <v>92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206</v>
      </c>
      <c r="G285" s="3" t="s">
        <v>124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92</v>
      </c>
      <c r="AJ285" t="s">
        <v>92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101</v>
      </c>
      <c r="G286" t="s">
        <v>94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84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102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103</v>
      </c>
      <c r="AI286" t="s">
        <v>92</v>
      </c>
      <c r="AJ286" t="s">
        <v>92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s="3" t="s">
        <v>171</v>
      </c>
      <c r="G287" s="3" t="s">
        <v>172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173</v>
      </c>
      <c r="X287" s="4">
        <v>0</v>
      </c>
      <c r="Y287" t="s">
        <v>62</v>
      </c>
      <c r="Z287" s="3"/>
      <c r="AE287" s="3"/>
      <c r="AK287" s="5"/>
    </row>
    <row r="288" spans="1:47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257</v>
      </c>
      <c r="G289" t="s">
        <v>109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134</v>
      </c>
      <c r="X289" s="4">
        <v>0</v>
      </c>
      <c r="Y289" t="s">
        <v>62</v>
      </c>
      <c r="AE289" s="3"/>
      <c r="AK289" s="5"/>
    </row>
    <row r="290" spans="1:47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92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x14ac:dyDescent="0.25">
      <c r="A291" t="s">
        <v>96</v>
      </c>
      <c r="B291" s="1">
        <v>37200</v>
      </c>
      <c r="C291" t="s">
        <v>48</v>
      </c>
      <c r="D291" t="s">
        <v>49</v>
      </c>
      <c r="E291" s="2">
        <v>45740</v>
      </c>
      <c r="F291" t="s">
        <v>205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 s="3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95</v>
      </c>
      <c r="X291" s="4">
        <v>0</v>
      </c>
      <c r="Y291" t="s">
        <v>58</v>
      </c>
      <c r="Z291" s="3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165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93</v>
      </c>
      <c r="G292" t="s">
        <v>94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84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95</v>
      </c>
      <c r="X292" s="4">
        <v>0</v>
      </c>
      <c r="Y292" t="s">
        <v>62</v>
      </c>
      <c r="Z292" s="3"/>
      <c r="AD292" s="3"/>
      <c r="AE292" s="3"/>
      <c r="AK292" s="5"/>
    </row>
    <row r="293" spans="1:47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s="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Z293" s="3"/>
      <c r="AE293" s="3"/>
      <c r="AK293" s="5"/>
    </row>
    <row r="294" spans="1:47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101</v>
      </c>
      <c r="G294" t="s">
        <v>94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84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102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103</v>
      </c>
      <c r="AI294" t="s">
        <v>92</v>
      </c>
      <c r="AJ294" t="s">
        <v>92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101</v>
      </c>
      <c r="G295" t="s">
        <v>94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84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102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103</v>
      </c>
      <c r="AI295" t="s">
        <v>92</v>
      </c>
      <c r="AJ295" t="s">
        <v>92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258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259</v>
      </c>
      <c r="X296" s="4">
        <v>0</v>
      </c>
      <c r="Y296" t="s">
        <v>62</v>
      </c>
      <c r="Z296" s="3"/>
      <c r="AE296" s="3"/>
      <c r="AK296" s="5"/>
    </row>
    <row r="297" spans="1:47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260</v>
      </c>
      <c r="G298" t="s">
        <v>138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176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177</v>
      </c>
      <c r="W298" t="s">
        <v>95</v>
      </c>
      <c r="X298" s="4">
        <v>0</v>
      </c>
      <c r="Y298" t="s">
        <v>62</v>
      </c>
      <c r="Z298" s="3"/>
      <c r="AB298" s="3"/>
      <c r="AE298" s="3"/>
      <c r="AK298" s="5"/>
    </row>
    <row r="299" spans="1:47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177</v>
      </c>
      <c r="L299" s="3" t="s">
        <v>92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x14ac:dyDescent="0.25">
      <c r="A300" t="s">
        <v>47</v>
      </c>
      <c r="B300" s="1">
        <v>37209</v>
      </c>
      <c r="C300" t="s">
        <v>48</v>
      </c>
      <c r="D300" s="3" t="s">
        <v>49</v>
      </c>
      <c r="E300" s="2">
        <v>45742</v>
      </c>
      <c r="F300" t="s">
        <v>174</v>
      </c>
      <c r="G300" s="3" t="s">
        <v>113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173</v>
      </c>
      <c r="X300" s="4">
        <v>0</v>
      </c>
      <c r="Y300" t="s">
        <v>62</v>
      </c>
      <c r="Z300" s="3"/>
      <c r="AE300" s="3"/>
      <c r="AK300" s="5"/>
    </row>
    <row r="301" spans="1:47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92</v>
      </c>
      <c r="L301" s="3" t="s">
        <v>92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176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248</v>
      </c>
    </row>
    <row r="303" spans="1:47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101</v>
      </c>
      <c r="G303" t="s">
        <v>94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84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102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103</v>
      </c>
      <c r="AI303" t="s">
        <v>92</v>
      </c>
      <c r="AJ303" t="s">
        <v>92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x14ac:dyDescent="0.25">
      <c r="A304" t="s">
        <v>47</v>
      </c>
      <c r="B304" s="1">
        <v>37212</v>
      </c>
      <c r="C304" t="s">
        <v>48</v>
      </c>
      <c r="D304" s="3" t="s">
        <v>49</v>
      </c>
      <c r="E304" s="2">
        <v>45743</v>
      </c>
      <c r="F304" t="s">
        <v>161</v>
      </c>
      <c r="G304" s="3" t="s">
        <v>109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162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x14ac:dyDescent="0.25">
      <c r="A305" t="s">
        <v>96</v>
      </c>
      <c r="B305" s="1">
        <v>37213</v>
      </c>
      <c r="C305" t="s">
        <v>48</v>
      </c>
      <c r="D305" t="s">
        <v>49</v>
      </c>
      <c r="E305" s="2">
        <v>45743</v>
      </c>
      <c r="F305" t="s">
        <v>151</v>
      </c>
      <c r="G305" t="s">
        <v>152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153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x14ac:dyDescent="0.25">
      <c r="A306" t="s">
        <v>47</v>
      </c>
      <c r="B306" s="1">
        <v>37219</v>
      </c>
      <c r="C306" t="s">
        <v>48</v>
      </c>
      <c r="D306" s="3" t="s">
        <v>49</v>
      </c>
      <c r="E306" s="2">
        <v>45744</v>
      </c>
      <c r="F306" t="s">
        <v>126</v>
      </c>
      <c r="G306" s="3" t="s">
        <v>89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84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95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126</v>
      </c>
      <c r="G307" t="s">
        <v>89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84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95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x14ac:dyDescent="0.25">
      <c r="A308" t="s">
        <v>47</v>
      </c>
      <c r="B308" s="1">
        <v>37222</v>
      </c>
      <c r="C308" t="s">
        <v>48</v>
      </c>
      <c r="D308" s="3" t="s">
        <v>49</v>
      </c>
      <c r="E308" s="2">
        <v>45744</v>
      </c>
      <c r="F308" t="s">
        <v>161</v>
      </c>
      <c r="G308" s="3" t="s">
        <v>109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162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x14ac:dyDescent="0.25">
      <c r="A309" t="s">
        <v>96</v>
      </c>
      <c r="B309" s="1">
        <v>37224</v>
      </c>
      <c r="C309" t="s">
        <v>48</v>
      </c>
      <c r="D309" t="s">
        <v>49</v>
      </c>
      <c r="E309" s="2">
        <v>45747</v>
      </c>
      <c r="F309" t="s">
        <v>145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106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146</v>
      </c>
      <c r="W309" t="s">
        <v>85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x14ac:dyDescent="0.25">
      <c r="A310" t="s">
        <v>96</v>
      </c>
      <c r="B310" s="1">
        <v>37225</v>
      </c>
      <c r="C310" t="s">
        <v>48</v>
      </c>
      <c r="D310" t="s">
        <v>49</v>
      </c>
      <c r="E310" s="2">
        <v>45747</v>
      </c>
      <c r="F310" t="s">
        <v>208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 s="3">
        <v>499.2</v>
      </c>
      <c r="M310" s="3">
        <v>164.74</v>
      </c>
      <c r="N310" t="s">
        <v>176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85</v>
      </c>
      <c r="X310" s="4">
        <v>0</v>
      </c>
      <c r="Y310" t="s">
        <v>62</v>
      </c>
      <c r="AD310" s="3"/>
      <c r="AE310" s="3"/>
      <c r="AK310" s="5"/>
    </row>
    <row r="311" spans="1:47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177</v>
      </c>
      <c r="L311" s="3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x14ac:dyDescent="0.25">
      <c r="A312" t="s">
        <v>47</v>
      </c>
      <c r="B312" s="1">
        <v>37226</v>
      </c>
      <c r="C312" t="s">
        <v>48</v>
      </c>
      <c r="D312" s="3" t="s">
        <v>49</v>
      </c>
      <c r="E312" s="2">
        <v>45748</v>
      </c>
      <c r="F312" t="s">
        <v>150</v>
      </c>
      <c r="G312" s="3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84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x14ac:dyDescent="0.25">
      <c r="A313" t="s">
        <v>96</v>
      </c>
      <c r="B313" s="1">
        <v>37227</v>
      </c>
      <c r="C313" t="s">
        <v>48</v>
      </c>
      <c r="D313" t="s">
        <v>49</v>
      </c>
      <c r="E313" s="2">
        <v>45748</v>
      </c>
      <c r="F313" t="s">
        <v>407</v>
      </c>
      <c r="G313" t="s">
        <v>89</v>
      </c>
      <c r="H313" s="3">
        <v>4485</v>
      </c>
      <c r="I313" s="3">
        <v>4485</v>
      </c>
      <c r="J313">
        <v>0</v>
      </c>
      <c r="K313" s="3">
        <v>4485</v>
      </c>
      <c r="L313" s="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408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248</v>
      </c>
    </row>
    <row r="314" spans="1:47" x14ac:dyDescent="0.25">
      <c r="A314" t="s">
        <v>96</v>
      </c>
      <c r="B314" s="1">
        <v>37228</v>
      </c>
      <c r="C314" t="s">
        <v>48</v>
      </c>
      <c r="D314" t="s">
        <v>49</v>
      </c>
      <c r="E314" s="2">
        <v>45748</v>
      </c>
      <c r="F314" t="s">
        <v>261</v>
      </c>
      <c r="G314" s="3" t="s">
        <v>109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164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x14ac:dyDescent="0.25">
      <c r="A315" t="s">
        <v>136</v>
      </c>
      <c r="B315" s="1">
        <v>37232</v>
      </c>
      <c r="C315" t="s">
        <v>48</v>
      </c>
      <c r="D315" t="s">
        <v>49</v>
      </c>
      <c r="E315" s="2">
        <v>45749</v>
      </c>
      <c r="F315" t="s">
        <v>137</v>
      </c>
      <c r="G315" t="s">
        <v>138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176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177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x14ac:dyDescent="0.25">
      <c r="A317" t="s">
        <v>96</v>
      </c>
      <c r="B317" s="1">
        <v>37236</v>
      </c>
      <c r="C317" t="s">
        <v>48</v>
      </c>
      <c r="D317" t="s">
        <v>49</v>
      </c>
      <c r="E317" s="2">
        <v>45750</v>
      </c>
      <c r="F317" t="s">
        <v>262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176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177</v>
      </c>
      <c r="W317" t="s">
        <v>173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182</v>
      </c>
      <c r="AI317" t="s">
        <v>177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x14ac:dyDescent="0.25">
      <c r="A320" t="s">
        <v>136</v>
      </c>
      <c r="B320" s="1">
        <v>37240</v>
      </c>
      <c r="C320" t="s">
        <v>48</v>
      </c>
      <c r="D320" t="s">
        <v>49</v>
      </c>
      <c r="E320" s="2">
        <v>45751</v>
      </c>
      <c r="F320" t="s">
        <v>238</v>
      </c>
      <c r="G320" t="s">
        <v>239</v>
      </c>
      <c r="H320" s="3">
        <v>5740</v>
      </c>
      <c r="I320" s="3">
        <v>5740</v>
      </c>
      <c r="J320">
        <v>0</v>
      </c>
      <c r="K320" s="3">
        <v>5740</v>
      </c>
      <c r="L320" s="3">
        <v>853</v>
      </c>
      <c r="M320" s="3">
        <v>507.54</v>
      </c>
      <c r="N320" t="s">
        <v>84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164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150</v>
      </c>
      <c r="G321" s="3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84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150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84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150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84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150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84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88</v>
      </c>
      <c r="G325" t="s">
        <v>89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84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90</v>
      </c>
      <c r="X325" s="4">
        <v>0</v>
      </c>
      <c r="Y325" t="s">
        <v>62</v>
      </c>
    </row>
    <row r="326" spans="1:47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91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170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 s="3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134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x14ac:dyDescent="0.25">
      <c r="A328" t="s">
        <v>47</v>
      </c>
      <c r="B328" s="1">
        <v>37247</v>
      </c>
      <c r="C328" t="s">
        <v>48</v>
      </c>
      <c r="D328" s="3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176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177</v>
      </c>
      <c r="W328" t="s">
        <v>57</v>
      </c>
      <c r="X328" s="4">
        <v>0</v>
      </c>
      <c r="Y328" t="s">
        <v>62</v>
      </c>
      <c r="AK328" s="5"/>
    </row>
    <row r="329" spans="1:47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177</v>
      </c>
      <c r="L329" s="3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B329" s="3"/>
      <c r="AE329" s="3"/>
      <c r="AK329" s="5"/>
    </row>
    <row r="330" spans="1:47" x14ac:dyDescent="0.25">
      <c r="A330" t="s">
        <v>96</v>
      </c>
      <c r="B330" s="1">
        <v>37248</v>
      </c>
      <c r="C330" t="s">
        <v>48</v>
      </c>
      <c r="D330" t="s">
        <v>49</v>
      </c>
      <c r="E330" s="2">
        <v>45754</v>
      </c>
      <c r="F330" t="s">
        <v>407</v>
      </c>
      <c r="G330" t="s">
        <v>89</v>
      </c>
      <c r="H330" s="3">
        <v>5053</v>
      </c>
      <c r="I330" s="3">
        <v>5053</v>
      </c>
      <c r="J330">
        <v>0</v>
      </c>
      <c r="K330" s="3">
        <v>5053</v>
      </c>
      <c r="L330" s="3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408</v>
      </c>
      <c r="X330" s="4"/>
      <c r="Y330" t="s">
        <v>58</v>
      </c>
      <c r="Z330">
        <v>0</v>
      </c>
      <c r="AA330" s="3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248</v>
      </c>
    </row>
    <row r="331" spans="1:47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101</v>
      </c>
      <c r="G331" t="s">
        <v>94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84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102</v>
      </c>
      <c r="X331" s="4">
        <v>0</v>
      </c>
      <c r="Y331" t="s">
        <v>58</v>
      </c>
      <c r="Z331" s="3">
        <v>3903</v>
      </c>
      <c r="AA331">
        <v>0</v>
      </c>
      <c r="AB331" s="3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103</v>
      </c>
      <c r="AI331" t="s">
        <v>92</v>
      </c>
      <c r="AJ331" t="s">
        <v>92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263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176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95</v>
      </c>
      <c r="X332" s="4"/>
      <c r="Y332" t="s">
        <v>62</v>
      </c>
      <c r="AK332" s="5"/>
    </row>
    <row r="333" spans="1:47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248</v>
      </c>
      <c r="X333" s="4"/>
      <c r="AK333" s="5"/>
    </row>
    <row r="334" spans="1:47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264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84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117</v>
      </c>
      <c r="X334" s="4">
        <v>0</v>
      </c>
      <c r="Y334" t="s">
        <v>62</v>
      </c>
      <c r="AK334" s="5"/>
    </row>
    <row r="335" spans="1:47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161</v>
      </c>
      <c r="G336" t="s">
        <v>109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162</v>
      </c>
      <c r="X336" s="4">
        <v>0</v>
      </c>
      <c r="Y336" t="s">
        <v>58</v>
      </c>
      <c r="Z336" s="3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92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x14ac:dyDescent="0.25">
      <c r="A337" t="s">
        <v>136</v>
      </c>
      <c r="B337" s="1">
        <v>37255</v>
      </c>
      <c r="C337" t="s">
        <v>48</v>
      </c>
      <c r="D337" t="s">
        <v>49</v>
      </c>
      <c r="E337" s="2">
        <v>45755</v>
      </c>
      <c r="F337" t="s">
        <v>265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176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177</v>
      </c>
      <c r="W337" t="s">
        <v>143</v>
      </c>
      <c r="X337" s="4">
        <v>0</v>
      </c>
      <c r="Y337" t="s">
        <v>58</v>
      </c>
      <c r="Z337">
        <v>0</v>
      </c>
      <c r="AA337" s="3">
        <v>0</v>
      </c>
      <c r="AB337" s="3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92</v>
      </c>
      <c r="AJ337" t="s">
        <v>92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174</v>
      </c>
      <c r="G338" t="s">
        <v>113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173</v>
      </c>
      <c r="X338" s="4">
        <v>0</v>
      </c>
      <c r="Y338" t="s">
        <v>62</v>
      </c>
      <c r="AA338" s="3"/>
      <c r="AE338" s="3"/>
      <c r="AK338" s="5"/>
    </row>
    <row r="339" spans="1:47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92</v>
      </c>
      <c r="L339" s="3" t="s">
        <v>92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161</v>
      </c>
      <c r="G340" s="3" t="s">
        <v>109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162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266</v>
      </c>
      <c r="G341" s="3" t="s">
        <v>217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267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92</v>
      </c>
      <c r="W341" t="s">
        <v>85</v>
      </c>
      <c r="X341" s="4">
        <v>0</v>
      </c>
      <c r="Y341" t="s">
        <v>62</v>
      </c>
    </row>
    <row r="342" spans="1:47" x14ac:dyDescent="0.25">
      <c r="A342" t="s">
        <v>63</v>
      </c>
      <c r="B342" s="1">
        <v>0</v>
      </c>
      <c r="C342">
        <v>0</v>
      </c>
      <c r="D342" s="3">
        <v>5952</v>
      </c>
      <c r="E342" s="2">
        <v>0</v>
      </c>
      <c r="F342">
        <v>0</v>
      </c>
      <c r="G342" s="3">
        <v>4000</v>
      </c>
      <c r="H342" s="3" t="s">
        <v>54</v>
      </c>
      <c r="I342" s="3" t="s">
        <v>59</v>
      </c>
      <c r="K342" s="3" t="s">
        <v>92</v>
      </c>
      <c r="L342" s="3" t="s">
        <v>92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  <c r="X342" s="4"/>
    </row>
    <row r="343" spans="1:47" x14ac:dyDescent="0.25">
      <c r="A343" t="s">
        <v>47</v>
      </c>
      <c r="B343" s="1">
        <v>37263</v>
      </c>
      <c r="C343" t="s">
        <v>48</v>
      </c>
      <c r="D343" s="3" t="s">
        <v>49</v>
      </c>
      <c r="E343" s="2">
        <v>45758</v>
      </c>
      <c r="F343" t="s">
        <v>268</v>
      </c>
      <c r="G343" s="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95</v>
      </c>
      <c r="X343" s="4">
        <v>0</v>
      </c>
      <c r="Y343" t="s">
        <v>62</v>
      </c>
    </row>
    <row r="344" spans="1:47" x14ac:dyDescent="0.25">
      <c r="A344" t="s">
        <v>63</v>
      </c>
      <c r="B344" s="1">
        <v>0</v>
      </c>
      <c r="C344">
        <v>0</v>
      </c>
      <c r="D344">
        <v>0</v>
      </c>
      <c r="E344" s="2">
        <v>0</v>
      </c>
      <c r="F344">
        <v>413.1</v>
      </c>
      <c r="G344">
        <v>300</v>
      </c>
      <c r="H344" s="3" t="s">
        <v>54</v>
      </c>
      <c r="I344" s="3" t="s">
        <v>59</v>
      </c>
      <c r="K344" s="3" t="s">
        <v>80</v>
      </c>
      <c r="L344" s="3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  <c r="X344" s="4"/>
    </row>
    <row r="345" spans="1:47" x14ac:dyDescent="0.25">
      <c r="A345" t="s">
        <v>47</v>
      </c>
      <c r="B345" s="1">
        <v>37264</v>
      </c>
      <c r="C345" t="s">
        <v>48</v>
      </c>
      <c r="D345" s="3" t="s">
        <v>49</v>
      </c>
      <c r="E345" s="2">
        <v>45761</v>
      </c>
      <c r="F345" t="s">
        <v>108</v>
      </c>
      <c r="G345" s="3" t="s">
        <v>109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84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110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92</v>
      </c>
      <c r="AJ345" t="s">
        <v>92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150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 s="3">
        <v>45.48</v>
      </c>
      <c r="M346" s="3">
        <v>34.020000000000003</v>
      </c>
      <c r="N346" t="s">
        <v>84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 s="3">
        <v>0</v>
      </c>
      <c r="AE346" s="3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101</v>
      </c>
      <c r="G347" t="s">
        <v>94</v>
      </c>
      <c r="H347" s="3">
        <v>1130</v>
      </c>
      <c r="I347" s="3">
        <v>1130</v>
      </c>
      <c r="J347">
        <v>0</v>
      </c>
      <c r="K347" s="3">
        <v>1299.5</v>
      </c>
      <c r="L347" s="3">
        <v>288</v>
      </c>
      <c r="M347" s="3">
        <v>100.8</v>
      </c>
      <c r="N347" t="s">
        <v>84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102</v>
      </c>
      <c r="X347" s="4">
        <v>0</v>
      </c>
      <c r="Y347" t="s">
        <v>58</v>
      </c>
      <c r="Z347" s="3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103</v>
      </c>
      <c r="AI347" t="s">
        <v>92</v>
      </c>
      <c r="AJ347" t="s">
        <v>92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x14ac:dyDescent="0.25">
      <c r="A348" t="s">
        <v>136</v>
      </c>
      <c r="B348" s="1">
        <v>37270</v>
      </c>
      <c r="C348" t="s">
        <v>48</v>
      </c>
      <c r="D348" t="s">
        <v>49</v>
      </c>
      <c r="E348" s="2">
        <v>45762</v>
      </c>
      <c r="F348" t="s">
        <v>238</v>
      </c>
      <c r="G348" s="3" t="s">
        <v>239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84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164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269</v>
      </c>
      <c r="G349" t="s">
        <v>270</v>
      </c>
      <c r="H349" s="3">
        <v>6360</v>
      </c>
      <c r="I349" s="3">
        <v>6360</v>
      </c>
      <c r="J349">
        <v>0</v>
      </c>
      <c r="K349" s="3">
        <v>7314</v>
      </c>
      <c r="L349" s="3">
        <v>871.2</v>
      </c>
      <c r="M349" s="3">
        <v>516.62</v>
      </c>
      <c r="N349" t="s">
        <v>84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173</v>
      </c>
      <c r="X349" s="4">
        <v>0</v>
      </c>
      <c r="Y349" t="s">
        <v>62</v>
      </c>
    </row>
    <row r="350" spans="1:47" x14ac:dyDescent="0.25">
      <c r="A350" t="s">
        <v>63</v>
      </c>
      <c r="B350" s="3">
        <v>0</v>
      </c>
      <c r="C350">
        <v>0</v>
      </c>
      <c r="D350">
        <v>871.2</v>
      </c>
      <c r="E350">
        <v>0</v>
      </c>
      <c r="F350">
        <v>0</v>
      </c>
      <c r="G350" s="3">
        <v>600</v>
      </c>
      <c r="H350" t="s">
        <v>54</v>
      </c>
      <c r="I350" t="s">
        <v>59</v>
      </c>
      <c r="K350" t="s">
        <v>92</v>
      </c>
      <c r="L350" t="s">
        <v>92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150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84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176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177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155</v>
      </c>
      <c r="G353" t="s">
        <v>89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106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146</v>
      </c>
      <c r="W353" t="s">
        <v>85</v>
      </c>
      <c r="X353" s="4">
        <v>0</v>
      </c>
      <c r="Y353" t="s">
        <v>62</v>
      </c>
      <c r="AB353" s="3"/>
      <c r="AE353" s="3"/>
      <c r="AK353" s="5"/>
    </row>
    <row r="354" spans="1:47" x14ac:dyDescent="0.25">
      <c r="A354" t="s">
        <v>63</v>
      </c>
      <c r="B354" s="1">
        <v>0</v>
      </c>
      <c r="C354">
        <v>0</v>
      </c>
      <c r="D354" s="3">
        <v>798.7</v>
      </c>
      <c r="E354" s="2">
        <v>0</v>
      </c>
      <c r="F354">
        <v>0</v>
      </c>
      <c r="G354" s="3">
        <v>1350</v>
      </c>
      <c r="H354" s="3" t="s">
        <v>54</v>
      </c>
      <c r="I354" s="3" t="s">
        <v>59</v>
      </c>
      <c r="J354" t="s">
        <v>149</v>
      </c>
      <c r="K354" s="3" t="s">
        <v>218</v>
      </c>
      <c r="L354" s="3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  <c r="X354" s="4"/>
      <c r="AB354" s="3"/>
      <c r="AE354" s="3"/>
      <c r="AK354" s="5"/>
    </row>
    <row r="355" spans="1:47" x14ac:dyDescent="0.25">
      <c r="A355" t="s">
        <v>96</v>
      </c>
      <c r="B355" s="1">
        <v>37277</v>
      </c>
      <c r="C355" t="s">
        <v>48</v>
      </c>
      <c r="D355" t="s">
        <v>49</v>
      </c>
      <c r="E355" s="2">
        <v>45770</v>
      </c>
      <c r="F355" t="s">
        <v>183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134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161</v>
      </c>
      <c r="G356" s="3" t="s">
        <v>109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162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92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161</v>
      </c>
      <c r="G357" t="s">
        <v>109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162</v>
      </c>
      <c r="X357" s="4">
        <v>0</v>
      </c>
      <c r="Y357" t="s">
        <v>58</v>
      </c>
      <c r="Z357" s="3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92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234</v>
      </c>
      <c r="G358" t="s">
        <v>109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84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95</v>
      </c>
      <c r="X358" s="4">
        <v>0</v>
      </c>
      <c r="Y358" t="s">
        <v>62</v>
      </c>
      <c r="AB358" s="3"/>
      <c r="AK358" s="5"/>
    </row>
    <row r="359" spans="1:47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112</v>
      </c>
      <c r="G360" t="s">
        <v>113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115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x14ac:dyDescent="0.25">
      <c r="A361" t="s">
        <v>136</v>
      </c>
      <c r="B361" s="1">
        <v>37283</v>
      </c>
      <c r="C361" t="s">
        <v>48</v>
      </c>
      <c r="D361" t="s">
        <v>49</v>
      </c>
      <c r="E361" s="2">
        <v>45771</v>
      </c>
      <c r="F361" t="s">
        <v>238</v>
      </c>
      <c r="G361" t="s">
        <v>239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84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164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101</v>
      </c>
      <c r="G362" t="s">
        <v>94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84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102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103</v>
      </c>
      <c r="AI362" t="s">
        <v>92</v>
      </c>
      <c r="AJ362" t="s">
        <v>92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111</v>
      </c>
      <c r="G363" s="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176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177</v>
      </c>
      <c r="W363" t="s">
        <v>95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111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177</v>
      </c>
      <c r="W364" t="s">
        <v>95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203</v>
      </c>
      <c r="G365" t="s">
        <v>94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84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271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144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x14ac:dyDescent="0.25">
      <c r="A366" t="s">
        <v>96</v>
      </c>
      <c r="B366" s="1">
        <v>37293</v>
      </c>
      <c r="C366" t="s">
        <v>48</v>
      </c>
      <c r="D366" t="s">
        <v>49</v>
      </c>
      <c r="E366" s="2">
        <v>45772</v>
      </c>
      <c r="F366" t="s">
        <v>151</v>
      </c>
      <c r="G366" t="s">
        <v>152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143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411</v>
      </c>
      <c r="G367" t="s">
        <v>87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106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146</v>
      </c>
      <c r="W367" t="s">
        <v>117</v>
      </c>
      <c r="X367" s="4">
        <v>0</v>
      </c>
      <c r="Y367" t="s">
        <v>62</v>
      </c>
      <c r="AK367" s="5"/>
    </row>
    <row r="368" spans="1:47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218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211</v>
      </c>
      <c r="G369" t="s">
        <v>212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164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177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272</v>
      </c>
      <c r="G370" t="s">
        <v>89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273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x14ac:dyDescent="0.25">
      <c r="A372" t="s">
        <v>96</v>
      </c>
      <c r="B372" s="1">
        <v>37299</v>
      </c>
      <c r="C372" t="s">
        <v>48</v>
      </c>
      <c r="D372" t="s">
        <v>49</v>
      </c>
      <c r="E372" s="2">
        <v>45775</v>
      </c>
      <c r="F372" t="s">
        <v>274</v>
      </c>
      <c r="G372" t="s">
        <v>130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204</v>
      </c>
      <c r="W372">
        <v>0</v>
      </c>
      <c r="X372" s="4">
        <v>0</v>
      </c>
      <c r="Y372" t="s">
        <v>62</v>
      </c>
      <c r="AA372" s="3"/>
      <c r="AD372" s="3"/>
      <c r="AE372" s="3"/>
      <c r="AK372" s="5"/>
    </row>
    <row r="373" spans="1:47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104</v>
      </c>
      <c r="G374" t="s">
        <v>89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204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174</v>
      </c>
      <c r="G375" t="s">
        <v>113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173</v>
      </c>
      <c r="X375" s="4">
        <v>0</v>
      </c>
      <c r="Y375" t="s">
        <v>62</v>
      </c>
    </row>
    <row r="376" spans="1:47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92</v>
      </c>
      <c r="L376" t="s">
        <v>92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x14ac:dyDescent="0.25">
      <c r="A377" t="s">
        <v>96</v>
      </c>
      <c r="B377" s="1">
        <v>37304</v>
      </c>
      <c r="C377" t="s">
        <v>48</v>
      </c>
      <c r="D377" t="s">
        <v>49</v>
      </c>
      <c r="E377" s="2">
        <v>45776</v>
      </c>
      <c r="F377" t="s">
        <v>275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95</v>
      </c>
      <c r="X377" s="4">
        <v>0</v>
      </c>
      <c r="Y377" t="s">
        <v>62</v>
      </c>
      <c r="AK377" s="5"/>
    </row>
    <row r="378" spans="1:47" x14ac:dyDescent="0.25">
      <c r="A378" t="s">
        <v>63</v>
      </c>
      <c r="B378" s="3">
        <v>1195</v>
      </c>
      <c r="C378">
        <v>0</v>
      </c>
      <c r="D378">
        <v>0</v>
      </c>
      <c r="E378" s="2">
        <v>0</v>
      </c>
      <c r="F378">
        <v>0</v>
      </c>
      <c r="G378" s="3">
        <v>1000</v>
      </c>
      <c r="H378" s="3" t="s">
        <v>54</v>
      </c>
      <c r="I378" s="3" t="s">
        <v>59</v>
      </c>
      <c r="K378" s="3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  <c r="X378" s="4"/>
      <c r="AK378" s="5"/>
    </row>
    <row r="379" spans="1:47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176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177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 s="3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x14ac:dyDescent="0.25">
      <c r="A380" t="s">
        <v>96</v>
      </c>
      <c r="B380" s="1">
        <v>37310</v>
      </c>
      <c r="C380" t="s">
        <v>48</v>
      </c>
      <c r="D380" t="s">
        <v>49</v>
      </c>
      <c r="E380" s="2">
        <v>45776</v>
      </c>
      <c r="F380" t="s">
        <v>145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106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146</v>
      </c>
      <c r="W380" t="s">
        <v>147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218</v>
      </c>
      <c r="AJ380" t="s">
        <v>92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x14ac:dyDescent="0.25">
      <c r="A381" t="s">
        <v>96</v>
      </c>
      <c r="B381" s="1">
        <v>37311</v>
      </c>
      <c r="C381" t="s">
        <v>48</v>
      </c>
      <c r="D381" t="s">
        <v>49</v>
      </c>
      <c r="E381" s="2">
        <v>45776</v>
      </c>
      <c r="F381" t="s">
        <v>145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106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146</v>
      </c>
      <c r="W381" t="s">
        <v>147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218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x14ac:dyDescent="0.25">
      <c r="A382" t="s">
        <v>96</v>
      </c>
      <c r="B382" s="1">
        <v>37313</v>
      </c>
      <c r="C382" t="s">
        <v>48</v>
      </c>
      <c r="D382" t="s">
        <v>49</v>
      </c>
      <c r="E382" s="2">
        <v>45776</v>
      </c>
      <c r="F382" t="s">
        <v>145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106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146</v>
      </c>
      <c r="W382" t="s">
        <v>147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218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  <c r="AA383" s="3"/>
      <c r="AE383" s="3"/>
      <c r="AK383" s="5"/>
    </row>
    <row r="384" spans="1:47" x14ac:dyDescent="0.25">
      <c r="A384" t="s">
        <v>63</v>
      </c>
      <c r="B384" s="1">
        <v>897.4</v>
      </c>
      <c r="C384">
        <v>0</v>
      </c>
      <c r="D384">
        <v>0</v>
      </c>
      <c r="E384" s="2">
        <v>0</v>
      </c>
      <c r="F384" s="3">
        <v>1129.2</v>
      </c>
      <c r="G384" s="3">
        <v>2000</v>
      </c>
      <c r="H384" s="3" t="s">
        <v>54</v>
      </c>
      <c r="I384" s="3" t="s">
        <v>59</v>
      </c>
      <c r="K384" s="3" t="s">
        <v>73</v>
      </c>
      <c r="L384" s="3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  <c r="X384" s="4"/>
    </row>
    <row r="385" spans="1:47" x14ac:dyDescent="0.25">
      <c r="A385" t="s">
        <v>96</v>
      </c>
      <c r="B385" s="1">
        <v>37315</v>
      </c>
      <c r="C385" s="3" t="s">
        <v>48</v>
      </c>
      <c r="D385" t="s">
        <v>49</v>
      </c>
      <c r="E385" s="2">
        <v>45777</v>
      </c>
      <c r="F385" t="s">
        <v>205</v>
      </c>
      <c r="G385" s="3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95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165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x14ac:dyDescent="0.25">
      <c r="A386" t="s">
        <v>96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205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95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165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101</v>
      </c>
      <c r="G387" s="3" t="s">
        <v>94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84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102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103</v>
      </c>
      <c r="AI387" t="s">
        <v>92</v>
      </c>
      <c r="AJ387" t="s">
        <v>92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101</v>
      </c>
      <c r="G388" t="s">
        <v>94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84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102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103</v>
      </c>
      <c r="AI388" t="s">
        <v>92</v>
      </c>
      <c r="AJ388" t="s">
        <v>92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x14ac:dyDescent="0.25">
      <c r="A389" t="s">
        <v>96</v>
      </c>
      <c r="B389" s="1">
        <v>37319</v>
      </c>
      <c r="C389" t="s">
        <v>48</v>
      </c>
      <c r="D389" t="s">
        <v>49</v>
      </c>
      <c r="E389" s="2">
        <v>45779</v>
      </c>
      <c r="F389" t="s">
        <v>276</v>
      </c>
      <c r="G389" s="3" t="s">
        <v>157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106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146</v>
      </c>
      <c r="W389" t="s">
        <v>131</v>
      </c>
      <c r="X389" s="4">
        <v>0</v>
      </c>
      <c r="Y389" t="s">
        <v>62</v>
      </c>
      <c r="AB389" s="3"/>
      <c r="AE389" s="3"/>
      <c r="AK389" s="5"/>
    </row>
    <row r="390" spans="1:47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237</v>
      </c>
      <c r="K390" s="3" t="s">
        <v>218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x14ac:dyDescent="0.25">
      <c r="A391" t="s">
        <v>96</v>
      </c>
      <c r="B391" s="1">
        <v>37320</v>
      </c>
      <c r="C391" t="s">
        <v>48</v>
      </c>
      <c r="D391" t="s">
        <v>49</v>
      </c>
      <c r="E391" s="2">
        <v>45782</v>
      </c>
      <c r="F391" t="s">
        <v>277</v>
      </c>
      <c r="G391" t="s">
        <v>167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106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146</v>
      </c>
      <c r="W391" t="s">
        <v>95</v>
      </c>
      <c r="X391" s="4">
        <v>0</v>
      </c>
      <c r="Y391" t="s">
        <v>62</v>
      </c>
      <c r="AK391" s="5"/>
    </row>
    <row r="392" spans="1:47" x14ac:dyDescent="0.25">
      <c r="A392" t="s">
        <v>63</v>
      </c>
      <c r="B392" s="1">
        <v>362.5</v>
      </c>
      <c r="C392">
        <v>0</v>
      </c>
      <c r="D392">
        <v>0</v>
      </c>
      <c r="E392" s="2">
        <v>0</v>
      </c>
      <c r="F392">
        <v>0</v>
      </c>
      <c r="G392" s="3">
        <v>2500</v>
      </c>
      <c r="H392" s="3" t="s">
        <v>54</v>
      </c>
      <c r="I392" s="3" t="s">
        <v>59</v>
      </c>
      <c r="K392" s="3" t="s">
        <v>218</v>
      </c>
      <c r="L392" t="s">
        <v>92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  <c r="X392" s="4"/>
    </row>
    <row r="393" spans="1:47" x14ac:dyDescent="0.25">
      <c r="A393" t="s">
        <v>96</v>
      </c>
      <c r="B393" s="1">
        <v>37321</v>
      </c>
      <c r="C393" t="s">
        <v>48</v>
      </c>
      <c r="D393" t="s">
        <v>49</v>
      </c>
      <c r="E393" s="2">
        <v>45782</v>
      </c>
      <c r="F393" t="s">
        <v>125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177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x14ac:dyDescent="0.25">
      <c r="A394" t="s">
        <v>96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220</v>
      </c>
      <c r="G394" t="s">
        <v>167</v>
      </c>
      <c r="H394" s="3">
        <v>4440</v>
      </c>
      <c r="I394" s="3">
        <v>4440</v>
      </c>
      <c r="J394">
        <v>0</v>
      </c>
      <c r="K394" s="3">
        <v>4440</v>
      </c>
      <c r="L394" s="3">
        <v>765</v>
      </c>
      <c r="M394" s="3">
        <v>359.55</v>
      </c>
      <c r="N394" t="s">
        <v>106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146</v>
      </c>
      <c r="W394" t="s">
        <v>153</v>
      </c>
      <c r="X394" s="4">
        <v>0</v>
      </c>
      <c r="Y394" t="s">
        <v>58</v>
      </c>
      <c r="Z394" s="3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 s="3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177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x14ac:dyDescent="0.25">
      <c r="A396" t="s">
        <v>96</v>
      </c>
      <c r="B396" s="1">
        <v>37325</v>
      </c>
      <c r="C396" t="s">
        <v>48</v>
      </c>
      <c r="D396" t="s">
        <v>49</v>
      </c>
      <c r="E396" s="2">
        <v>45784</v>
      </c>
      <c r="F396" t="s">
        <v>225</v>
      </c>
      <c r="G396" t="s">
        <v>226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177</v>
      </c>
      <c r="W396" t="s">
        <v>95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177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227</v>
      </c>
      <c r="G397" s="3" t="s">
        <v>89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176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177</v>
      </c>
      <c r="W397" t="s">
        <v>72</v>
      </c>
      <c r="X397" s="4">
        <v>0</v>
      </c>
      <c r="Y397" t="s">
        <v>62</v>
      </c>
    </row>
    <row r="398" spans="1:47" x14ac:dyDescent="0.25">
      <c r="A398" t="s">
        <v>63</v>
      </c>
      <c r="B398" s="1">
        <v>984</v>
      </c>
      <c r="C398">
        <v>0</v>
      </c>
      <c r="D398">
        <v>0</v>
      </c>
      <c r="E398" s="2">
        <v>0</v>
      </c>
      <c r="F398">
        <v>0</v>
      </c>
      <c r="G398">
        <v>820</v>
      </c>
      <c r="H398" s="3" t="s">
        <v>54</v>
      </c>
      <c r="I398" s="3" t="s">
        <v>59</v>
      </c>
      <c r="J398" t="s">
        <v>149</v>
      </c>
      <c r="K398" s="3" t="s">
        <v>177</v>
      </c>
      <c r="L398" s="3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  <c r="X398" s="4"/>
      <c r="AA398" s="3"/>
      <c r="AK398" s="5"/>
    </row>
    <row r="399" spans="1:47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150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84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150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 s="3">
        <v>150.12</v>
      </c>
      <c r="M400" s="3">
        <v>112.29</v>
      </c>
      <c r="N400" t="s">
        <v>84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x14ac:dyDescent="0.25">
      <c r="A401" t="s">
        <v>47</v>
      </c>
      <c r="B401" s="1">
        <v>37330</v>
      </c>
      <c r="C401" t="s">
        <v>48</v>
      </c>
      <c r="D401" s="3" t="s">
        <v>49</v>
      </c>
      <c r="E401" s="2">
        <v>45784</v>
      </c>
      <c r="F401" t="s">
        <v>150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84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150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 s="3">
        <v>161.97999999999999</v>
      </c>
      <c r="M402" s="3">
        <v>121.16</v>
      </c>
      <c r="N402" t="s">
        <v>84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 s="3">
        <v>0</v>
      </c>
      <c r="AA402">
        <v>0</v>
      </c>
      <c r="AB402">
        <v>161.97999999999999</v>
      </c>
      <c r="AC402">
        <v>0</v>
      </c>
      <c r="AD402">
        <v>0</v>
      </c>
      <c r="AE402" s="3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150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84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101</v>
      </c>
      <c r="G404" t="s">
        <v>94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84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102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103</v>
      </c>
      <c r="AI404" t="s">
        <v>92</v>
      </c>
      <c r="AJ404" t="s">
        <v>92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101</v>
      </c>
      <c r="G405" t="s">
        <v>94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84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102</v>
      </c>
      <c r="X405" s="4">
        <v>0</v>
      </c>
      <c r="Y405" t="s">
        <v>58</v>
      </c>
      <c r="Z405" s="3">
        <v>8671</v>
      </c>
      <c r="AA405">
        <v>0</v>
      </c>
      <c r="AB405" s="3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103</v>
      </c>
      <c r="AI405" t="s">
        <v>92</v>
      </c>
      <c r="AJ405" t="s">
        <v>92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278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106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146</v>
      </c>
      <c r="W406" t="s">
        <v>164</v>
      </c>
      <c r="X406" s="4">
        <v>0</v>
      </c>
      <c r="Y406" t="s">
        <v>62</v>
      </c>
      <c r="AB406" s="3"/>
      <c r="AE406" s="3"/>
      <c r="AK406" s="5"/>
    </row>
    <row r="407" spans="1:47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s="3" t="s">
        <v>68</v>
      </c>
      <c r="G408" s="3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150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84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150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84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x14ac:dyDescent="0.25">
      <c r="A412" t="s">
        <v>96</v>
      </c>
      <c r="B412" s="1">
        <v>37343</v>
      </c>
      <c r="C412" t="s">
        <v>48</v>
      </c>
      <c r="D412" t="s">
        <v>49</v>
      </c>
      <c r="E412" s="2">
        <v>45786</v>
      </c>
      <c r="F412" t="s">
        <v>154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95</v>
      </c>
      <c r="X412" s="4">
        <v>0</v>
      </c>
      <c r="Y412" t="s">
        <v>62</v>
      </c>
      <c r="AB412" s="3"/>
      <c r="AE412" s="3"/>
      <c r="AK412" s="5"/>
    </row>
    <row r="413" spans="1:47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D413" s="3"/>
      <c r="AE413" s="3"/>
      <c r="AK413" s="5"/>
    </row>
    <row r="414" spans="1:47" x14ac:dyDescent="0.25">
      <c r="A414" t="s">
        <v>96</v>
      </c>
      <c r="B414" s="1">
        <v>37345</v>
      </c>
      <c r="C414" t="s">
        <v>48</v>
      </c>
      <c r="D414" t="s">
        <v>49</v>
      </c>
      <c r="E414" s="2">
        <v>45786</v>
      </c>
      <c r="F414" t="s">
        <v>279</v>
      </c>
      <c r="G414" t="s">
        <v>251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106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146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218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101</v>
      </c>
      <c r="G416" t="s">
        <v>94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84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102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103</v>
      </c>
      <c r="AI416" t="s">
        <v>92</v>
      </c>
      <c r="AJ416" t="s">
        <v>92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280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 s="3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x14ac:dyDescent="0.25">
      <c r="A418" t="s">
        <v>96</v>
      </c>
      <c r="B418" s="1">
        <v>37348</v>
      </c>
      <c r="C418" t="s">
        <v>48</v>
      </c>
      <c r="D418" t="s">
        <v>49</v>
      </c>
      <c r="E418" s="2">
        <v>45786</v>
      </c>
      <c r="F418" t="s">
        <v>281</v>
      </c>
      <c r="G418" t="s">
        <v>94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282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146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144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x14ac:dyDescent="0.25">
      <c r="A420" t="s">
        <v>96</v>
      </c>
      <c r="B420" s="1">
        <v>37349</v>
      </c>
      <c r="C420" t="s">
        <v>48</v>
      </c>
      <c r="D420" t="s">
        <v>49</v>
      </c>
      <c r="E420" s="2">
        <v>45789</v>
      </c>
      <c r="F420" t="s">
        <v>276</v>
      </c>
      <c r="G420" t="s">
        <v>157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106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146</v>
      </c>
      <c r="W420" t="s">
        <v>131</v>
      </c>
      <c r="X420" s="4">
        <v>0</v>
      </c>
      <c r="Y420" t="s">
        <v>62</v>
      </c>
      <c r="AB420" s="3"/>
      <c r="AE420" s="3"/>
      <c r="AK420" s="5"/>
    </row>
    <row r="421" spans="1:47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237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93</v>
      </c>
      <c r="G422" t="s">
        <v>94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84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95</v>
      </c>
      <c r="X422" s="4">
        <v>0</v>
      </c>
      <c r="Y422" t="s">
        <v>62</v>
      </c>
      <c r="AB422" s="3"/>
      <c r="AE422" s="3"/>
      <c r="AK422" s="5"/>
    </row>
    <row r="423" spans="1:47" x14ac:dyDescent="0.25">
      <c r="A423" t="s">
        <v>63</v>
      </c>
      <c r="B423" s="1">
        <v>0</v>
      </c>
      <c r="C423">
        <v>0</v>
      </c>
      <c r="D423" s="3">
        <v>117.93</v>
      </c>
      <c r="E423" s="2">
        <v>0</v>
      </c>
      <c r="F423">
        <v>0</v>
      </c>
      <c r="G423" s="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x14ac:dyDescent="0.25">
      <c r="A424" t="s">
        <v>96</v>
      </c>
      <c r="B424" s="1">
        <v>37351</v>
      </c>
      <c r="C424" t="s">
        <v>48</v>
      </c>
      <c r="D424" t="s">
        <v>49</v>
      </c>
      <c r="E424" s="2">
        <v>45789</v>
      </c>
      <c r="F424" t="s">
        <v>283</v>
      </c>
      <c r="G424" t="s">
        <v>284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114</v>
      </c>
      <c r="X424" s="4">
        <v>0</v>
      </c>
      <c r="Y424" t="s">
        <v>62</v>
      </c>
      <c r="Z424" s="3"/>
      <c r="AB424" s="3"/>
      <c r="AD424" s="3"/>
      <c r="AE424" s="3"/>
      <c r="AK424" s="5"/>
    </row>
    <row r="425" spans="1:47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92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  <c r="AK425" s="5"/>
    </row>
    <row r="426" spans="1:47" x14ac:dyDescent="0.25">
      <c r="A426" t="s">
        <v>96</v>
      </c>
      <c r="B426" s="1">
        <v>37352</v>
      </c>
      <c r="C426" t="s">
        <v>48</v>
      </c>
      <c r="D426" t="s">
        <v>49</v>
      </c>
      <c r="E426" s="2">
        <v>45789</v>
      </c>
      <c r="F426" t="s">
        <v>285</v>
      </c>
      <c r="G426" t="s">
        <v>217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106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146</v>
      </c>
      <c r="W426" t="s">
        <v>286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218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x14ac:dyDescent="0.25">
      <c r="A427" t="s">
        <v>136</v>
      </c>
      <c r="B427" s="1">
        <v>37353</v>
      </c>
      <c r="C427" t="s">
        <v>48</v>
      </c>
      <c r="D427" t="s">
        <v>49</v>
      </c>
      <c r="E427" s="2">
        <v>45789</v>
      </c>
      <c r="F427" t="s">
        <v>240</v>
      </c>
      <c r="G427" t="s">
        <v>239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164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x14ac:dyDescent="0.25">
      <c r="A428" t="s">
        <v>136</v>
      </c>
      <c r="B428" s="1">
        <v>37354</v>
      </c>
      <c r="C428" t="s">
        <v>48</v>
      </c>
      <c r="D428" t="s">
        <v>49</v>
      </c>
      <c r="E428" s="2">
        <v>45789</v>
      </c>
      <c r="F428" t="s">
        <v>240</v>
      </c>
      <c r="G428" t="s">
        <v>239</v>
      </c>
      <c r="H428" s="3">
        <v>3298</v>
      </c>
      <c r="I428" s="3">
        <v>3298</v>
      </c>
      <c r="J428">
        <v>0</v>
      </c>
      <c r="K428" s="3">
        <v>3298</v>
      </c>
      <c r="L428" s="3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164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x14ac:dyDescent="0.25">
      <c r="A429" t="s">
        <v>136</v>
      </c>
      <c r="B429" s="1">
        <v>37355</v>
      </c>
      <c r="C429" t="s">
        <v>48</v>
      </c>
      <c r="D429" t="s">
        <v>49</v>
      </c>
      <c r="E429" s="2">
        <v>45789</v>
      </c>
      <c r="F429" t="s">
        <v>240</v>
      </c>
      <c r="G429" s="3" t="s">
        <v>239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164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x14ac:dyDescent="0.25">
      <c r="A430" t="s">
        <v>136</v>
      </c>
      <c r="B430" s="1">
        <v>37356</v>
      </c>
      <c r="C430" t="s">
        <v>48</v>
      </c>
      <c r="D430" t="s">
        <v>49</v>
      </c>
      <c r="E430" s="2">
        <v>45789</v>
      </c>
      <c r="F430" t="s">
        <v>240</v>
      </c>
      <c r="G430" t="s">
        <v>239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164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x14ac:dyDescent="0.25">
      <c r="A431" t="s">
        <v>96</v>
      </c>
      <c r="B431" s="1">
        <v>37357</v>
      </c>
      <c r="C431" t="s">
        <v>48</v>
      </c>
      <c r="D431" t="s">
        <v>49</v>
      </c>
      <c r="E431" s="2">
        <v>45790</v>
      </c>
      <c r="F431" t="s">
        <v>198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84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117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188</v>
      </c>
      <c r="G432" s="3" t="s">
        <v>189</v>
      </c>
      <c r="H432" s="3">
        <v>1841</v>
      </c>
      <c r="I432" s="3">
        <v>1841</v>
      </c>
      <c r="J432">
        <v>0</v>
      </c>
      <c r="K432" s="3">
        <v>1841</v>
      </c>
      <c r="L432" s="3">
        <v>392.7</v>
      </c>
      <c r="M432" s="3">
        <v>129.59</v>
      </c>
      <c r="N432" t="s">
        <v>176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177</v>
      </c>
      <c r="W432" t="s">
        <v>173</v>
      </c>
      <c r="X432" s="4">
        <v>0</v>
      </c>
      <c r="Y432" t="s">
        <v>58</v>
      </c>
      <c r="Z432" s="3">
        <v>392.7</v>
      </c>
      <c r="AA432">
        <v>0</v>
      </c>
      <c r="AB432">
        <v>0</v>
      </c>
      <c r="AC432">
        <v>0</v>
      </c>
      <c r="AD432">
        <v>0</v>
      </c>
      <c r="AE432" s="3">
        <v>700</v>
      </c>
      <c r="AF432" t="s">
        <v>54</v>
      </c>
      <c r="AG432" t="s">
        <v>59</v>
      </c>
      <c r="AH432" t="s">
        <v>190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x14ac:dyDescent="0.25">
      <c r="A433" t="s">
        <v>96</v>
      </c>
      <c r="B433" s="1">
        <v>37360</v>
      </c>
      <c r="C433" t="s">
        <v>48</v>
      </c>
      <c r="D433" t="s">
        <v>49</v>
      </c>
      <c r="E433" s="2">
        <v>45791</v>
      </c>
      <c r="F433" t="s">
        <v>180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181</v>
      </c>
      <c r="X433" s="4">
        <v>0</v>
      </c>
      <c r="Y433" t="s">
        <v>62</v>
      </c>
      <c r="Z433" s="3"/>
      <c r="AE433" s="3"/>
      <c r="AK433" s="5"/>
    </row>
    <row r="434" spans="1:47" x14ac:dyDescent="0.25">
      <c r="A434" t="s">
        <v>63</v>
      </c>
      <c r="B434" s="1">
        <v>0</v>
      </c>
      <c r="C434">
        <v>0</v>
      </c>
      <c r="D434">
        <v>0</v>
      </c>
      <c r="E434" s="2">
        <v>0</v>
      </c>
      <c r="F434" s="3">
        <v>2338.9</v>
      </c>
      <c r="G434" s="3">
        <v>6300</v>
      </c>
      <c r="H434" s="3" t="s">
        <v>54</v>
      </c>
      <c r="I434" s="3" t="s">
        <v>59</v>
      </c>
      <c r="K434" s="3" t="s">
        <v>73</v>
      </c>
      <c r="L434" s="3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  <c r="X434" s="4"/>
      <c r="Z434" s="3"/>
      <c r="AE434" s="3"/>
      <c r="AK434" s="5"/>
    </row>
    <row r="435" spans="1:47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108</v>
      </c>
      <c r="G435" t="s">
        <v>109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84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92</v>
      </c>
      <c r="W435" t="s">
        <v>110</v>
      </c>
      <c r="X435" s="4">
        <v>0</v>
      </c>
      <c r="Y435" t="s">
        <v>58</v>
      </c>
      <c r="Z435" s="3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92</v>
      </c>
      <c r="AJ435" t="s">
        <v>92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179</v>
      </c>
      <c r="G436" t="s">
        <v>94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106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146</v>
      </c>
      <c r="W436" t="s">
        <v>107</v>
      </c>
      <c r="X436" s="4">
        <v>0</v>
      </c>
      <c r="Y436" t="s">
        <v>62</v>
      </c>
      <c r="AE436" s="3"/>
      <c r="AK436" s="5"/>
    </row>
    <row r="437" spans="1:47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144</v>
      </c>
      <c r="K437" s="3" t="s">
        <v>218</v>
      </c>
      <c r="L437" t="s">
        <v>92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  <c r="AE437" s="3"/>
      <c r="AK437" s="5"/>
    </row>
    <row r="438" spans="1:47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 s="3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95</v>
      </c>
      <c r="X438" s="4">
        <v>0</v>
      </c>
      <c r="Z438" s="3">
        <v>218.4</v>
      </c>
      <c r="AA438">
        <v>0</v>
      </c>
      <c r="AB438">
        <v>240</v>
      </c>
      <c r="AC438">
        <v>0</v>
      </c>
      <c r="AD438">
        <v>0</v>
      </c>
      <c r="AE438" s="3">
        <v>400</v>
      </c>
      <c r="AF438" t="s">
        <v>54</v>
      </c>
      <c r="AG438" t="s">
        <v>59</v>
      </c>
      <c r="AI438" t="s">
        <v>92</v>
      </c>
      <c r="AJ438" t="s">
        <v>92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x14ac:dyDescent="0.25">
      <c r="A441" t="s">
        <v>96</v>
      </c>
      <c r="B441" s="1">
        <v>37367</v>
      </c>
      <c r="C441" t="s">
        <v>48</v>
      </c>
      <c r="D441" t="s">
        <v>49</v>
      </c>
      <c r="E441" s="2">
        <v>45791</v>
      </c>
      <c r="F441" t="s">
        <v>219</v>
      </c>
      <c r="G441" t="s">
        <v>167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106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146</v>
      </c>
      <c r="W441" t="s">
        <v>143</v>
      </c>
      <c r="X441" s="4">
        <v>0</v>
      </c>
      <c r="Y441" t="s">
        <v>62</v>
      </c>
      <c r="AE441" s="3"/>
      <c r="AK441" s="5"/>
    </row>
    <row r="442" spans="1:47" x14ac:dyDescent="0.25">
      <c r="A442" t="s">
        <v>63</v>
      </c>
      <c r="B442" s="3">
        <v>1026.9000000000001</v>
      </c>
      <c r="C442">
        <v>0</v>
      </c>
      <c r="D442">
        <v>0</v>
      </c>
      <c r="E442" s="2">
        <v>0</v>
      </c>
      <c r="F442" s="3">
        <v>0</v>
      </c>
      <c r="G442" s="3">
        <v>700</v>
      </c>
      <c r="H442" s="3" t="s">
        <v>54</v>
      </c>
      <c r="I442" s="3" t="s">
        <v>59</v>
      </c>
      <c r="K442" s="3" t="s">
        <v>218</v>
      </c>
      <c r="L442" s="3" t="s">
        <v>92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  <c r="X442" s="4"/>
    </row>
    <row r="443" spans="1:47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287</v>
      </c>
      <c r="G443" s="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288</v>
      </c>
      <c r="X443" s="4">
        <v>0</v>
      </c>
      <c r="Y443" t="s">
        <v>62</v>
      </c>
    </row>
    <row r="444" spans="1:47" x14ac:dyDescent="0.25">
      <c r="A444" t="s">
        <v>63</v>
      </c>
      <c r="B444" s="1">
        <v>0</v>
      </c>
      <c r="C444">
        <v>0</v>
      </c>
      <c r="D444">
        <v>49.11</v>
      </c>
      <c r="E444" s="2">
        <v>0</v>
      </c>
      <c r="F444">
        <v>0</v>
      </c>
      <c r="G444">
        <v>30</v>
      </c>
      <c r="H444" s="3" t="s">
        <v>54</v>
      </c>
      <c r="I444" s="3" t="s">
        <v>59</v>
      </c>
      <c r="J444" t="s">
        <v>79</v>
      </c>
      <c r="K444" s="3" t="s">
        <v>80</v>
      </c>
      <c r="L444" t="s">
        <v>92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  <c r="X444" s="4"/>
    </row>
    <row r="445" spans="1:47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126</v>
      </c>
      <c r="G445" s="3" t="s">
        <v>89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84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95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126</v>
      </c>
      <c r="G446" t="s">
        <v>89</v>
      </c>
      <c r="H446" s="3">
        <v>2925</v>
      </c>
      <c r="I446" s="3">
        <v>2925</v>
      </c>
      <c r="J446">
        <v>0</v>
      </c>
      <c r="K446" s="3">
        <v>3363.75</v>
      </c>
      <c r="L446" s="3">
        <v>372.5</v>
      </c>
      <c r="M446" s="3">
        <v>230.95</v>
      </c>
      <c r="N446" t="s">
        <v>84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95</v>
      </c>
      <c r="X446" s="4">
        <v>0</v>
      </c>
      <c r="Y446" t="s">
        <v>58</v>
      </c>
      <c r="Z446">
        <v>0</v>
      </c>
      <c r="AA446" s="3">
        <v>0</v>
      </c>
      <c r="AB446">
        <v>372.5</v>
      </c>
      <c r="AC446">
        <v>0</v>
      </c>
      <c r="AD446">
        <v>0</v>
      </c>
      <c r="AE446" s="3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126</v>
      </c>
      <c r="G447" t="s">
        <v>89</v>
      </c>
      <c r="H447" s="3">
        <v>2945</v>
      </c>
      <c r="I447" s="3">
        <v>2945</v>
      </c>
      <c r="J447">
        <v>0</v>
      </c>
      <c r="K447" s="3">
        <v>3386.75</v>
      </c>
      <c r="L447" s="3">
        <v>239</v>
      </c>
      <c r="M447" s="3">
        <v>148.18</v>
      </c>
      <c r="N447" t="s">
        <v>84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95</v>
      </c>
      <c r="X447" s="4">
        <v>0</v>
      </c>
      <c r="Y447" t="s">
        <v>58</v>
      </c>
      <c r="Z447" s="3">
        <v>0</v>
      </c>
      <c r="AA447">
        <v>0</v>
      </c>
      <c r="AB447">
        <v>239</v>
      </c>
      <c r="AC447">
        <v>0</v>
      </c>
      <c r="AD447">
        <v>0</v>
      </c>
      <c r="AE447" s="3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x14ac:dyDescent="0.25">
      <c r="A448" t="s">
        <v>96</v>
      </c>
      <c r="B448" s="1">
        <v>37377</v>
      </c>
      <c r="C448" t="s">
        <v>48</v>
      </c>
      <c r="D448" t="s">
        <v>49</v>
      </c>
      <c r="E448" s="2">
        <v>45793</v>
      </c>
      <c r="F448" t="s">
        <v>168</v>
      </c>
      <c r="G448" t="s">
        <v>169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x14ac:dyDescent="0.25">
      <c r="A450" t="s">
        <v>96</v>
      </c>
      <c r="B450" s="1">
        <v>37379</v>
      </c>
      <c r="C450" t="s">
        <v>48</v>
      </c>
      <c r="D450" t="s">
        <v>49</v>
      </c>
      <c r="E450" s="2">
        <v>45796</v>
      </c>
      <c r="F450" t="s">
        <v>151</v>
      </c>
      <c r="G450" t="s">
        <v>152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153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 s="3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x14ac:dyDescent="0.25">
      <c r="A451" t="s">
        <v>96</v>
      </c>
      <c r="B451" s="1">
        <v>37380</v>
      </c>
      <c r="C451" t="s">
        <v>48</v>
      </c>
      <c r="D451" t="s">
        <v>49</v>
      </c>
      <c r="E451" s="2">
        <v>45796</v>
      </c>
      <c r="F451" t="s">
        <v>208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 s="3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153</v>
      </c>
      <c r="X451" s="4">
        <v>0</v>
      </c>
      <c r="Y451" t="s">
        <v>62</v>
      </c>
      <c r="AB451" s="3"/>
      <c r="AK451" s="5"/>
    </row>
    <row r="452" spans="1:47" x14ac:dyDescent="0.25">
      <c r="A452" t="s">
        <v>63</v>
      </c>
      <c r="B452" s="1">
        <v>499.2</v>
      </c>
      <c r="C452">
        <v>0</v>
      </c>
      <c r="D452">
        <v>0</v>
      </c>
      <c r="E452" s="2">
        <v>0</v>
      </c>
      <c r="F452">
        <v>0</v>
      </c>
      <c r="G452" s="3">
        <v>2600</v>
      </c>
      <c r="H452" s="3" t="s">
        <v>54</v>
      </c>
      <c r="I452" s="3" t="s">
        <v>59</v>
      </c>
      <c r="K452" s="3" t="s">
        <v>60</v>
      </c>
      <c r="L452" s="3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  <c r="X452" s="4"/>
      <c r="AD452" s="3"/>
      <c r="AE452" s="3"/>
      <c r="AK452" s="5"/>
    </row>
    <row r="453" spans="1:47" x14ac:dyDescent="0.25">
      <c r="A453" t="s">
        <v>96</v>
      </c>
      <c r="B453" s="1">
        <v>37381</v>
      </c>
      <c r="C453" t="s">
        <v>48</v>
      </c>
      <c r="D453" t="s">
        <v>49</v>
      </c>
      <c r="E453" s="2">
        <v>45797</v>
      </c>
      <c r="F453" t="s">
        <v>412</v>
      </c>
      <c r="G453" t="s">
        <v>119</v>
      </c>
      <c r="H453" s="3">
        <v>3584</v>
      </c>
      <c r="I453" s="3">
        <v>3584</v>
      </c>
      <c r="J453">
        <v>0</v>
      </c>
      <c r="K453" s="3">
        <v>3584</v>
      </c>
      <c r="L453" s="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177</v>
      </c>
      <c r="W453" t="s">
        <v>72</v>
      </c>
      <c r="X453" s="4">
        <v>0</v>
      </c>
      <c r="Y453" t="s">
        <v>201</v>
      </c>
      <c r="Z453">
        <v>236</v>
      </c>
      <c r="AA453">
        <v>0</v>
      </c>
      <c r="AB453">
        <v>0</v>
      </c>
      <c r="AC453">
        <v>0</v>
      </c>
      <c r="AD453" s="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x14ac:dyDescent="0.25">
      <c r="A454" t="s">
        <v>96</v>
      </c>
      <c r="B454" s="1">
        <v>37382</v>
      </c>
      <c r="C454" t="s">
        <v>48</v>
      </c>
      <c r="D454" t="s">
        <v>49</v>
      </c>
      <c r="E454" s="2">
        <v>45797</v>
      </c>
      <c r="F454" t="s">
        <v>412</v>
      </c>
      <c r="G454" t="s">
        <v>119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177</v>
      </c>
      <c r="W454" t="s">
        <v>72</v>
      </c>
      <c r="X454" s="4">
        <v>0</v>
      </c>
      <c r="Y454" t="s">
        <v>201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x14ac:dyDescent="0.25">
      <c r="A455" t="s">
        <v>96</v>
      </c>
      <c r="B455" s="1">
        <v>37383</v>
      </c>
      <c r="C455" t="s">
        <v>48</v>
      </c>
      <c r="D455" t="s">
        <v>49</v>
      </c>
      <c r="E455" s="2">
        <v>45797</v>
      </c>
      <c r="F455" t="s">
        <v>220</v>
      </c>
      <c r="G455" s="3" t="s">
        <v>167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106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146</v>
      </c>
      <c r="W455" t="s">
        <v>153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92</v>
      </c>
      <c r="AJ455" t="s">
        <v>92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171</v>
      </c>
      <c r="G456" t="s">
        <v>172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289</v>
      </c>
      <c r="X456" s="4">
        <v>0</v>
      </c>
      <c r="Y456" t="s">
        <v>62</v>
      </c>
      <c r="AK456" s="5"/>
    </row>
    <row r="457" spans="1:47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s="3" t="s">
        <v>54</v>
      </c>
      <c r="I457" s="3" t="s">
        <v>59</v>
      </c>
      <c r="K457" s="3" t="s">
        <v>92</v>
      </c>
      <c r="L457" s="3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  <c r="AD457" s="3"/>
      <c r="AE457" s="3"/>
      <c r="AK457" s="5"/>
    </row>
    <row r="458" spans="1:47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244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95</v>
      </c>
      <c r="X458" s="4">
        <v>0</v>
      </c>
      <c r="Y458" t="s">
        <v>62</v>
      </c>
    </row>
    <row r="459" spans="1:47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101</v>
      </c>
      <c r="G460" t="s">
        <v>94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84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102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103</v>
      </c>
      <c r="AI460" t="s">
        <v>92</v>
      </c>
      <c r="AJ460" t="s">
        <v>92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290</v>
      </c>
      <c r="G461" s="3" t="s">
        <v>138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95</v>
      </c>
      <c r="X461" s="4">
        <v>0</v>
      </c>
      <c r="Y461" t="s">
        <v>62</v>
      </c>
    </row>
    <row r="462" spans="1:47" x14ac:dyDescent="0.25">
      <c r="A462" t="s">
        <v>63</v>
      </c>
      <c r="B462" s="1">
        <v>633.79999999999995</v>
      </c>
      <c r="C462">
        <v>0</v>
      </c>
      <c r="D462">
        <v>0</v>
      </c>
      <c r="E462" s="2">
        <v>0</v>
      </c>
      <c r="F462">
        <v>0</v>
      </c>
      <c r="G462">
        <v>400</v>
      </c>
      <c r="H462" s="3" t="s">
        <v>54</v>
      </c>
      <c r="I462" s="3" t="s">
        <v>59</v>
      </c>
      <c r="K462" s="3" t="s">
        <v>73</v>
      </c>
      <c r="L462" s="3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x14ac:dyDescent="0.25">
      <c r="A463" t="s">
        <v>96</v>
      </c>
      <c r="B463" s="1">
        <v>37389</v>
      </c>
      <c r="C463" t="s">
        <v>48</v>
      </c>
      <c r="D463" t="s">
        <v>49</v>
      </c>
      <c r="E463" s="2">
        <v>45799</v>
      </c>
      <c r="F463" s="3" t="s">
        <v>184</v>
      </c>
      <c r="G463" s="3" t="s">
        <v>185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143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235</v>
      </c>
      <c r="G464" t="s">
        <v>157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236</v>
      </c>
      <c r="X464" s="4">
        <v>0</v>
      </c>
      <c r="Y464" t="s">
        <v>62</v>
      </c>
    </row>
    <row r="465" spans="1:47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237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161</v>
      </c>
      <c r="G466" s="3" t="s">
        <v>109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162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 s="3">
        <v>0</v>
      </c>
      <c r="AE466" s="3">
        <v>1000</v>
      </c>
      <c r="AF466" t="s">
        <v>54</v>
      </c>
      <c r="AG466" t="s">
        <v>59</v>
      </c>
      <c r="AI466" t="s">
        <v>92</v>
      </c>
      <c r="AJ466" t="s">
        <v>92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291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92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x14ac:dyDescent="0.25">
      <c r="A469" t="s">
        <v>136</v>
      </c>
      <c r="B469" s="1">
        <v>37393</v>
      </c>
      <c r="C469" t="s">
        <v>48</v>
      </c>
      <c r="D469" t="s">
        <v>49</v>
      </c>
      <c r="E469" s="2">
        <v>45803</v>
      </c>
      <c r="F469" t="s">
        <v>283</v>
      </c>
      <c r="G469" t="s">
        <v>284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114</v>
      </c>
      <c r="X469" s="4">
        <v>0</v>
      </c>
      <c r="Y469" t="s">
        <v>62</v>
      </c>
      <c r="Z469" s="3"/>
      <c r="AE469" s="3"/>
      <c r="AK469" s="5"/>
    </row>
    <row r="470" spans="1:47" x14ac:dyDescent="0.25">
      <c r="A470" t="s">
        <v>63</v>
      </c>
      <c r="B470" s="3">
        <v>6175</v>
      </c>
      <c r="C470">
        <v>0</v>
      </c>
      <c r="D470">
        <v>0</v>
      </c>
      <c r="E470" s="2">
        <v>0</v>
      </c>
      <c r="F470">
        <v>0</v>
      </c>
      <c r="G470" s="3">
        <v>15000</v>
      </c>
      <c r="H470" s="3" t="s">
        <v>54</v>
      </c>
      <c r="I470" s="3" t="s">
        <v>59</v>
      </c>
      <c r="K470" s="3" t="s">
        <v>80</v>
      </c>
      <c r="L470" s="3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  <c r="X470" s="4"/>
      <c r="AB470" s="3"/>
      <c r="AK470" s="5"/>
    </row>
    <row r="471" spans="1:47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129</v>
      </c>
      <c r="G471" t="s">
        <v>130</v>
      </c>
      <c r="H471" s="3">
        <v>5395</v>
      </c>
      <c r="I471" s="3">
        <v>5395</v>
      </c>
      <c r="J471">
        <v>0</v>
      </c>
      <c r="K471" s="3">
        <v>6204.25</v>
      </c>
      <c r="L471" s="3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181</v>
      </c>
      <c r="X471" s="4">
        <v>0</v>
      </c>
      <c r="Y471" t="s">
        <v>62</v>
      </c>
      <c r="Z471" s="3"/>
      <c r="AE471" s="3"/>
      <c r="AK471" s="5"/>
    </row>
    <row r="472" spans="1:47" x14ac:dyDescent="0.25">
      <c r="A472" t="s">
        <v>63</v>
      </c>
      <c r="B472" s="1">
        <v>910.5</v>
      </c>
      <c r="C472">
        <v>0</v>
      </c>
      <c r="D472">
        <v>0</v>
      </c>
      <c r="E472" s="2">
        <v>0</v>
      </c>
      <c r="F472">
        <v>0</v>
      </c>
      <c r="G472" s="3">
        <v>1500</v>
      </c>
      <c r="H472" s="3" t="s">
        <v>54</v>
      </c>
      <c r="I472" s="3" t="s">
        <v>59</v>
      </c>
      <c r="K472" s="3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  <c r="X472" s="4"/>
      <c r="AK472" s="5"/>
    </row>
    <row r="473" spans="1:47" x14ac:dyDescent="0.25">
      <c r="A473" t="s">
        <v>136</v>
      </c>
      <c r="B473" s="1">
        <v>37395</v>
      </c>
      <c r="C473" t="s">
        <v>48</v>
      </c>
      <c r="D473" t="s">
        <v>49</v>
      </c>
      <c r="E473" s="2">
        <v>45803</v>
      </c>
      <c r="F473" t="s">
        <v>292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84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177</v>
      </c>
      <c r="W473" t="s">
        <v>95</v>
      </c>
      <c r="X473" s="4">
        <v>0</v>
      </c>
      <c r="Y473" t="s">
        <v>58</v>
      </c>
      <c r="Z473" s="3">
        <v>1653.7</v>
      </c>
      <c r="AA473">
        <v>0</v>
      </c>
      <c r="AB473" s="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216</v>
      </c>
      <c r="G474" s="3" t="s">
        <v>89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95</v>
      </c>
      <c r="X474" s="4">
        <v>0</v>
      </c>
      <c r="Y474" t="s">
        <v>58</v>
      </c>
      <c r="Z474">
        <v>0</v>
      </c>
      <c r="AA474" s="3">
        <v>1121.5</v>
      </c>
      <c r="AB474" s="3">
        <v>0</v>
      </c>
      <c r="AC474">
        <v>0</v>
      </c>
      <c r="AD474">
        <v>0</v>
      </c>
      <c r="AE474" s="3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230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 s="3">
        <v>47.2</v>
      </c>
      <c r="M475" s="3">
        <v>17.46</v>
      </c>
      <c r="N475" t="s">
        <v>106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146</v>
      </c>
      <c r="W475" t="s">
        <v>95</v>
      </c>
      <c r="X475" s="4">
        <v>0</v>
      </c>
      <c r="Y475" t="s">
        <v>62</v>
      </c>
      <c r="AB475" s="3"/>
      <c r="AK475" s="5"/>
    </row>
    <row r="476" spans="1:47" x14ac:dyDescent="0.25">
      <c r="A476" t="s">
        <v>63</v>
      </c>
      <c r="B476" s="1">
        <v>47.2</v>
      </c>
      <c r="C476">
        <v>0</v>
      </c>
      <c r="D476">
        <v>0</v>
      </c>
      <c r="E476" s="2">
        <v>0</v>
      </c>
      <c r="F476">
        <v>0</v>
      </c>
      <c r="G476">
        <v>100</v>
      </c>
      <c r="H476" s="3" t="s">
        <v>54</v>
      </c>
      <c r="I476" s="3" t="s">
        <v>59</v>
      </c>
      <c r="J476" t="s">
        <v>231</v>
      </c>
      <c r="K476" s="3" t="s">
        <v>218</v>
      </c>
      <c r="L476" s="3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  <c r="X476" s="4"/>
      <c r="AB476" s="3"/>
      <c r="AE476" s="3"/>
      <c r="AK476" s="5"/>
    </row>
    <row r="477" spans="1:47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101</v>
      </c>
      <c r="G477" t="s">
        <v>94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84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102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103</v>
      </c>
      <c r="AI477" t="s">
        <v>92</v>
      </c>
      <c r="AJ477" t="s">
        <v>92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 s="3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  <c r="AB478" s="3"/>
      <c r="AE478" s="3"/>
      <c r="AK478" s="5"/>
    </row>
    <row r="479" spans="1:47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s="3" t="s">
        <v>54</v>
      </c>
      <c r="I479" s="3" t="s">
        <v>59</v>
      </c>
      <c r="J479" t="s">
        <v>64</v>
      </c>
      <c r="K479" s="3" t="s">
        <v>73</v>
      </c>
      <c r="L479" s="3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  <c r="AB479" s="3"/>
      <c r="AE479" s="3"/>
      <c r="AK479" s="5"/>
    </row>
    <row r="480" spans="1:47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252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84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95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206</v>
      </c>
      <c r="G481" s="3" t="s">
        <v>124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92</v>
      </c>
      <c r="AJ481" t="s">
        <v>92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206</v>
      </c>
      <c r="G482" t="s">
        <v>124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92</v>
      </c>
      <c r="AJ482" t="s">
        <v>92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s="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200</v>
      </c>
      <c r="AB483" s="3"/>
      <c r="AD483" s="3"/>
      <c r="AE483" s="3"/>
      <c r="AK483" s="5"/>
    </row>
    <row r="484" spans="1:47" x14ac:dyDescent="0.25">
      <c r="A484" t="s">
        <v>201</v>
      </c>
      <c r="B484" s="1">
        <v>0</v>
      </c>
      <c r="C484">
        <v>0</v>
      </c>
      <c r="D484">
        <v>317.60000000000002</v>
      </c>
      <c r="E484" s="2">
        <v>0</v>
      </c>
      <c r="F484" s="3">
        <v>0</v>
      </c>
      <c r="G484" s="3">
        <v>200</v>
      </c>
      <c r="H484" s="3" t="s">
        <v>54</v>
      </c>
      <c r="I484" s="3" t="s">
        <v>59</v>
      </c>
      <c r="K484" s="3" t="s">
        <v>92</v>
      </c>
      <c r="L484" s="3" t="s">
        <v>92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  <c r="X484" s="4"/>
    </row>
    <row r="485" spans="1:47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206</v>
      </c>
      <c r="G485" s="3" t="s">
        <v>124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92</v>
      </c>
      <c r="AJ485" t="s">
        <v>92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x14ac:dyDescent="0.25">
      <c r="A486" t="s">
        <v>96</v>
      </c>
      <c r="B486" s="1">
        <v>37408</v>
      </c>
      <c r="C486" t="s">
        <v>48</v>
      </c>
      <c r="D486" t="s">
        <v>49</v>
      </c>
      <c r="E486" s="2">
        <v>45805</v>
      </c>
      <c r="F486" t="s">
        <v>293</v>
      </c>
      <c r="G486" s="3" t="s">
        <v>217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90</v>
      </c>
      <c r="X486" s="4">
        <v>0</v>
      </c>
      <c r="Y486" t="s">
        <v>62</v>
      </c>
      <c r="Z486" s="3"/>
      <c r="AE486" s="3"/>
      <c r="AK486" s="5"/>
    </row>
    <row r="487" spans="1:47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294</v>
      </c>
      <c r="K487" s="3" t="s">
        <v>92</v>
      </c>
      <c r="L487" s="3" t="s">
        <v>92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  <c r="X487" s="4"/>
      <c r="AE487" s="3"/>
      <c r="AK487" s="5"/>
    </row>
    <row r="488" spans="1:47" x14ac:dyDescent="0.25">
      <c r="A488" t="s">
        <v>96</v>
      </c>
      <c r="B488" s="1">
        <v>37413</v>
      </c>
      <c r="C488" t="s">
        <v>48</v>
      </c>
      <c r="D488" t="s">
        <v>49</v>
      </c>
      <c r="E488" s="2">
        <v>45806</v>
      </c>
      <c r="F488" t="s">
        <v>295</v>
      </c>
      <c r="G488" s="3" t="s">
        <v>94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106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146</v>
      </c>
      <c r="W488" t="s">
        <v>90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218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x14ac:dyDescent="0.25">
      <c r="A489" t="s">
        <v>96</v>
      </c>
      <c r="B489" s="1">
        <v>37414</v>
      </c>
      <c r="C489" t="s">
        <v>48</v>
      </c>
      <c r="D489" t="s">
        <v>49</v>
      </c>
      <c r="E489" s="2">
        <v>45806</v>
      </c>
      <c r="F489" t="s">
        <v>295</v>
      </c>
      <c r="G489" t="s">
        <v>94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106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146</v>
      </c>
      <c r="W489" t="s">
        <v>90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218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x14ac:dyDescent="0.25">
      <c r="A490" t="s">
        <v>96</v>
      </c>
      <c r="B490" s="1">
        <v>37417</v>
      </c>
      <c r="C490" t="s">
        <v>48</v>
      </c>
      <c r="D490" t="s">
        <v>49</v>
      </c>
      <c r="E490" s="2">
        <v>45807</v>
      </c>
      <c r="F490" t="s">
        <v>154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 s="3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95</v>
      </c>
      <c r="X490" s="4">
        <v>0</v>
      </c>
      <c r="Y490" t="s">
        <v>62</v>
      </c>
    </row>
    <row r="491" spans="1:47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92</v>
      </c>
      <c r="L491" s="3" t="s">
        <v>92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s="3" t="s">
        <v>209</v>
      </c>
      <c r="G492" s="3" t="s">
        <v>119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117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210</v>
      </c>
      <c r="AI492" t="s">
        <v>92</v>
      </c>
      <c r="AJ492" t="s">
        <v>92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123</v>
      </c>
      <c r="G493" t="s">
        <v>124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95</v>
      </c>
      <c r="X493" s="4">
        <v>0</v>
      </c>
      <c r="Y493" t="s">
        <v>63</v>
      </c>
      <c r="Z493" s="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258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259</v>
      </c>
      <c r="X494" s="4">
        <v>0</v>
      </c>
      <c r="Y494" t="s">
        <v>62</v>
      </c>
      <c r="AE494" s="3"/>
      <c r="AK494" s="5"/>
    </row>
    <row r="495" spans="1:47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s="3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x14ac:dyDescent="0.25">
      <c r="A496" t="s">
        <v>96</v>
      </c>
      <c r="B496" s="1">
        <v>37422</v>
      </c>
      <c r="C496" t="s">
        <v>48</v>
      </c>
      <c r="D496" t="s">
        <v>49</v>
      </c>
      <c r="E496" s="2">
        <v>45810</v>
      </c>
      <c r="F496" s="3" t="s">
        <v>145</v>
      </c>
      <c r="G496" s="3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106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146</v>
      </c>
      <c r="W496" t="s">
        <v>147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218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x14ac:dyDescent="0.25">
      <c r="A497" t="s">
        <v>96</v>
      </c>
      <c r="B497" s="1">
        <v>37423</v>
      </c>
      <c r="C497" t="s">
        <v>48</v>
      </c>
      <c r="D497" t="s">
        <v>49</v>
      </c>
      <c r="E497" s="2">
        <v>45810</v>
      </c>
      <c r="F497" t="s">
        <v>145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106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146</v>
      </c>
      <c r="W497" t="s">
        <v>147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218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x14ac:dyDescent="0.25">
      <c r="A498" t="s">
        <v>96</v>
      </c>
      <c r="B498" s="1">
        <v>37424</v>
      </c>
      <c r="C498" t="s">
        <v>48</v>
      </c>
      <c r="D498" t="s">
        <v>49</v>
      </c>
      <c r="E498" s="2">
        <v>45810</v>
      </c>
      <c r="F498" t="s">
        <v>145</v>
      </c>
      <c r="G498" s="3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106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146</v>
      </c>
      <c r="W498" t="s">
        <v>147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218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x14ac:dyDescent="0.25">
      <c r="A499" t="s">
        <v>96</v>
      </c>
      <c r="B499" s="1">
        <v>37425</v>
      </c>
      <c r="C499" t="s">
        <v>48</v>
      </c>
      <c r="D499" t="s">
        <v>49</v>
      </c>
      <c r="E499" s="2">
        <v>45810</v>
      </c>
      <c r="F499" t="s">
        <v>145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106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146</v>
      </c>
      <c r="W499" t="s">
        <v>147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218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s="3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162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92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211</v>
      </c>
      <c r="G501" t="s">
        <v>212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164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x14ac:dyDescent="0.25">
      <c r="A502" t="s">
        <v>96</v>
      </c>
      <c r="B502" s="1">
        <v>37428</v>
      </c>
      <c r="C502" t="s">
        <v>48</v>
      </c>
      <c r="D502" s="3" t="s">
        <v>49</v>
      </c>
      <c r="E502" s="2">
        <v>45811</v>
      </c>
      <c r="F502" t="s">
        <v>296</v>
      </c>
      <c r="G502" s="3" t="s">
        <v>113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297</v>
      </c>
      <c r="X502" s="4">
        <v>0</v>
      </c>
      <c r="Y502" t="s">
        <v>62</v>
      </c>
      <c r="AE502" s="3"/>
      <c r="AK502" s="5"/>
    </row>
    <row r="503" spans="1:47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E503" s="3"/>
      <c r="AK503" s="5"/>
    </row>
    <row r="504" spans="1:47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150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 s="3">
        <v>96.92</v>
      </c>
      <c r="M504" s="3">
        <v>70.099999999999994</v>
      </c>
      <c r="N504" t="s">
        <v>84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s="3" t="s">
        <v>150</v>
      </c>
      <c r="G505" s="3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84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150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84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150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 s="3">
        <v>752</v>
      </c>
      <c r="M507" s="3">
        <v>275.98</v>
      </c>
      <c r="N507" t="s">
        <v>84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x14ac:dyDescent="0.25">
      <c r="A508" t="s">
        <v>96</v>
      </c>
      <c r="B508" s="1">
        <v>37434</v>
      </c>
      <c r="C508" t="s">
        <v>48</v>
      </c>
      <c r="D508" s="3" t="s">
        <v>49</v>
      </c>
      <c r="E508" s="2">
        <v>45811</v>
      </c>
      <c r="F508" t="s">
        <v>298</v>
      </c>
      <c r="G508" s="3" t="s">
        <v>94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106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146</v>
      </c>
      <c r="W508" t="s">
        <v>223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92</v>
      </c>
      <c r="AJ508" t="s">
        <v>92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x14ac:dyDescent="0.25">
      <c r="A509" t="s">
        <v>96</v>
      </c>
      <c r="B509" s="1">
        <v>37435</v>
      </c>
      <c r="C509" t="s">
        <v>48</v>
      </c>
      <c r="D509" t="s">
        <v>49</v>
      </c>
      <c r="E509" s="2">
        <v>45811</v>
      </c>
      <c r="F509" t="s">
        <v>299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289</v>
      </c>
      <c r="X509" s="4">
        <v>0</v>
      </c>
      <c r="Y509" t="s">
        <v>62</v>
      </c>
      <c r="AK509" s="5"/>
    </row>
    <row r="510" spans="1:47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x14ac:dyDescent="0.25">
      <c r="A511" t="s">
        <v>96</v>
      </c>
      <c r="B511" s="1">
        <v>37436</v>
      </c>
      <c r="C511" t="s">
        <v>48</v>
      </c>
      <c r="D511" t="s">
        <v>49</v>
      </c>
      <c r="E511" s="2">
        <v>45811</v>
      </c>
      <c r="F511" t="s">
        <v>300</v>
      </c>
      <c r="G511" t="s">
        <v>94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106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223</v>
      </c>
      <c r="X511" s="4">
        <v>0</v>
      </c>
      <c r="Y511" t="s">
        <v>62</v>
      </c>
      <c r="AK511" s="5"/>
    </row>
    <row r="512" spans="1:47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92</v>
      </c>
      <c r="L512" s="3" t="s">
        <v>92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x14ac:dyDescent="0.25">
      <c r="A513" t="s">
        <v>96</v>
      </c>
      <c r="B513" s="1">
        <v>37437</v>
      </c>
      <c r="C513" t="s">
        <v>48</v>
      </c>
      <c r="D513" t="s">
        <v>49</v>
      </c>
      <c r="E513" s="2">
        <v>45811</v>
      </c>
      <c r="F513" t="s">
        <v>301</v>
      </c>
      <c r="G513" s="3" t="s">
        <v>167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106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146</v>
      </c>
      <c r="W513" t="s">
        <v>223</v>
      </c>
      <c r="X513" s="4">
        <v>0</v>
      </c>
      <c r="Y513" t="s">
        <v>62</v>
      </c>
      <c r="AK513" s="5"/>
    </row>
    <row r="514" spans="1:47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92</v>
      </c>
      <c r="L514" t="s">
        <v>92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x14ac:dyDescent="0.25">
      <c r="A515" t="s">
        <v>96</v>
      </c>
      <c r="B515" s="1">
        <v>37438</v>
      </c>
      <c r="C515" t="s">
        <v>48</v>
      </c>
      <c r="D515" t="s">
        <v>49</v>
      </c>
      <c r="E515" s="2">
        <v>45811</v>
      </c>
      <c r="F515" t="s">
        <v>302</v>
      </c>
      <c r="G515" t="s">
        <v>94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106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146</v>
      </c>
      <c r="W515" t="s">
        <v>224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 s="3">
        <v>0</v>
      </c>
      <c r="AE515" s="3">
        <v>2200</v>
      </c>
      <c r="AF515" t="s">
        <v>54</v>
      </c>
      <c r="AG515" t="s">
        <v>59</v>
      </c>
      <c r="AI515" t="s">
        <v>218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129</v>
      </c>
      <c r="G516" t="s">
        <v>130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131</v>
      </c>
      <c r="X516" s="4">
        <v>0</v>
      </c>
      <c r="Y516" t="s">
        <v>62</v>
      </c>
      <c r="AD516" s="3"/>
      <c r="AE516" s="3"/>
      <c r="AK516" s="5"/>
    </row>
    <row r="517" spans="1:47" x14ac:dyDescent="0.25">
      <c r="A517" t="s">
        <v>63</v>
      </c>
      <c r="B517" s="1">
        <v>170.8</v>
      </c>
      <c r="C517">
        <v>0</v>
      </c>
      <c r="D517" s="3">
        <v>0</v>
      </c>
      <c r="E517" s="2">
        <v>0</v>
      </c>
      <c r="F517">
        <v>0</v>
      </c>
      <c r="G517" s="3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x14ac:dyDescent="0.25">
      <c r="A518" t="s">
        <v>96</v>
      </c>
      <c r="B518" s="1">
        <v>37440</v>
      </c>
      <c r="C518" t="s">
        <v>48</v>
      </c>
      <c r="D518" t="s">
        <v>49</v>
      </c>
      <c r="E518" s="2">
        <v>45813</v>
      </c>
      <c r="F518" t="s">
        <v>163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143</v>
      </c>
      <c r="X518" s="4">
        <v>0</v>
      </c>
      <c r="Y518" t="s">
        <v>58</v>
      </c>
      <c r="Z518" s="3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92</v>
      </c>
      <c r="AJ518" t="s">
        <v>92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x14ac:dyDescent="0.25">
      <c r="A519" t="s">
        <v>96</v>
      </c>
      <c r="B519" s="1">
        <v>37443</v>
      </c>
      <c r="C519" t="s">
        <v>48</v>
      </c>
      <c r="D519" t="s">
        <v>49</v>
      </c>
      <c r="E519" s="2">
        <v>45813</v>
      </c>
      <c r="F519" t="s">
        <v>303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 s="3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  <c r="Z519" s="3"/>
      <c r="AE519" s="3"/>
      <c r="AK519" s="5"/>
    </row>
    <row r="520" spans="1:47" x14ac:dyDescent="0.25">
      <c r="A520" t="s">
        <v>63</v>
      </c>
      <c r="B520" s="1">
        <v>246.2</v>
      </c>
      <c r="C520">
        <v>0</v>
      </c>
      <c r="D520">
        <v>0</v>
      </c>
      <c r="E520" s="2">
        <v>0</v>
      </c>
      <c r="F520">
        <v>0</v>
      </c>
      <c r="G520">
        <v>200</v>
      </c>
      <c r="H520" s="3" t="s">
        <v>54</v>
      </c>
      <c r="I520" s="3" t="s">
        <v>59</v>
      </c>
      <c r="K520" s="3" t="s">
        <v>73</v>
      </c>
      <c r="L520" s="3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  <c r="X520" s="4"/>
    </row>
    <row r="521" spans="1:47" x14ac:dyDescent="0.25">
      <c r="A521" t="s">
        <v>47</v>
      </c>
      <c r="B521" s="1">
        <v>37444</v>
      </c>
      <c r="C521" t="s">
        <v>48</v>
      </c>
      <c r="D521" s="3" t="s">
        <v>49</v>
      </c>
      <c r="E521" s="2">
        <v>45813</v>
      </c>
      <c r="F521" t="s">
        <v>304</v>
      </c>
      <c r="G521" t="s">
        <v>87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178</v>
      </c>
      <c r="X521" s="4">
        <v>0</v>
      </c>
      <c r="Y521" t="s">
        <v>62</v>
      </c>
    </row>
    <row r="522" spans="1:47" x14ac:dyDescent="0.25">
      <c r="A522" t="s">
        <v>63</v>
      </c>
      <c r="B522" s="1">
        <v>0</v>
      </c>
      <c r="C522">
        <v>0</v>
      </c>
      <c r="D522">
        <v>435</v>
      </c>
      <c r="E522" s="2">
        <v>0</v>
      </c>
      <c r="F522">
        <v>0</v>
      </c>
      <c r="G522" s="3">
        <v>250</v>
      </c>
      <c r="H522" s="3" t="s">
        <v>54</v>
      </c>
      <c r="I522" s="3" t="s">
        <v>59</v>
      </c>
      <c r="K522" s="3" t="s">
        <v>73</v>
      </c>
      <c r="L522" s="3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  <c r="X522" s="4"/>
    </row>
    <row r="523" spans="1:47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s="3" t="s">
        <v>304</v>
      </c>
      <c r="G523" s="3" t="s">
        <v>87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178</v>
      </c>
      <c r="X523" s="4">
        <v>0</v>
      </c>
      <c r="Y523" t="s">
        <v>62</v>
      </c>
    </row>
    <row r="524" spans="1:47" x14ac:dyDescent="0.25">
      <c r="A524" t="s">
        <v>63</v>
      </c>
      <c r="B524" s="3">
        <v>0</v>
      </c>
      <c r="C524">
        <v>0</v>
      </c>
      <c r="D524">
        <v>435</v>
      </c>
      <c r="E524" s="2">
        <v>0</v>
      </c>
      <c r="F524">
        <v>0</v>
      </c>
      <c r="G524" s="3">
        <v>250</v>
      </c>
      <c r="H524" s="3" t="s">
        <v>54</v>
      </c>
      <c r="I524" s="3" t="s">
        <v>59</v>
      </c>
      <c r="K524" s="3" t="s">
        <v>73</v>
      </c>
      <c r="L524" s="3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  <c r="X524" s="4"/>
      <c r="Z524" s="3"/>
      <c r="AE524" s="3"/>
      <c r="AK524" s="5"/>
    </row>
    <row r="525" spans="1:47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304</v>
      </c>
      <c r="G525" t="s">
        <v>87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178</v>
      </c>
      <c r="X525" s="4">
        <v>0</v>
      </c>
      <c r="Y525" t="s">
        <v>62</v>
      </c>
      <c r="AK525" s="5"/>
    </row>
    <row r="526" spans="1:47" x14ac:dyDescent="0.25">
      <c r="A526" t="s">
        <v>63</v>
      </c>
      <c r="B526" s="3">
        <v>0</v>
      </c>
      <c r="C526">
        <v>0</v>
      </c>
      <c r="D526">
        <v>107.03</v>
      </c>
      <c r="E526" s="2">
        <v>0</v>
      </c>
      <c r="F526">
        <v>0</v>
      </c>
      <c r="G526" s="3">
        <v>70</v>
      </c>
      <c r="H526" s="3" t="s">
        <v>54</v>
      </c>
      <c r="I526" s="3" t="s">
        <v>59</v>
      </c>
      <c r="K526" s="3" t="s">
        <v>73</v>
      </c>
      <c r="L526" s="3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  <c r="X526" s="4"/>
    </row>
    <row r="527" spans="1:47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108</v>
      </c>
      <c r="G527" s="3" t="s">
        <v>109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84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110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92</v>
      </c>
      <c r="AJ527" t="s">
        <v>92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x14ac:dyDescent="0.25">
      <c r="A528" t="s">
        <v>96</v>
      </c>
      <c r="B528" s="1">
        <v>37448</v>
      </c>
      <c r="C528" t="s">
        <v>48</v>
      </c>
      <c r="D528" t="s">
        <v>49</v>
      </c>
      <c r="E528" s="2">
        <v>45813</v>
      </c>
      <c r="F528" t="s">
        <v>275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95</v>
      </c>
      <c r="X528" s="4">
        <v>0</v>
      </c>
      <c r="Y528" t="s">
        <v>62</v>
      </c>
    </row>
    <row r="529" spans="1:47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x14ac:dyDescent="0.25">
      <c r="A530" t="s">
        <v>96</v>
      </c>
      <c r="B530" s="1">
        <v>37449</v>
      </c>
      <c r="C530" t="s">
        <v>48</v>
      </c>
      <c r="D530" t="s">
        <v>49</v>
      </c>
      <c r="E530" s="2">
        <v>45813</v>
      </c>
      <c r="F530" t="s">
        <v>135</v>
      </c>
      <c r="G530" s="3" t="s">
        <v>94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182</v>
      </c>
      <c r="K531" s="3" t="s">
        <v>60</v>
      </c>
      <c r="L531" s="3" t="s">
        <v>92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101</v>
      </c>
      <c r="G532" s="3" t="s">
        <v>94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84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102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103</v>
      </c>
      <c r="AI532" t="s">
        <v>92</v>
      </c>
      <c r="AJ532" t="s">
        <v>92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x14ac:dyDescent="0.25">
      <c r="A533" t="s">
        <v>96</v>
      </c>
      <c r="B533" s="1">
        <v>37451</v>
      </c>
      <c r="C533" t="s">
        <v>48</v>
      </c>
      <c r="D533" s="3" t="s">
        <v>49</v>
      </c>
      <c r="E533" s="2">
        <v>45814</v>
      </c>
      <c r="F533" t="s">
        <v>305</v>
      </c>
      <c r="G533" s="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143</v>
      </c>
      <c r="X533" s="4">
        <v>0</v>
      </c>
      <c r="Y533" t="s">
        <v>62</v>
      </c>
    </row>
    <row r="534" spans="1:47" x14ac:dyDescent="0.25">
      <c r="A534" t="s">
        <v>63</v>
      </c>
      <c r="B534" s="3">
        <v>4219</v>
      </c>
      <c r="C534">
        <v>0</v>
      </c>
      <c r="D534">
        <v>0</v>
      </c>
      <c r="E534" s="2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  <c r="X534" s="4"/>
    </row>
    <row r="535" spans="1:47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246</v>
      </c>
      <c r="G535" s="3" t="s">
        <v>94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106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146</v>
      </c>
      <c r="W535" t="s">
        <v>153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218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133</v>
      </c>
      <c r="G536" t="s">
        <v>89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134</v>
      </c>
      <c r="X536" s="4">
        <v>0</v>
      </c>
      <c r="Y536" t="s">
        <v>58</v>
      </c>
      <c r="Z536" s="3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150</v>
      </c>
      <c r="G537" t="s">
        <v>66</v>
      </c>
      <c r="H537" s="3">
        <v>333</v>
      </c>
      <c r="I537" s="3">
        <v>333</v>
      </c>
      <c r="J537">
        <v>0</v>
      </c>
      <c r="K537" s="3">
        <v>382.95</v>
      </c>
      <c r="L537" s="3">
        <v>83.4</v>
      </c>
      <c r="M537" s="3">
        <v>29.19</v>
      </c>
      <c r="N537" t="s">
        <v>84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 s="3">
        <v>83.4</v>
      </c>
      <c r="AA537">
        <v>0</v>
      </c>
      <c r="AB537">
        <v>0</v>
      </c>
      <c r="AC537">
        <v>0</v>
      </c>
      <c r="AD537">
        <v>0</v>
      </c>
      <c r="AE537" s="3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150</v>
      </c>
      <c r="G538" t="s">
        <v>66</v>
      </c>
      <c r="H538" s="3">
        <v>333</v>
      </c>
      <c r="I538" s="3">
        <v>333</v>
      </c>
      <c r="J538">
        <v>0</v>
      </c>
      <c r="K538" s="3">
        <v>382.95</v>
      </c>
      <c r="L538" s="3">
        <v>83.4</v>
      </c>
      <c r="M538" s="3">
        <v>29.19</v>
      </c>
      <c r="N538" t="s">
        <v>84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 s="3">
        <v>83.4</v>
      </c>
      <c r="AA538">
        <v>0</v>
      </c>
      <c r="AB538">
        <v>0</v>
      </c>
      <c r="AC538">
        <v>0</v>
      </c>
      <c r="AD538">
        <v>0</v>
      </c>
      <c r="AE538" s="3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186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84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 s="3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256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153</v>
      </c>
      <c r="X541" s="4">
        <v>0</v>
      </c>
      <c r="Y541" t="s">
        <v>62</v>
      </c>
    </row>
    <row r="542" spans="1:47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 s="3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304</v>
      </c>
      <c r="G543" s="3" t="s">
        <v>87</v>
      </c>
      <c r="H543" s="3">
        <v>2544</v>
      </c>
      <c r="I543" s="3">
        <v>2544</v>
      </c>
      <c r="J543">
        <v>0</v>
      </c>
      <c r="K543" s="3">
        <v>2925.6</v>
      </c>
      <c r="L543" s="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178</v>
      </c>
      <c r="X543" s="4">
        <v>0</v>
      </c>
      <c r="Y543" t="s">
        <v>62</v>
      </c>
    </row>
    <row r="544" spans="1:47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 s="3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 s="3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 s="3">
        <v>645</v>
      </c>
      <c r="G546" s="3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148</v>
      </c>
      <c r="G547" s="3" t="s">
        <v>89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95</v>
      </c>
      <c r="X547" s="4">
        <v>0</v>
      </c>
      <c r="Y547" t="s">
        <v>62</v>
      </c>
      <c r="AK547" s="5"/>
    </row>
    <row r="548" spans="1:47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s="3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  <c r="Z548" s="3"/>
      <c r="AE548" s="3"/>
      <c r="AK548" s="5"/>
    </row>
    <row r="549" spans="1:47" x14ac:dyDescent="0.25">
      <c r="A549" t="s">
        <v>96</v>
      </c>
      <c r="B549" s="1">
        <v>37462</v>
      </c>
      <c r="C549" t="s">
        <v>48</v>
      </c>
      <c r="D549" t="s">
        <v>49</v>
      </c>
      <c r="E549" s="2">
        <v>45818</v>
      </c>
      <c r="F549" t="s">
        <v>145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106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146</v>
      </c>
      <c r="W549" t="s">
        <v>147</v>
      </c>
      <c r="X549" s="4">
        <v>0</v>
      </c>
      <c r="Y549" t="s">
        <v>58</v>
      </c>
      <c r="Z549">
        <v>0</v>
      </c>
      <c r="AA549">
        <v>0</v>
      </c>
      <c r="AB549" s="3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218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280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 s="3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 s="3">
        <v>441</v>
      </c>
      <c r="AC550">
        <v>0</v>
      </c>
      <c r="AD550">
        <v>0</v>
      </c>
      <c r="AE550" s="3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280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 s="3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x14ac:dyDescent="0.25">
      <c r="A552" t="s">
        <v>96</v>
      </c>
      <c r="B552" s="1">
        <v>37467</v>
      </c>
      <c r="C552" t="s">
        <v>48</v>
      </c>
      <c r="D552" t="s">
        <v>49</v>
      </c>
      <c r="E552" s="2">
        <v>45818</v>
      </c>
      <c r="F552" t="s">
        <v>407</v>
      </c>
      <c r="G552" s="3" t="s">
        <v>89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408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149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x14ac:dyDescent="0.25">
      <c r="A553" t="s">
        <v>96</v>
      </c>
      <c r="B553" s="1">
        <v>37468</v>
      </c>
      <c r="C553" t="s">
        <v>48</v>
      </c>
      <c r="D553" t="s">
        <v>49</v>
      </c>
      <c r="E553" s="2">
        <v>45818</v>
      </c>
      <c r="F553" t="s">
        <v>407</v>
      </c>
      <c r="G553" s="3" t="s">
        <v>89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408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149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101</v>
      </c>
      <c r="G554" s="3" t="s">
        <v>94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84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102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103</v>
      </c>
      <c r="AI554" t="s">
        <v>92</v>
      </c>
      <c r="AJ554" t="s">
        <v>92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155</v>
      </c>
      <c r="G555" s="3" t="s">
        <v>89</v>
      </c>
      <c r="H555" s="3">
        <v>4485</v>
      </c>
      <c r="I555" s="3">
        <v>4485</v>
      </c>
      <c r="J555">
        <v>0</v>
      </c>
      <c r="K555" s="3">
        <v>5157.75</v>
      </c>
      <c r="L555" s="3">
        <v>972</v>
      </c>
      <c r="M555" s="3">
        <v>356.72</v>
      </c>
      <c r="N555" t="s">
        <v>106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146</v>
      </c>
      <c r="W555" t="s">
        <v>85</v>
      </c>
      <c r="X555" s="4">
        <v>0</v>
      </c>
      <c r="Y555" t="s">
        <v>62</v>
      </c>
      <c r="Z555" s="3"/>
      <c r="AB555" s="3"/>
      <c r="AE555" s="3"/>
      <c r="AK555" s="5"/>
    </row>
    <row r="556" spans="1:47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149</v>
      </c>
      <c r="K556" s="3" t="s">
        <v>218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  <c r="AK556" s="5"/>
    </row>
    <row r="557" spans="1:47" x14ac:dyDescent="0.25">
      <c r="A557" t="s">
        <v>96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140</v>
      </c>
      <c r="G557" s="3" t="s">
        <v>141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131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103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112</v>
      </c>
      <c r="G558" t="s">
        <v>113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115</v>
      </c>
      <c r="AI558" t="s">
        <v>60</v>
      </c>
      <c r="AJ558" t="s">
        <v>92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111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95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x14ac:dyDescent="0.25">
      <c r="A560" t="s">
        <v>96</v>
      </c>
      <c r="B560" s="1">
        <v>37475</v>
      </c>
      <c r="C560" t="s">
        <v>48</v>
      </c>
      <c r="D560" t="s">
        <v>49</v>
      </c>
      <c r="E560" s="2">
        <v>45820</v>
      </c>
      <c r="F560" t="s">
        <v>220</v>
      </c>
      <c r="G560" t="s">
        <v>167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106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146</v>
      </c>
      <c r="W560" t="s">
        <v>153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218</v>
      </c>
      <c r="AJ560" t="s">
        <v>92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x14ac:dyDescent="0.25">
      <c r="A561" t="s">
        <v>96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306</v>
      </c>
      <c r="G561" s="3" t="s">
        <v>94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297</v>
      </c>
      <c r="X561" s="4">
        <v>0</v>
      </c>
      <c r="Y561" t="s">
        <v>62</v>
      </c>
      <c r="AB561" s="3"/>
      <c r="AK561" s="5"/>
    </row>
    <row r="562" spans="1:47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307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  <c r="AD562" s="3"/>
      <c r="AE562" s="3"/>
      <c r="AK562" s="5"/>
    </row>
    <row r="563" spans="1:47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174</v>
      </c>
      <c r="G563" s="3" t="s">
        <v>113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173</v>
      </c>
      <c r="X563" s="4">
        <v>0</v>
      </c>
      <c r="Y563" t="s">
        <v>62</v>
      </c>
      <c r="AE563" s="3"/>
      <c r="AK563" s="5"/>
    </row>
    <row r="564" spans="1:47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92</v>
      </c>
      <c r="L564" s="3" t="s">
        <v>92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x14ac:dyDescent="0.25">
      <c r="A565" t="s">
        <v>96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220</v>
      </c>
      <c r="G565" s="3" t="s">
        <v>167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106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146</v>
      </c>
      <c r="W565" t="s">
        <v>153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218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304</v>
      </c>
      <c r="G566" t="s">
        <v>87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178</v>
      </c>
      <c r="X566" s="4">
        <v>0</v>
      </c>
      <c r="Y566" t="s">
        <v>62</v>
      </c>
      <c r="AD566" s="3"/>
      <c r="AE566" s="3"/>
      <c r="AK566" s="5"/>
    </row>
    <row r="567" spans="1:47" x14ac:dyDescent="0.25">
      <c r="A567" t="s">
        <v>63</v>
      </c>
      <c r="B567" s="1">
        <v>0</v>
      </c>
      <c r="C567">
        <v>0</v>
      </c>
      <c r="D567">
        <v>207</v>
      </c>
      <c r="E567" s="2">
        <v>0</v>
      </c>
      <c r="F567" s="3">
        <v>0</v>
      </c>
      <c r="G567" s="3">
        <v>200</v>
      </c>
      <c r="H567" s="3" t="s">
        <v>54</v>
      </c>
      <c r="I567" s="3" t="s">
        <v>59</v>
      </c>
      <c r="K567" s="3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x14ac:dyDescent="0.25">
      <c r="A568" t="s">
        <v>96</v>
      </c>
      <c r="B568" s="1">
        <v>37480</v>
      </c>
      <c r="C568" t="s">
        <v>48</v>
      </c>
      <c r="D568" t="s">
        <v>49</v>
      </c>
      <c r="E568" s="2">
        <v>45824</v>
      </c>
      <c r="F568" t="s">
        <v>276</v>
      </c>
      <c r="G568" s="3" t="s">
        <v>157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106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146</v>
      </c>
      <c r="W568" t="s">
        <v>131</v>
      </c>
      <c r="X568" s="4">
        <v>0</v>
      </c>
      <c r="Y568" t="s">
        <v>62</v>
      </c>
    </row>
    <row r="569" spans="1:47" x14ac:dyDescent="0.25">
      <c r="A569" t="s">
        <v>63</v>
      </c>
      <c r="B569" s="3">
        <v>2775</v>
      </c>
      <c r="C569">
        <v>0</v>
      </c>
      <c r="D569">
        <v>0</v>
      </c>
      <c r="E569" s="2">
        <v>0</v>
      </c>
      <c r="F569" s="3">
        <v>0</v>
      </c>
      <c r="G569" s="3">
        <v>6000</v>
      </c>
      <c r="H569" s="3" t="s">
        <v>54</v>
      </c>
      <c r="I569" s="3" t="s">
        <v>59</v>
      </c>
      <c r="J569" t="s">
        <v>237</v>
      </c>
      <c r="K569" s="3" t="s">
        <v>218</v>
      </c>
      <c r="L569" s="3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  <c r="X569" s="4"/>
      <c r="Z569" s="3"/>
      <c r="AE569" s="3"/>
      <c r="AK569" s="5"/>
    </row>
    <row r="570" spans="1:47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206</v>
      </c>
      <c r="G570" t="s">
        <v>124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92</v>
      </c>
      <c r="AJ570" t="s">
        <v>92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s="3" t="s">
        <v>206</v>
      </c>
      <c r="G571" s="3" t="s">
        <v>124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92</v>
      </c>
      <c r="AJ571" t="s">
        <v>92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206</v>
      </c>
      <c r="G572" t="s">
        <v>124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92</v>
      </c>
      <c r="AJ572" t="s">
        <v>92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206</v>
      </c>
      <c r="G573" s="3" t="s">
        <v>124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92</v>
      </c>
      <c r="AJ573" t="s">
        <v>92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129</v>
      </c>
      <c r="G574" t="s">
        <v>130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181</v>
      </c>
      <c r="X574" s="4">
        <v>0</v>
      </c>
      <c r="Y574" t="s">
        <v>62</v>
      </c>
    </row>
    <row r="575" spans="1:47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x14ac:dyDescent="0.25">
      <c r="A576" t="s">
        <v>96</v>
      </c>
      <c r="B576" s="1">
        <v>37486</v>
      </c>
      <c r="C576" t="s">
        <v>48</v>
      </c>
      <c r="D576" t="s">
        <v>49</v>
      </c>
      <c r="E576" s="2">
        <v>45824</v>
      </c>
      <c r="F576" t="s">
        <v>166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153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308</v>
      </c>
      <c r="G577" t="s">
        <v>251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192</v>
      </c>
      <c r="X577" s="4">
        <v>0</v>
      </c>
      <c r="Y577" t="s">
        <v>62</v>
      </c>
    </row>
    <row r="578" spans="1:47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x14ac:dyDescent="0.25">
      <c r="A579" t="s">
        <v>96</v>
      </c>
      <c r="B579" s="1">
        <v>37489</v>
      </c>
      <c r="C579" t="s">
        <v>48</v>
      </c>
      <c r="D579" t="s">
        <v>49</v>
      </c>
      <c r="E579" s="2">
        <v>45825</v>
      </c>
      <c r="F579" t="s">
        <v>140</v>
      </c>
      <c r="G579" t="s">
        <v>141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100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 s="3">
        <v>450</v>
      </c>
      <c r="AF579" t="s">
        <v>54</v>
      </c>
      <c r="AG579" t="s">
        <v>59</v>
      </c>
      <c r="AH579" t="s">
        <v>103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 s="3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 s="3">
        <v>42</v>
      </c>
      <c r="G581" s="3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x14ac:dyDescent="0.25">
      <c r="A582" t="s">
        <v>96</v>
      </c>
      <c r="B582" s="1">
        <v>37493</v>
      </c>
      <c r="C582" t="s">
        <v>48</v>
      </c>
      <c r="D582" t="s">
        <v>49</v>
      </c>
      <c r="E582" s="2">
        <v>45826</v>
      </c>
      <c r="F582" t="s">
        <v>309</v>
      </c>
      <c r="G582" t="s">
        <v>94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 s="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x14ac:dyDescent="0.25">
      <c r="A584" t="s">
        <v>136</v>
      </c>
      <c r="B584" s="1">
        <v>37494</v>
      </c>
      <c r="C584" t="s">
        <v>48</v>
      </c>
      <c r="D584" t="s">
        <v>49</v>
      </c>
      <c r="E584" s="2">
        <v>45826</v>
      </c>
      <c r="F584" t="s">
        <v>310</v>
      </c>
      <c r="G584" t="s">
        <v>191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106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146</v>
      </c>
      <c r="W584" t="s">
        <v>114</v>
      </c>
      <c r="X584" s="4">
        <v>0</v>
      </c>
      <c r="Y584" t="s">
        <v>62</v>
      </c>
      <c r="AD584" s="3"/>
      <c r="AE584" s="3"/>
      <c r="AK584" s="5"/>
    </row>
    <row r="585" spans="1:47" x14ac:dyDescent="0.25">
      <c r="A585" t="s">
        <v>63</v>
      </c>
      <c r="B585" s="3">
        <v>2364</v>
      </c>
      <c r="C585">
        <v>0</v>
      </c>
      <c r="D585">
        <v>0</v>
      </c>
      <c r="E585" s="2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  <c r="X585" s="4"/>
    </row>
    <row r="586" spans="1:47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161</v>
      </c>
      <c r="G586" t="s">
        <v>109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162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92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x14ac:dyDescent="0.25">
      <c r="A587" t="s">
        <v>96</v>
      </c>
      <c r="B587" s="1">
        <v>37496</v>
      </c>
      <c r="C587" t="s">
        <v>48</v>
      </c>
      <c r="D587" t="s">
        <v>49</v>
      </c>
      <c r="E587" s="2">
        <v>45828</v>
      </c>
      <c r="F587" t="s">
        <v>285</v>
      </c>
      <c r="G587" t="s">
        <v>217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106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146</v>
      </c>
      <c r="W587" t="s">
        <v>286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218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104</v>
      </c>
      <c r="G588" s="3" t="s">
        <v>89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311</v>
      </c>
      <c r="G589" t="s">
        <v>113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114</v>
      </c>
      <c r="X589" s="4">
        <v>0</v>
      </c>
      <c r="Y589" t="s">
        <v>62</v>
      </c>
      <c r="Z589" s="3"/>
      <c r="AE589" s="3"/>
      <c r="AK589" s="5"/>
    </row>
    <row r="590" spans="1:47" x14ac:dyDescent="0.25">
      <c r="A590" t="s">
        <v>63</v>
      </c>
      <c r="B590" s="3">
        <v>1220.4000000000001</v>
      </c>
      <c r="C590">
        <v>0</v>
      </c>
      <c r="D590" s="3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280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 s="3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 s="3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280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x14ac:dyDescent="0.25">
      <c r="A593" t="s">
        <v>136</v>
      </c>
      <c r="B593" s="1">
        <v>37501</v>
      </c>
      <c r="C593" t="s">
        <v>48</v>
      </c>
      <c r="D593" t="s">
        <v>49</v>
      </c>
      <c r="E593" s="2">
        <v>45828</v>
      </c>
      <c r="F593" t="s">
        <v>406</v>
      </c>
      <c r="G593" s="3" t="s">
        <v>138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114</v>
      </c>
      <c r="X593" s="4">
        <v>0</v>
      </c>
      <c r="Y593" t="s">
        <v>62</v>
      </c>
    </row>
    <row r="594" spans="1:47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182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  <c r="AE594" s="3"/>
      <c r="AK594" s="5"/>
    </row>
    <row r="595" spans="1:47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150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84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133</v>
      </c>
      <c r="G596" t="s">
        <v>89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134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312</v>
      </c>
      <c r="G597" s="3" t="s">
        <v>119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  <c r="Z597" s="3"/>
      <c r="AE597" s="3"/>
      <c r="AK597" s="5"/>
    </row>
    <row r="598" spans="1:47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182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x14ac:dyDescent="0.25">
      <c r="A599" t="s">
        <v>96</v>
      </c>
      <c r="B599" s="1">
        <v>37507</v>
      </c>
      <c r="C599" t="s">
        <v>48</v>
      </c>
      <c r="D599" t="s">
        <v>49</v>
      </c>
      <c r="E599" s="2">
        <v>45831</v>
      </c>
      <c r="F599" t="s">
        <v>151</v>
      </c>
      <c r="G599" s="3" t="s">
        <v>152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153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174</v>
      </c>
      <c r="G600" t="s">
        <v>113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173</v>
      </c>
      <c r="X600" s="4">
        <v>0</v>
      </c>
      <c r="Y600" t="s">
        <v>62</v>
      </c>
    </row>
    <row r="601" spans="1:47" x14ac:dyDescent="0.25">
      <c r="A601" t="s">
        <v>63</v>
      </c>
      <c r="B601" s="3">
        <v>1335</v>
      </c>
      <c r="C601">
        <v>0</v>
      </c>
      <c r="D601" s="3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92</v>
      </c>
      <c r="L601" t="s">
        <v>92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93</v>
      </c>
      <c r="G602" t="s">
        <v>94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84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95</v>
      </c>
      <c r="X602" s="4">
        <v>0</v>
      </c>
      <c r="Y602" t="s">
        <v>62</v>
      </c>
      <c r="AE602" s="3"/>
      <c r="AK602" s="5"/>
    </row>
    <row r="603" spans="1:47" x14ac:dyDescent="0.25">
      <c r="A603" t="s">
        <v>63</v>
      </c>
      <c r="B603" s="3">
        <v>0</v>
      </c>
      <c r="C603">
        <v>0</v>
      </c>
      <c r="D603">
        <v>121.79</v>
      </c>
      <c r="E603" s="2">
        <v>0</v>
      </c>
      <c r="F603">
        <v>0</v>
      </c>
      <c r="G603" s="3">
        <v>170</v>
      </c>
      <c r="H603" s="3" t="s">
        <v>54</v>
      </c>
      <c r="I603" s="3" t="s">
        <v>59</v>
      </c>
      <c r="K603" s="3" t="s">
        <v>73</v>
      </c>
      <c r="L603" s="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  <c r="X603" s="4"/>
      <c r="Z603" s="3"/>
      <c r="AB603" s="3"/>
      <c r="AE603" s="3"/>
      <c r="AK603" s="5"/>
    </row>
    <row r="604" spans="1:47" x14ac:dyDescent="0.25">
      <c r="A604" t="s">
        <v>96</v>
      </c>
      <c r="B604" s="1">
        <v>37510</v>
      </c>
      <c r="C604" t="s">
        <v>48</v>
      </c>
      <c r="D604" t="s">
        <v>49</v>
      </c>
      <c r="E604" s="2">
        <v>45832</v>
      </c>
      <c r="F604" t="s">
        <v>313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314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x14ac:dyDescent="0.25">
      <c r="A605" t="s">
        <v>96</v>
      </c>
      <c r="B605" s="1">
        <v>37511</v>
      </c>
      <c r="C605" t="s">
        <v>48</v>
      </c>
      <c r="D605" t="s">
        <v>49</v>
      </c>
      <c r="E605" s="2">
        <v>45832</v>
      </c>
      <c r="F605" t="s">
        <v>315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84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x14ac:dyDescent="0.25">
      <c r="A606" t="s">
        <v>96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145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106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146</v>
      </c>
      <c r="W606" t="s">
        <v>147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92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179</v>
      </c>
      <c r="G607" s="3" t="s">
        <v>94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106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146</v>
      </c>
      <c r="W607" t="s">
        <v>107</v>
      </c>
      <c r="X607" s="4">
        <v>0</v>
      </c>
      <c r="Y607" t="s">
        <v>62</v>
      </c>
      <c r="AK607" s="5"/>
    </row>
    <row r="608" spans="1:47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144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316</v>
      </c>
      <c r="G609" s="3" t="s">
        <v>94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223</v>
      </c>
      <c r="X609" s="4">
        <v>0</v>
      </c>
      <c r="Y609" t="s">
        <v>62</v>
      </c>
      <c r="Z609" s="3"/>
      <c r="AE609" s="3"/>
      <c r="AK609" s="5"/>
    </row>
    <row r="610" spans="1:47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304</v>
      </c>
      <c r="G611" s="3" t="s">
        <v>87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178</v>
      </c>
      <c r="X611" s="4">
        <v>0</v>
      </c>
      <c r="Y611" t="s">
        <v>62</v>
      </c>
    </row>
    <row r="612" spans="1:47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92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x14ac:dyDescent="0.25">
      <c r="A613" t="s">
        <v>96</v>
      </c>
      <c r="B613" s="1">
        <v>37518</v>
      </c>
      <c r="C613" t="s">
        <v>48</v>
      </c>
      <c r="D613" t="s">
        <v>49</v>
      </c>
      <c r="E613" s="2">
        <v>45833</v>
      </c>
      <c r="F613" t="s">
        <v>276</v>
      </c>
      <c r="G613" t="s">
        <v>157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106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146</v>
      </c>
      <c r="W613" t="s">
        <v>131</v>
      </c>
      <c r="X613" s="4">
        <v>0</v>
      </c>
      <c r="Y613" t="s">
        <v>62</v>
      </c>
    </row>
    <row r="614" spans="1:47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237</v>
      </c>
      <c r="K614" s="3" t="s">
        <v>73</v>
      </c>
      <c r="L614" s="3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  <c r="AD614" s="3"/>
      <c r="AE614" s="3"/>
      <c r="AK614" s="5"/>
    </row>
    <row r="615" spans="1:47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317</v>
      </c>
      <c r="G615" s="3" t="s">
        <v>318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153</v>
      </c>
      <c r="X615" s="4">
        <v>0</v>
      </c>
      <c r="Y615" t="s">
        <v>62</v>
      </c>
    </row>
    <row r="616" spans="1:47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92</v>
      </c>
      <c r="L616" s="3" t="s">
        <v>92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x14ac:dyDescent="0.25">
      <c r="A617" t="s">
        <v>96</v>
      </c>
      <c r="B617" s="1">
        <v>37521</v>
      </c>
      <c r="C617" t="s">
        <v>48</v>
      </c>
      <c r="D617" t="s">
        <v>49</v>
      </c>
      <c r="E617" s="2">
        <v>45833</v>
      </c>
      <c r="F617" t="s">
        <v>145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106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146</v>
      </c>
      <c r="W617" t="s">
        <v>147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174</v>
      </c>
      <c r="G618" s="3" t="s">
        <v>113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173</v>
      </c>
      <c r="X618" s="4">
        <v>0</v>
      </c>
      <c r="Y618" t="s">
        <v>62</v>
      </c>
    </row>
    <row r="619" spans="1:47" x14ac:dyDescent="0.25">
      <c r="A619" t="s">
        <v>63</v>
      </c>
      <c r="B619" s="3">
        <v>1038</v>
      </c>
      <c r="C619">
        <v>0</v>
      </c>
      <c r="D619">
        <v>0</v>
      </c>
      <c r="E619" s="2">
        <v>0</v>
      </c>
      <c r="F619">
        <v>0</v>
      </c>
      <c r="G619" s="3">
        <v>1000</v>
      </c>
      <c r="H619" s="3" t="s">
        <v>54</v>
      </c>
      <c r="I619" s="3" t="s">
        <v>59</v>
      </c>
      <c r="K619" s="3" t="s">
        <v>92</v>
      </c>
      <c r="L619" t="s">
        <v>92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101</v>
      </c>
      <c r="G620" t="s">
        <v>94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84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102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103</v>
      </c>
      <c r="AI620" t="s">
        <v>92</v>
      </c>
      <c r="AJ620" t="s">
        <v>92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129</v>
      </c>
      <c r="G621" t="s">
        <v>130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181</v>
      </c>
      <c r="X621" s="4">
        <v>0</v>
      </c>
      <c r="Y621" t="s">
        <v>62</v>
      </c>
      <c r="Z621" s="3"/>
      <c r="AE621" s="3"/>
      <c r="AK621" s="5"/>
    </row>
    <row r="622" spans="1:47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92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B622" s="3"/>
      <c r="AE622" s="3"/>
      <c r="AK622" s="5"/>
    </row>
    <row r="623" spans="1:47" x14ac:dyDescent="0.25">
      <c r="A623" t="s">
        <v>96</v>
      </c>
      <c r="B623" s="1">
        <v>37527</v>
      </c>
      <c r="C623" t="s">
        <v>48</v>
      </c>
      <c r="D623" t="s">
        <v>49</v>
      </c>
      <c r="E623" s="2">
        <v>45834</v>
      </c>
      <c r="F623" t="s">
        <v>319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121</v>
      </c>
      <c r="W623" t="s">
        <v>289</v>
      </c>
      <c r="X623" s="4">
        <v>0</v>
      </c>
      <c r="Y623" t="s">
        <v>62</v>
      </c>
      <c r="Z623" s="3"/>
      <c r="AE623" s="3"/>
      <c r="AK623" s="5"/>
    </row>
    <row r="624" spans="1:47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92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x14ac:dyDescent="0.25">
      <c r="A625" t="s">
        <v>96</v>
      </c>
      <c r="B625" s="1">
        <v>37528</v>
      </c>
      <c r="C625" t="s">
        <v>48</v>
      </c>
      <c r="D625" t="s">
        <v>49</v>
      </c>
      <c r="E625" s="2">
        <v>45834</v>
      </c>
      <c r="F625" t="s">
        <v>319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121</v>
      </c>
      <c r="W625" t="s">
        <v>289</v>
      </c>
      <c r="X625" s="4">
        <v>0</v>
      </c>
      <c r="Y625" t="s">
        <v>62</v>
      </c>
      <c r="AE625" s="3"/>
      <c r="AK625" s="5"/>
    </row>
    <row r="626" spans="1:47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92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  <c r="AB626" s="3"/>
      <c r="AD626" s="3"/>
      <c r="AE626" s="3"/>
      <c r="AK626" s="5"/>
    </row>
    <row r="627" spans="1:47" x14ac:dyDescent="0.25">
      <c r="A627" t="s">
        <v>96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412</v>
      </c>
      <c r="G627" s="3" t="s">
        <v>119</v>
      </c>
      <c r="H627" s="3">
        <v>1760</v>
      </c>
      <c r="I627" s="3">
        <v>1760</v>
      </c>
      <c r="J627">
        <v>0</v>
      </c>
      <c r="K627" s="3">
        <v>1760</v>
      </c>
      <c r="L627" s="3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201</v>
      </c>
      <c r="Z627">
        <v>472</v>
      </c>
      <c r="AA627">
        <v>0</v>
      </c>
      <c r="AB627">
        <v>0</v>
      </c>
      <c r="AC627">
        <v>0</v>
      </c>
      <c r="AD627" s="3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111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95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x14ac:dyDescent="0.25">
      <c r="A629" t="s">
        <v>47</v>
      </c>
      <c r="B629" s="1">
        <v>37531</v>
      </c>
      <c r="C629" t="s">
        <v>48</v>
      </c>
      <c r="D629" s="3" t="s">
        <v>49</v>
      </c>
      <c r="E629" s="2">
        <v>45835</v>
      </c>
      <c r="F629" t="s">
        <v>129</v>
      </c>
      <c r="G629" s="3" t="s">
        <v>130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181</v>
      </c>
      <c r="X629" s="4">
        <v>0</v>
      </c>
      <c r="Y629" t="s">
        <v>62</v>
      </c>
    </row>
    <row r="630" spans="1:47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s="3" t="s">
        <v>54</v>
      </c>
      <c r="I630" s="3" t="s">
        <v>59</v>
      </c>
      <c r="K630" s="3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129</v>
      </c>
      <c r="G631" t="s">
        <v>130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181</v>
      </c>
      <c r="X631" s="4">
        <v>0</v>
      </c>
      <c r="Y631" t="s">
        <v>62</v>
      </c>
    </row>
    <row r="632" spans="1:47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129</v>
      </c>
      <c r="G633" s="3" t="s">
        <v>130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181</v>
      </c>
      <c r="X633" s="4">
        <v>0</v>
      </c>
      <c r="Y633" t="s">
        <v>62</v>
      </c>
    </row>
    <row r="634" spans="1:47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x14ac:dyDescent="0.25">
      <c r="A635" t="s">
        <v>96</v>
      </c>
      <c r="B635" s="1">
        <v>37537</v>
      </c>
      <c r="C635" t="s">
        <v>48</v>
      </c>
      <c r="D635" s="3" t="s">
        <v>49</v>
      </c>
      <c r="E635" s="2">
        <v>45835</v>
      </c>
      <c r="F635" t="s">
        <v>320</v>
      </c>
      <c r="G635" s="3" t="s">
        <v>251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106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95</v>
      </c>
      <c r="X635" s="4">
        <v>0</v>
      </c>
      <c r="Y635" t="s">
        <v>62</v>
      </c>
    </row>
    <row r="636" spans="1:47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s="3" t="s">
        <v>54</v>
      </c>
      <c r="I636" s="3" t="s">
        <v>59</v>
      </c>
      <c r="J636" t="s">
        <v>321</v>
      </c>
      <c r="K636" s="3" t="s">
        <v>218</v>
      </c>
      <c r="L636" t="s">
        <v>92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x14ac:dyDescent="0.25">
      <c r="A637" t="s">
        <v>96</v>
      </c>
      <c r="B637" s="1">
        <v>37538</v>
      </c>
      <c r="C637" t="s">
        <v>48</v>
      </c>
      <c r="D637" t="s">
        <v>49</v>
      </c>
      <c r="E637" s="2">
        <v>45835</v>
      </c>
      <c r="F637" t="s">
        <v>322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203</v>
      </c>
      <c r="G638" t="s">
        <v>94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84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271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144</v>
      </c>
      <c r="AI638" t="s">
        <v>92</v>
      </c>
      <c r="AJ638" t="s">
        <v>92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101</v>
      </c>
      <c r="G639" s="3" t="s">
        <v>94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84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102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103</v>
      </c>
      <c r="AI639" t="s">
        <v>92</v>
      </c>
      <c r="AJ639" t="s">
        <v>92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x14ac:dyDescent="0.25">
      <c r="A640" t="s">
        <v>96</v>
      </c>
      <c r="B640" s="1">
        <v>37542</v>
      </c>
      <c r="C640" t="s">
        <v>48</v>
      </c>
      <c r="D640" t="s">
        <v>49</v>
      </c>
      <c r="E640" s="2">
        <v>45835</v>
      </c>
      <c r="F640" t="s">
        <v>180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 s="3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181</v>
      </c>
      <c r="X640" s="4">
        <v>0</v>
      </c>
      <c r="Y640" t="s">
        <v>62</v>
      </c>
      <c r="AB640" s="3"/>
      <c r="AE640" s="3"/>
      <c r="AK640" s="5"/>
    </row>
    <row r="641" spans="1:47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x14ac:dyDescent="0.25">
      <c r="A642" t="s">
        <v>96</v>
      </c>
      <c r="B642" s="1">
        <v>37543</v>
      </c>
      <c r="C642" t="s">
        <v>48</v>
      </c>
      <c r="D642" t="s">
        <v>49</v>
      </c>
      <c r="E642" s="2">
        <v>45835</v>
      </c>
      <c r="F642" t="s">
        <v>175</v>
      </c>
      <c r="G642" s="3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153</v>
      </c>
      <c r="X642" s="4">
        <v>0</v>
      </c>
      <c r="Y642" t="s">
        <v>62</v>
      </c>
      <c r="AD642" s="3"/>
      <c r="AE642" s="3"/>
      <c r="AK642" s="5"/>
    </row>
    <row r="643" spans="1:47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x14ac:dyDescent="0.25">
      <c r="A644" t="s">
        <v>96</v>
      </c>
      <c r="B644" s="1">
        <v>37544</v>
      </c>
      <c r="C644" t="s">
        <v>48</v>
      </c>
      <c r="D644" t="s">
        <v>49</v>
      </c>
      <c r="E644" s="2">
        <v>45835</v>
      </c>
      <c r="F644" t="s">
        <v>196</v>
      </c>
      <c r="G644" t="s">
        <v>159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92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280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280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 s="3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227</v>
      </c>
      <c r="G648" t="s">
        <v>89</v>
      </c>
      <c r="H648" s="3">
        <v>1368.8</v>
      </c>
      <c r="I648" s="3">
        <v>1368.8</v>
      </c>
      <c r="J648">
        <v>0</v>
      </c>
      <c r="K648" s="3">
        <v>1574.12</v>
      </c>
      <c r="L648" s="3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x14ac:dyDescent="0.25">
      <c r="A649" t="s">
        <v>63</v>
      </c>
      <c r="B649" s="1">
        <v>348</v>
      </c>
      <c r="C649">
        <v>0</v>
      </c>
      <c r="D649" s="3">
        <v>0</v>
      </c>
      <c r="E649" s="2">
        <v>0</v>
      </c>
      <c r="F649">
        <v>0</v>
      </c>
      <c r="G649" s="3">
        <v>290</v>
      </c>
      <c r="H649" s="3" t="s">
        <v>54</v>
      </c>
      <c r="I649" s="3" t="s">
        <v>59</v>
      </c>
      <c r="J649" t="s">
        <v>149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 s="3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148</v>
      </c>
      <c r="G651" s="3" t="s">
        <v>89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B651" s="3"/>
      <c r="AD651" s="3"/>
      <c r="AE651" s="3"/>
      <c r="AK651" s="5"/>
    </row>
    <row r="652" spans="1:47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s="3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B652" s="3"/>
      <c r="AE652" s="3"/>
      <c r="AK652" s="5"/>
    </row>
    <row r="653" spans="1:47" x14ac:dyDescent="0.25">
      <c r="A653" t="s">
        <v>96</v>
      </c>
      <c r="B653" s="1">
        <v>37550</v>
      </c>
      <c r="C653" t="s">
        <v>48</v>
      </c>
      <c r="D653" t="s">
        <v>49</v>
      </c>
      <c r="E653" s="2">
        <v>45838</v>
      </c>
      <c r="F653" t="s">
        <v>120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121</v>
      </c>
      <c r="W653" t="s">
        <v>122</v>
      </c>
      <c r="X653" s="4">
        <v>0</v>
      </c>
      <c r="Y653" t="s">
        <v>58</v>
      </c>
      <c r="Z653" s="3">
        <v>0</v>
      </c>
      <c r="AA653">
        <v>0</v>
      </c>
      <c r="AB653" s="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x14ac:dyDescent="0.25">
      <c r="A654" t="s">
        <v>96</v>
      </c>
      <c r="B654" s="1">
        <v>37551</v>
      </c>
      <c r="C654" t="s">
        <v>48</v>
      </c>
      <c r="D654" t="s">
        <v>49</v>
      </c>
      <c r="E654" s="2">
        <v>45838</v>
      </c>
      <c r="F654" t="s">
        <v>120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121</v>
      </c>
      <c r="W654" t="s">
        <v>122</v>
      </c>
      <c r="X654" s="4">
        <v>0</v>
      </c>
      <c r="Y654" t="s">
        <v>58</v>
      </c>
      <c r="Z654" s="3">
        <v>0</v>
      </c>
      <c r="AA654">
        <v>0</v>
      </c>
      <c r="AB654" s="3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x14ac:dyDescent="0.25">
      <c r="A655" t="s">
        <v>96</v>
      </c>
      <c r="B655" s="1">
        <v>37552</v>
      </c>
      <c r="C655" t="s">
        <v>48</v>
      </c>
      <c r="D655" t="s">
        <v>49</v>
      </c>
      <c r="E655" s="2">
        <v>45838</v>
      </c>
      <c r="F655" t="s">
        <v>120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121</v>
      </c>
      <c r="W655" t="s">
        <v>122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x14ac:dyDescent="0.25">
      <c r="A656" t="s">
        <v>96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120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121</v>
      </c>
      <c r="W656" t="s">
        <v>122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x14ac:dyDescent="0.25">
      <c r="A657" t="s">
        <v>96</v>
      </c>
      <c r="B657" s="1">
        <v>37555</v>
      </c>
      <c r="C657" t="s">
        <v>48</v>
      </c>
      <c r="D657" t="s">
        <v>49</v>
      </c>
      <c r="E657" s="2">
        <v>45838</v>
      </c>
      <c r="F657" t="s">
        <v>120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121</v>
      </c>
      <c r="W657" t="s">
        <v>122</v>
      </c>
      <c r="X657" s="4">
        <v>0</v>
      </c>
      <c r="Y657" t="s">
        <v>58</v>
      </c>
      <c r="Z657">
        <v>0</v>
      </c>
      <c r="AA657">
        <v>0</v>
      </c>
      <c r="AB657" s="3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x14ac:dyDescent="0.25">
      <c r="A658" t="s">
        <v>96</v>
      </c>
      <c r="B658" s="1">
        <v>37556</v>
      </c>
      <c r="C658" t="s">
        <v>48</v>
      </c>
      <c r="D658" t="s">
        <v>49</v>
      </c>
      <c r="E658" s="2">
        <v>45838</v>
      </c>
      <c r="F658" t="s">
        <v>142</v>
      </c>
      <c r="G658" t="s">
        <v>94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106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146</v>
      </c>
      <c r="W658" t="s">
        <v>224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144</v>
      </c>
      <c r="AI658" t="s">
        <v>218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x14ac:dyDescent="0.25">
      <c r="A659" t="s">
        <v>96</v>
      </c>
      <c r="B659" s="1">
        <v>37557</v>
      </c>
      <c r="C659" t="s">
        <v>48</v>
      </c>
      <c r="D659" t="s">
        <v>49</v>
      </c>
      <c r="E659" s="2">
        <v>45838</v>
      </c>
      <c r="F659" t="s">
        <v>120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121</v>
      </c>
      <c r="W659" t="s">
        <v>122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x14ac:dyDescent="0.25">
      <c r="A660" t="s">
        <v>96</v>
      </c>
      <c r="B660" s="1">
        <v>37558</v>
      </c>
      <c r="C660" t="s">
        <v>48</v>
      </c>
      <c r="D660" t="s">
        <v>49</v>
      </c>
      <c r="E660" s="2">
        <v>45838</v>
      </c>
      <c r="F660" t="s">
        <v>140</v>
      </c>
      <c r="G660" s="3" t="s">
        <v>141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202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103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323</v>
      </c>
      <c r="G661" s="3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153</v>
      </c>
      <c r="X661" s="4">
        <v>0</v>
      </c>
      <c r="Y661" t="s">
        <v>62</v>
      </c>
    </row>
    <row r="662" spans="1:47" x14ac:dyDescent="0.25">
      <c r="A662" t="s">
        <v>63</v>
      </c>
      <c r="B662" s="1">
        <v>0</v>
      </c>
      <c r="C662">
        <v>0</v>
      </c>
      <c r="D662" s="3">
        <v>1150.5</v>
      </c>
      <c r="E662" s="2">
        <v>0</v>
      </c>
      <c r="F662">
        <v>0</v>
      </c>
      <c r="G662" s="3">
        <v>600</v>
      </c>
      <c r="H662" s="3" t="s">
        <v>54</v>
      </c>
      <c r="I662" s="3" t="s">
        <v>59</v>
      </c>
      <c r="K662" s="3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  <c r="X662" s="4"/>
      <c r="AK662" s="5"/>
    </row>
    <row r="663" spans="1:47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206</v>
      </c>
      <c r="G663" t="s">
        <v>124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150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84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x14ac:dyDescent="0.25">
      <c r="A665" t="s">
        <v>136</v>
      </c>
      <c r="B665" s="1">
        <v>37562</v>
      </c>
      <c r="C665" t="s">
        <v>48</v>
      </c>
      <c r="D665" t="s">
        <v>49</v>
      </c>
      <c r="E665" s="2">
        <v>45840</v>
      </c>
      <c r="F665" t="s">
        <v>238</v>
      </c>
      <c r="G665" t="s">
        <v>239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84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164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x14ac:dyDescent="0.25">
      <c r="A666" t="s">
        <v>96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86</v>
      </c>
      <c r="G666" s="3" t="s">
        <v>87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84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85</v>
      </c>
      <c r="X666" s="4">
        <v>0</v>
      </c>
      <c r="Y666" t="s">
        <v>62</v>
      </c>
    </row>
    <row r="667" spans="1:47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92</v>
      </c>
      <c r="L667" s="3" t="s">
        <v>92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x14ac:dyDescent="0.25">
      <c r="A668" t="s">
        <v>96</v>
      </c>
      <c r="B668" s="1">
        <v>37566</v>
      </c>
      <c r="C668" t="s">
        <v>48</v>
      </c>
      <c r="D668" t="s">
        <v>49</v>
      </c>
      <c r="E668" s="2">
        <v>45840</v>
      </c>
      <c r="F668" t="s">
        <v>156</v>
      </c>
      <c r="G668" t="s">
        <v>157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106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146</v>
      </c>
      <c r="W668" t="s">
        <v>72</v>
      </c>
      <c r="X668" s="4">
        <v>0</v>
      </c>
      <c r="Y668" t="s">
        <v>62</v>
      </c>
      <c r="AA668" s="3"/>
      <c r="AB668" s="3"/>
      <c r="AE668" s="3"/>
      <c r="AK668" s="5"/>
    </row>
    <row r="669" spans="1:47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B669" s="3"/>
      <c r="AE669" s="3"/>
      <c r="AK669" s="5"/>
    </row>
    <row r="670" spans="1:47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150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84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s="3" t="s">
        <v>150</v>
      </c>
      <c r="G671" s="3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84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150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84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s="3" t="s">
        <v>150</v>
      </c>
      <c r="G673" s="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84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150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 s="3">
        <v>327.45999999999998</v>
      </c>
      <c r="M674" s="3">
        <v>244.94</v>
      </c>
      <c r="N674" t="s">
        <v>84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s="3" t="s">
        <v>150</v>
      </c>
      <c r="G675" s="3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84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x14ac:dyDescent="0.25">
      <c r="A676" t="s">
        <v>96</v>
      </c>
      <c r="B676" s="1">
        <v>37573</v>
      </c>
      <c r="C676" t="s">
        <v>48</v>
      </c>
      <c r="D676" t="s">
        <v>49</v>
      </c>
      <c r="E676" s="2">
        <v>45840</v>
      </c>
      <c r="F676" t="s">
        <v>305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143</v>
      </c>
      <c r="X676" s="4">
        <v>0</v>
      </c>
      <c r="Y676" t="s">
        <v>201</v>
      </c>
      <c r="Z676" s="3">
        <v>2633</v>
      </c>
      <c r="AA676">
        <v>0</v>
      </c>
      <c r="AB676">
        <v>0</v>
      </c>
      <c r="AC676">
        <v>0</v>
      </c>
      <c r="AD676" s="3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x14ac:dyDescent="0.25">
      <c r="A677" t="s">
        <v>96</v>
      </c>
      <c r="B677" s="1">
        <v>37574</v>
      </c>
      <c r="C677" t="s">
        <v>48</v>
      </c>
      <c r="D677" t="s">
        <v>49</v>
      </c>
      <c r="E677" s="2">
        <v>45840</v>
      </c>
      <c r="F677" t="s">
        <v>145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106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146</v>
      </c>
      <c r="W677" t="s">
        <v>147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206</v>
      </c>
      <c r="G678" t="s">
        <v>124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206</v>
      </c>
      <c r="G679" s="3" t="s">
        <v>124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206</v>
      </c>
      <c r="G680" t="s">
        <v>124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206</v>
      </c>
      <c r="G681" t="s">
        <v>124</v>
      </c>
      <c r="H681" s="3">
        <v>2708.4</v>
      </c>
      <c r="I681" s="3">
        <v>2708.4</v>
      </c>
      <c r="J681">
        <v>0</v>
      </c>
      <c r="K681" s="3">
        <v>3114.66</v>
      </c>
      <c r="L681" s="3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206</v>
      </c>
      <c r="G682" s="3" t="s">
        <v>124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x14ac:dyDescent="0.25">
      <c r="A683" t="s">
        <v>96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324</v>
      </c>
      <c r="G683" s="3" t="s">
        <v>109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  <c r="AK683" s="5"/>
    </row>
    <row r="684" spans="1:47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  <c r="AK684" s="5"/>
    </row>
    <row r="685" spans="1:47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298</v>
      </c>
      <c r="G685" s="3" t="s">
        <v>94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106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146</v>
      </c>
      <c r="W685" t="s">
        <v>102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  <c r="AE686" s="3"/>
      <c r="AK686" s="5"/>
    </row>
    <row r="687" spans="1:47" x14ac:dyDescent="0.25">
      <c r="A687" t="s">
        <v>63</v>
      </c>
      <c r="B687" s="1">
        <v>132.25</v>
      </c>
      <c r="C687">
        <v>0</v>
      </c>
      <c r="D687">
        <v>916.2</v>
      </c>
      <c r="E687" s="2">
        <v>0</v>
      </c>
      <c r="F687">
        <v>0</v>
      </c>
      <c r="G687" s="3">
        <v>1350</v>
      </c>
      <c r="H687" s="3" t="s">
        <v>54</v>
      </c>
      <c r="I687" s="3" t="s">
        <v>59</v>
      </c>
      <c r="J687" t="s">
        <v>64</v>
      </c>
      <c r="K687" s="3" t="s">
        <v>73</v>
      </c>
      <c r="L687" s="3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  <c r="X687" s="4"/>
      <c r="AD687" s="3"/>
      <c r="AE687" s="3"/>
      <c r="AK687" s="5"/>
    </row>
    <row r="688" spans="1:47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150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84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 s="3">
        <v>95.16</v>
      </c>
      <c r="AC688">
        <v>0</v>
      </c>
      <c r="AD688">
        <v>0</v>
      </c>
      <c r="AE688" s="3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x14ac:dyDescent="0.25">
      <c r="A689" t="s">
        <v>96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413</v>
      </c>
      <c r="G689" s="3" t="s">
        <v>66</v>
      </c>
      <c r="H689" s="3">
        <v>540</v>
      </c>
      <c r="I689" s="3">
        <v>540</v>
      </c>
      <c r="J689">
        <v>0</v>
      </c>
      <c r="K689" s="3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95</v>
      </c>
      <c r="X689" s="4">
        <v>0</v>
      </c>
      <c r="Y689" t="s">
        <v>62</v>
      </c>
      <c r="AK689" s="5"/>
    </row>
    <row r="690" spans="1:47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  <c r="AB690" s="3"/>
      <c r="AE690" s="3"/>
      <c r="AK690" s="5"/>
    </row>
    <row r="691" spans="1:47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155</v>
      </c>
      <c r="G691" s="3" t="s">
        <v>89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106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146</v>
      </c>
      <c r="W691" t="s">
        <v>85</v>
      </c>
      <c r="X691" s="4">
        <v>0</v>
      </c>
      <c r="Y691" t="s">
        <v>62</v>
      </c>
      <c r="AB691" s="3"/>
      <c r="AE691" s="3"/>
      <c r="AK691" s="5"/>
    </row>
    <row r="692" spans="1:47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s="3" t="s">
        <v>54</v>
      </c>
      <c r="I692" s="3" t="s">
        <v>59</v>
      </c>
      <c r="J692" t="s">
        <v>149</v>
      </c>
      <c r="K692" s="3" t="s">
        <v>218</v>
      </c>
      <c r="L692" s="3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  <c r="Z692" s="3"/>
      <c r="AE692" s="3"/>
      <c r="AK692" s="5"/>
    </row>
    <row r="693" spans="1:47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207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 s="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192</v>
      </c>
      <c r="X693" s="4">
        <v>0</v>
      </c>
      <c r="Y693" t="s">
        <v>62</v>
      </c>
      <c r="Z693" s="3"/>
      <c r="AE693" s="3"/>
      <c r="AK693" s="5"/>
    </row>
    <row r="694" spans="1:47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s="3" t="s">
        <v>54</v>
      </c>
      <c r="I694" s="3" t="s">
        <v>59</v>
      </c>
      <c r="K694" s="3" t="s">
        <v>80</v>
      </c>
      <c r="L694" s="3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  <c r="Z694" s="3"/>
      <c r="AE694" s="3"/>
      <c r="AK694" s="5"/>
    </row>
    <row r="695" spans="1:47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108</v>
      </c>
      <c r="G695" t="s">
        <v>109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84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110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92</v>
      </c>
      <c r="AJ695" t="s">
        <v>92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325</v>
      </c>
      <c r="G696" t="s">
        <v>251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84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117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150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84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209</v>
      </c>
      <c r="G698" s="3" t="s">
        <v>119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117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210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148</v>
      </c>
      <c r="G699" t="s">
        <v>89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95</v>
      </c>
      <c r="X699" s="4">
        <v>0</v>
      </c>
      <c r="Y699" t="s">
        <v>62</v>
      </c>
      <c r="AE699" s="3"/>
      <c r="AK699" s="5"/>
    </row>
    <row r="700" spans="1:47" x14ac:dyDescent="0.25">
      <c r="A700" t="s">
        <v>63</v>
      </c>
      <c r="B700" s="3">
        <v>0</v>
      </c>
      <c r="C700">
        <v>0</v>
      </c>
      <c r="D700">
        <v>0</v>
      </c>
      <c r="E700" s="2">
        <v>0</v>
      </c>
      <c r="F700" s="3">
        <v>4010</v>
      </c>
      <c r="G700" s="3">
        <v>2000</v>
      </c>
      <c r="H700" s="3" t="s">
        <v>54</v>
      </c>
      <c r="I700" s="3" t="s">
        <v>59</v>
      </c>
      <c r="K700" s="3" t="s">
        <v>73</v>
      </c>
      <c r="L700" s="3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  <c r="X700" s="4"/>
    </row>
    <row r="701" spans="1:47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s="3" t="s">
        <v>148</v>
      </c>
      <c r="G701" s="3" t="s">
        <v>89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95</v>
      </c>
      <c r="X701" s="4">
        <v>0</v>
      </c>
      <c r="Y701" t="s">
        <v>62</v>
      </c>
    </row>
    <row r="702" spans="1:47" x14ac:dyDescent="0.25">
      <c r="A702" t="s">
        <v>63</v>
      </c>
      <c r="B702" s="1">
        <v>0</v>
      </c>
      <c r="C702">
        <v>0</v>
      </c>
      <c r="D702">
        <v>0</v>
      </c>
      <c r="E702" s="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  <c r="X702" s="4"/>
    </row>
    <row r="703" spans="1:47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148</v>
      </c>
      <c r="G703" t="s">
        <v>89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95</v>
      </c>
      <c r="X703" s="4">
        <v>0</v>
      </c>
      <c r="Y703" t="s">
        <v>62</v>
      </c>
    </row>
    <row r="704" spans="1:47" x14ac:dyDescent="0.25">
      <c r="A704" t="s">
        <v>63</v>
      </c>
      <c r="B704" s="3">
        <v>0</v>
      </c>
      <c r="C704">
        <v>0</v>
      </c>
      <c r="D704">
        <v>0</v>
      </c>
      <c r="E704" s="2">
        <v>0</v>
      </c>
      <c r="F704" s="3">
        <v>4491.2</v>
      </c>
      <c r="G704" s="3">
        <v>2240</v>
      </c>
      <c r="H704" s="3" t="s">
        <v>54</v>
      </c>
      <c r="I704" s="3" t="s">
        <v>59</v>
      </c>
      <c r="K704" s="3" t="s">
        <v>73</v>
      </c>
      <c r="L704" s="3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  <c r="Z704" s="3"/>
      <c r="AE704" s="3"/>
      <c r="AK704" s="5"/>
    </row>
    <row r="705" spans="1:47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148</v>
      </c>
      <c r="G705" t="s">
        <v>89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95</v>
      </c>
      <c r="X705" s="4">
        <v>0</v>
      </c>
      <c r="Y705" t="s">
        <v>62</v>
      </c>
    </row>
    <row r="706" spans="1:47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148</v>
      </c>
      <c r="G707" t="s">
        <v>89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95</v>
      </c>
      <c r="X707" s="4">
        <v>0</v>
      </c>
      <c r="Y707" t="s">
        <v>62</v>
      </c>
    </row>
    <row r="708" spans="1:47" x14ac:dyDescent="0.25">
      <c r="A708" t="s">
        <v>63</v>
      </c>
      <c r="B708">
        <v>0</v>
      </c>
      <c r="C708">
        <v>0</v>
      </c>
      <c r="D708" s="3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x14ac:dyDescent="0.25">
      <c r="A709" t="s">
        <v>96</v>
      </c>
      <c r="B709" s="1">
        <v>37597</v>
      </c>
      <c r="C709" t="s">
        <v>48</v>
      </c>
      <c r="D709" t="s">
        <v>49</v>
      </c>
      <c r="E709" s="2">
        <v>45846</v>
      </c>
      <c r="F709" t="s">
        <v>409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192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92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101</v>
      </c>
      <c r="G710" t="s">
        <v>94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84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102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103</v>
      </c>
      <c r="AI710" t="s">
        <v>92</v>
      </c>
      <c r="AJ710" t="s">
        <v>92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x14ac:dyDescent="0.25">
      <c r="A711" t="s">
        <v>96</v>
      </c>
      <c r="B711" s="1">
        <v>37601</v>
      </c>
      <c r="C711" t="s">
        <v>48</v>
      </c>
      <c r="D711" t="s">
        <v>49</v>
      </c>
      <c r="E711" s="2">
        <v>45847</v>
      </c>
      <c r="F711" t="s">
        <v>326</v>
      </c>
      <c r="G711" t="s">
        <v>167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106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146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92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316</v>
      </c>
      <c r="G712" t="s">
        <v>94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223</v>
      </c>
      <c r="X712" s="4">
        <v>0</v>
      </c>
      <c r="Y712" t="s">
        <v>62</v>
      </c>
    </row>
    <row r="713" spans="1:47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92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327</v>
      </c>
      <c r="G714" t="s">
        <v>89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202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182</v>
      </c>
      <c r="AI714" t="s">
        <v>92</v>
      </c>
      <c r="AJ714" t="s">
        <v>92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123</v>
      </c>
      <c r="G715" t="s">
        <v>124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95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209</v>
      </c>
      <c r="G716" t="s">
        <v>119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117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210</v>
      </c>
      <c r="AI716" t="s">
        <v>92</v>
      </c>
      <c r="AJ716" t="s">
        <v>92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93</v>
      </c>
      <c r="G717" t="s">
        <v>94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84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95</v>
      </c>
      <c r="X717" s="4">
        <v>0</v>
      </c>
      <c r="Y717" t="s">
        <v>62</v>
      </c>
    </row>
    <row r="718" spans="1:47" x14ac:dyDescent="0.25">
      <c r="A718" t="s">
        <v>63</v>
      </c>
      <c r="B718" s="1">
        <v>0</v>
      </c>
      <c r="C718">
        <v>0</v>
      </c>
      <c r="D718">
        <v>165.96</v>
      </c>
      <c r="E718" s="2">
        <v>0</v>
      </c>
      <c r="F718">
        <v>0</v>
      </c>
      <c r="G718">
        <v>120</v>
      </c>
      <c r="H718" s="3" t="s">
        <v>54</v>
      </c>
      <c r="I718" s="3" t="s">
        <v>59</v>
      </c>
      <c r="K718" s="3" t="s">
        <v>73</v>
      </c>
      <c r="L718" s="3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  <c r="X718" s="4"/>
      <c r="AD718" s="3"/>
      <c r="AE718" s="3"/>
      <c r="AK718" s="5"/>
    </row>
    <row r="719" spans="1:47" x14ac:dyDescent="0.25">
      <c r="A719" t="s">
        <v>96</v>
      </c>
      <c r="B719" s="1">
        <v>37608</v>
      </c>
      <c r="C719" t="s">
        <v>48</v>
      </c>
      <c r="D719" t="s">
        <v>49</v>
      </c>
      <c r="E719" s="2">
        <v>45847</v>
      </c>
      <c r="F719" t="s">
        <v>412</v>
      </c>
      <c r="G719" t="s">
        <v>119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201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92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328</v>
      </c>
      <c r="G720" t="s">
        <v>94</v>
      </c>
      <c r="H720" s="3">
        <v>3180</v>
      </c>
      <c r="I720" s="3">
        <v>3180</v>
      </c>
      <c r="J720">
        <v>0</v>
      </c>
      <c r="K720" s="3">
        <v>3657</v>
      </c>
      <c r="L720" s="3">
        <v>523.20000000000005</v>
      </c>
      <c r="M720" s="3">
        <v>313.92</v>
      </c>
      <c r="N720" t="s">
        <v>329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117</v>
      </c>
      <c r="X720" s="4">
        <v>0</v>
      </c>
      <c r="Y720" t="s">
        <v>62</v>
      </c>
    </row>
    <row r="721" spans="1:47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 s="3">
        <v>600</v>
      </c>
      <c r="H721" s="3" t="s">
        <v>54</v>
      </c>
      <c r="I721" s="3" t="s">
        <v>59</v>
      </c>
      <c r="K721" s="3" t="s">
        <v>92</v>
      </c>
      <c r="L721" t="s">
        <v>92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x14ac:dyDescent="0.25">
      <c r="A722" t="s">
        <v>96</v>
      </c>
      <c r="B722" s="1">
        <v>37610</v>
      </c>
      <c r="C722" t="s">
        <v>48</v>
      </c>
      <c r="D722" t="s">
        <v>49</v>
      </c>
      <c r="E722" s="2">
        <v>45848</v>
      </c>
      <c r="F722" t="s">
        <v>275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95</v>
      </c>
      <c r="X722" s="4">
        <v>0</v>
      </c>
      <c r="Y722" t="s">
        <v>62</v>
      </c>
    </row>
    <row r="723" spans="1:47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92</v>
      </c>
      <c r="L723" s="3" t="s">
        <v>92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x14ac:dyDescent="0.25">
      <c r="A724" t="s">
        <v>96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330</v>
      </c>
      <c r="G724" s="3" t="s">
        <v>212</v>
      </c>
      <c r="H724" s="3">
        <v>5275.7</v>
      </c>
      <c r="I724" s="3">
        <v>5275.7</v>
      </c>
      <c r="J724">
        <v>0</v>
      </c>
      <c r="K724" s="3">
        <v>5275.7</v>
      </c>
      <c r="L724" s="3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114</v>
      </c>
      <c r="X724" s="4">
        <v>0</v>
      </c>
      <c r="Y724" t="s">
        <v>62</v>
      </c>
    </row>
    <row r="725" spans="1:47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x14ac:dyDescent="0.25">
      <c r="A726" t="s">
        <v>96</v>
      </c>
      <c r="B726" s="1">
        <v>37612</v>
      </c>
      <c r="C726" t="s">
        <v>48</v>
      </c>
      <c r="D726" t="s">
        <v>49</v>
      </c>
      <c r="E726" s="2">
        <v>45848</v>
      </c>
      <c r="F726" t="s">
        <v>154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95</v>
      </c>
      <c r="X726" s="4">
        <v>0</v>
      </c>
      <c r="Y726" t="s">
        <v>201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x14ac:dyDescent="0.25">
      <c r="A727" t="s">
        <v>96</v>
      </c>
      <c r="B727" s="1">
        <v>37613</v>
      </c>
      <c r="C727" t="s">
        <v>48</v>
      </c>
      <c r="D727" t="s">
        <v>49</v>
      </c>
      <c r="E727" s="2">
        <v>45848</v>
      </c>
      <c r="F727" t="s">
        <v>331</v>
      </c>
      <c r="G727" t="s">
        <v>332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106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92</v>
      </c>
      <c r="W727" t="s">
        <v>134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92</v>
      </c>
      <c r="AJ727" t="s">
        <v>92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x14ac:dyDescent="0.25">
      <c r="A728" t="s">
        <v>96</v>
      </c>
      <c r="B728" s="1">
        <v>37614</v>
      </c>
      <c r="C728" t="s">
        <v>48</v>
      </c>
      <c r="D728" t="s">
        <v>49</v>
      </c>
      <c r="E728" s="2">
        <v>45848</v>
      </c>
      <c r="F728" t="s">
        <v>331</v>
      </c>
      <c r="G728" t="s">
        <v>332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106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92</v>
      </c>
      <c r="W728" t="s">
        <v>134</v>
      </c>
      <c r="X728" s="4">
        <v>0</v>
      </c>
      <c r="Y728" t="s">
        <v>201</v>
      </c>
      <c r="Z728" s="3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92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x14ac:dyDescent="0.25">
      <c r="A729" t="s">
        <v>96</v>
      </c>
      <c r="B729" s="1">
        <v>37615</v>
      </c>
      <c r="C729" t="s">
        <v>48</v>
      </c>
      <c r="D729" t="s">
        <v>49</v>
      </c>
      <c r="E729" s="2">
        <v>45848</v>
      </c>
      <c r="F729" t="s">
        <v>331</v>
      </c>
      <c r="G729" t="s">
        <v>332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106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92</v>
      </c>
      <c r="W729" t="s">
        <v>134</v>
      </c>
      <c r="X729" s="4">
        <v>0</v>
      </c>
      <c r="Y729" t="s">
        <v>201</v>
      </c>
      <c r="Z729" s="3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92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x14ac:dyDescent="0.25">
      <c r="A730" t="s">
        <v>96</v>
      </c>
      <c r="B730" s="1">
        <v>37616</v>
      </c>
      <c r="C730" t="s">
        <v>48</v>
      </c>
      <c r="D730" t="s">
        <v>49</v>
      </c>
      <c r="E730" s="2">
        <v>45848</v>
      </c>
      <c r="F730" t="s">
        <v>331</v>
      </c>
      <c r="G730" t="s">
        <v>332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106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92</v>
      </c>
      <c r="W730" t="s">
        <v>134</v>
      </c>
      <c r="X730" s="4">
        <v>0</v>
      </c>
      <c r="Y730" t="s">
        <v>201</v>
      </c>
      <c r="Z730">
        <v>0</v>
      </c>
      <c r="AA730">
        <v>0</v>
      </c>
      <c r="AB730" s="3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92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x14ac:dyDescent="0.25">
      <c r="A731" t="s">
        <v>96</v>
      </c>
      <c r="B731" s="1">
        <v>37617</v>
      </c>
      <c r="C731" t="s">
        <v>48</v>
      </c>
      <c r="D731" t="s">
        <v>49</v>
      </c>
      <c r="E731" s="2">
        <v>45848</v>
      </c>
      <c r="F731" t="s">
        <v>331</v>
      </c>
      <c r="G731" t="s">
        <v>332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106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92</v>
      </c>
      <c r="W731" t="s">
        <v>134</v>
      </c>
      <c r="X731" s="4">
        <v>0</v>
      </c>
      <c r="Y731" t="s">
        <v>201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92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x14ac:dyDescent="0.25">
      <c r="A732" t="s">
        <v>96</v>
      </c>
      <c r="B732" s="1">
        <v>37618</v>
      </c>
      <c r="C732" t="s">
        <v>48</v>
      </c>
      <c r="D732" t="s">
        <v>49</v>
      </c>
      <c r="E732" s="2">
        <v>45848</v>
      </c>
      <c r="F732" t="s">
        <v>125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111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95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x14ac:dyDescent="0.25">
      <c r="A734" t="s">
        <v>96</v>
      </c>
      <c r="B734" s="1">
        <v>37621</v>
      </c>
      <c r="C734" t="s">
        <v>48</v>
      </c>
      <c r="D734" t="s">
        <v>49</v>
      </c>
      <c r="E734" s="2">
        <v>45848</v>
      </c>
      <c r="F734" t="s">
        <v>333</v>
      </c>
      <c r="G734" t="s">
        <v>138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164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334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150</v>
      </c>
      <c r="G735" s="3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84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x14ac:dyDescent="0.25">
      <c r="A736" t="s">
        <v>96</v>
      </c>
      <c r="B736" s="1">
        <v>37625</v>
      </c>
      <c r="C736" t="s">
        <v>48</v>
      </c>
      <c r="D736" t="s">
        <v>49</v>
      </c>
      <c r="E736" s="2">
        <v>45849</v>
      </c>
      <c r="F736" t="s">
        <v>302</v>
      </c>
      <c r="G736" t="s">
        <v>94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106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146</v>
      </c>
      <c r="W736" t="s">
        <v>224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144</v>
      </c>
      <c r="AI736" t="s">
        <v>218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101</v>
      </c>
      <c r="G737" s="3" t="s">
        <v>94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84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102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103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x14ac:dyDescent="0.25">
      <c r="A738" t="s">
        <v>96</v>
      </c>
      <c r="B738" s="1">
        <v>37628</v>
      </c>
      <c r="C738" t="s">
        <v>48</v>
      </c>
      <c r="D738" t="s">
        <v>49</v>
      </c>
      <c r="E738" s="2">
        <v>45849</v>
      </c>
      <c r="F738" t="s">
        <v>302</v>
      </c>
      <c r="G738" t="s">
        <v>94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106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146</v>
      </c>
      <c r="W738" t="s">
        <v>224</v>
      </c>
      <c r="X738" s="4">
        <v>0</v>
      </c>
      <c r="Y738" t="s">
        <v>58</v>
      </c>
      <c r="Z738" s="3">
        <v>2002.34</v>
      </c>
      <c r="AA738">
        <v>0</v>
      </c>
      <c r="AB738" s="3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144</v>
      </c>
      <c r="AI738" t="s">
        <v>218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x14ac:dyDescent="0.25">
      <c r="A739" t="s">
        <v>96</v>
      </c>
      <c r="B739" s="1">
        <v>37629</v>
      </c>
      <c r="C739" t="s">
        <v>48</v>
      </c>
      <c r="D739" t="s">
        <v>49</v>
      </c>
      <c r="E739" s="2">
        <v>45849</v>
      </c>
      <c r="F739" t="s">
        <v>229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  <c r="AB739" s="3"/>
      <c r="AK739" s="5"/>
    </row>
    <row r="740" spans="1:47" x14ac:dyDescent="0.25">
      <c r="A740" t="s">
        <v>63</v>
      </c>
      <c r="B740" s="1">
        <v>0</v>
      </c>
      <c r="C740">
        <v>0</v>
      </c>
      <c r="D740" s="3">
        <v>2020.9</v>
      </c>
      <c r="E740" s="2">
        <v>0</v>
      </c>
      <c r="F740">
        <v>179.4</v>
      </c>
      <c r="G740" s="3">
        <v>2370</v>
      </c>
      <c r="H740" s="3" t="s">
        <v>54</v>
      </c>
      <c r="I740" s="3" t="s">
        <v>59</v>
      </c>
      <c r="K740" s="3" t="s">
        <v>80</v>
      </c>
      <c r="L740" s="3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  <c r="X740" s="4"/>
    </row>
    <row r="741" spans="1:47" x14ac:dyDescent="0.25">
      <c r="A741" t="s">
        <v>96</v>
      </c>
      <c r="B741" s="1">
        <v>37631</v>
      </c>
      <c r="C741" t="s">
        <v>48</v>
      </c>
      <c r="D741" t="s">
        <v>49</v>
      </c>
      <c r="E741" s="2">
        <v>45852</v>
      </c>
      <c r="F741" t="s">
        <v>335</v>
      </c>
      <c r="G741" s="3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134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161</v>
      </c>
      <c r="G742" t="s">
        <v>109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162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x14ac:dyDescent="0.25">
      <c r="A743" t="s">
        <v>96</v>
      </c>
      <c r="B743" s="1">
        <v>37633</v>
      </c>
      <c r="C743" t="s">
        <v>48</v>
      </c>
      <c r="D743" t="s">
        <v>49</v>
      </c>
      <c r="E743" s="2">
        <v>45852</v>
      </c>
      <c r="F743" t="s">
        <v>183</v>
      </c>
      <c r="G743" s="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134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 s="3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  <c r="AB744" s="3"/>
      <c r="AE744" s="3"/>
      <c r="AK744" s="5"/>
    </row>
    <row r="745" spans="1:47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  <c r="AB745" s="3"/>
      <c r="AE745" s="3"/>
      <c r="AK745" s="5"/>
    </row>
    <row r="746" spans="1:47" x14ac:dyDescent="0.25">
      <c r="A746" t="s">
        <v>96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154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200</v>
      </c>
      <c r="AK746" s="5"/>
    </row>
    <row r="747" spans="1:47" x14ac:dyDescent="0.25">
      <c r="A747" t="s">
        <v>201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  <c r="AK747" s="5"/>
    </row>
    <row r="748" spans="1:47" x14ac:dyDescent="0.25">
      <c r="A748" t="s">
        <v>96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166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153</v>
      </c>
      <c r="X748" s="4">
        <v>0</v>
      </c>
      <c r="Y748" t="s">
        <v>58</v>
      </c>
      <c r="Z748">
        <v>0</v>
      </c>
      <c r="AA748" s="3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170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134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x14ac:dyDescent="0.25">
      <c r="A750" t="s">
        <v>96</v>
      </c>
      <c r="B750" s="1">
        <v>37638</v>
      </c>
      <c r="C750" t="s">
        <v>48</v>
      </c>
      <c r="D750" t="s">
        <v>49</v>
      </c>
      <c r="E750" s="2">
        <v>45853</v>
      </c>
      <c r="F750" t="s">
        <v>187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336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x14ac:dyDescent="0.25">
      <c r="A751" t="s">
        <v>136</v>
      </c>
      <c r="B751" s="1">
        <v>37639</v>
      </c>
      <c r="C751" t="s">
        <v>48</v>
      </c>
      <c r="D751" t="s">
        <v>49</v>
      </c>
      <c r="E751" s="2">
        <v>45853</v>
      </c>
      <c r="F751" t="s">
        <v>238</v>
      </c>
      <c r="G751" t="s">
        <v>239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84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164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133</v>
      </c>
      <c r="G752" t="s">
        <v>89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134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x14ac:dyDescent="0.25">
      <c r="A753" t="s">
        <v>96</v>
      </c>
      <c r="B753" s="1">
        <v>37641</v>
      </c>
      <c r="C753" t="s">
        <v>48</v>
      </c>
      <c r="D753" t="s">
        <v>49</v>
      </c>
      <c r="E753" s="2">
        <v>45853</v>
      </c>
      <c r="F753" t="s">
        <v>407</v>
      </c>
      <c r="G753" t="s">
        <v>89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408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149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241</v>
      </c>
      <c r="G754" t="s">
        <v>242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84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241</v>
      </c>
      <c r="G756" s="3" t="s">
        <v>242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84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 s="3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234</v>
      </c>
      <c r="G758" s="3" t="s">
        <v>109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84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  <c r="AK758" s="5"/>
    </row>
    <row r="759" spans="1:47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s="3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  <c r="AB759" s="3"/>
      <c r="AE759" s="3"/>
      <c r="AK759" s="5"/>
    </row>
    <row r="760" spans="1:47" x14ac:dyDescent="0.25">
      <c r="A760" t="s">
        <v>96</v>
      </c>
      <c r="B760" s="1">
        <v>37648</v>
      </c>
      <c r="C760" t="s">
        <v>48</v>
      </c>
      <c r="D760" t="s">
        <v>49</v>
      </c>
      <c r="E760" s="2">
        <v>45854</v>
      </c>
      <c r="F760" t="s">
        <v>412</v>
      </c>
      <c r="G760" t="s">
        <v>119</v>
      </c>
      <c r="H760" s="3">
        <v>484</v>
      </c>
      <c r="I760" s="3">
        <v>484</v>
      </c>
      <c r="J760">
        <v>0</v>
      </c>
      <c r="K760" s="3">
        <v>484</v>
      </c>
      <c r="L760" s="3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201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x14ac:dyDescent="0.25">
      <c r="A761" t="s">
        <v>96</v>
      </c>
      <c r="B761" s="1">
        <v>37649</v>
      </c>
      <c r="C761" t="s">
        <v>48</v>
      </c>
      <c r="D761" t="s">
        <v>49</v>
      </c>
      <c r="E761" s="2">
        <v>45854</v>
      </c>
      <c r="F761" s="3" t="s">
        <v>414</v>
      </c>
      <c r="G761" s="3" t="s">
        <v>119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95</v>
      </c>
      <c r="X761" s="4">
        <v>0</v>
      </c>
      <c r="Y761" t="s">
        <v>62</v>
      </c>
      <c r="AA761" s="3"/>
      <c r="AE761" s="3"/>
      <c r="AK761" s="5"/>
    </row>
    <row r="762" spans="1:47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x14ac:dyDescent="0.25">
      <c r="A763" t="s">
        <v>96</v>
      </c>
      <c r="B763" s="1">
        <v>37650</v>
      </c>
      <c r="C763" t="s">
        <v>48</v>
      </c>
      <c r="D763" t="s">
        <v>49</v>
      </c>
      <c r="E763" s="2">
        <v>45855</v>
      </c>
      <c r="F763" t="s">
        <v>276</v>
      </c>
      <c r="G763" s="3" t="s">
        <v>157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106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146</v>
      </c>
      <c r="W763" t="s">
        <v>131</v>
      </c>
      <c r="X763" s="4">
        <v>0</v>
      </c>
      <c r="Y763" t="s">
        <v>62</v>
      </c>
      <c r="AA763" s="3"/>
      <c r="AK763" s="5"/>
    </row>
    <row r="764" spans="1:47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237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x14ac:dyDescent="0.25">
      <c r="A766" t="s">
        <v>96</v>
      </c>
      <c r="B766" s="1">
        <v>37652</v>
      </c>
      <c r="C766" t="s">
        <v>48</v>
      </c>
      <c r="D766" t="s">
        <v>49</v>
      </c>
      <c r="E766" s="2">
        <v>45856</v>
      </c>
      <c r="F766" t="s">
        <v>337</v>
      </c>
      <c r="G766" s="3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106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146</v>
      </c>
      <c r="W766" t="s">
        <v>224</v>
      </c>
      <c r="X766" s="4">
        <v>0</v>
      </c>
      <c r="Y766" t="s">
        <v>62</v>
      </c>
      <c r="AK766" s="5"/>
    </row>
    <row r="767" spans="1:47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218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D767" s="3"/>
      <c r="AE767" s="3"/>
      <c r="AK767" s="5"/>
    </row>
    <row r="768" spans="1:47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338</v>
      </c>
      <c r="G768" t="s">
        <v>113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95</v>
      </c>
      <c r="X768" s="4">
        <v>0</v>
      </c>
      <c r="Y768" t="s">
        <v>62</v>
      </c>
      <c r="Z768" s="3"/>
      <c r="AA768" s="3"/>
      <c r="AD768" s="3"/>
      <c r="AE768" s="3"/>
      <c r="AK768" s="5"/>
    </row>
    <row r="769" spans="1:47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287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288</v>
      </c>
      <c r="X770" s="4">
        <v>0</v>
      </c>
      <c r="Y770" t="s">
        <v>62</v>
      </c>
      <c r="Z770" s="3"/>
      <c r="AE770" s="3"/>
      <c r="AK770" s="5"/>
    </row>
    <row r="771" spans="1:47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92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339</v>
      </c>
      <c r="G772" t="s">
        <v>94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106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146</v>
      </c>
      <c r="W772" t="s">
        <v>134</v>
      </c>
      <c r="X772" s="4">
        <v>0</v>
      </c>
      <c r="Y772" t="s">
        <v>58</v>
      </c>
      <c r="Z772" s="3">
        <v>0</v>
      </c>
      <c r="AA772">
        <v>0</v>
      </c>
      <c r="AB772" s="3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218</v>
      </c>
      <c r="AJ772" t="s">
        <v>92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x14ac:dyDescent="0.25">
      <c r="A773" t="s">
        <v>96</v>
      </c>
      <c r="B773" s="1">
        <v>37657</v>
      </c>
      <c r="C773" t="s">
        <v>48</v>
      </c>
      <c r="D773" t="s">
        <v>49</v>
      </c>
      <c r="E773" s="2">
        <v>45856</v>
      </c>
      <c r="F773" t="s">
        <v>163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143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340</v>
      </c>
      <c r="G774" t="s">
        <v>341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x14ac:dyDescent="0.25">
      <c r="A776" t="s">
        <v>96</v>
      </c>
      <c r="B776" s="1">
        <v>37659</v>
      </c>
      <c r="C776" t="s">
        <v>48</v>
      </c>
      <c r="D776" t="s">
        <v>49</v>
      </c>
      <c r="E776" s="2">
        <v>45856</v>
      </c>
      <c r="F776" t="s">
        <v>333</v>
      </c>
      <c r="G776" t="s">
        <v>138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164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334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111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95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255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  <c r="AK779" s="5"/>
    </row>
    <row r="780" spans="1:47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133</v>
      </c>
      <c r="G780" t="s">
        <v>89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134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88</v>
      </c>
      <c r="G781" s="3" t="s">
        <v>89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84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90</v>
      </c>
      <c r="X781" s="4">
        <v>0</v>
      </c>
      <c r="Y781" t="s">
        <v>62</v>
      </c>
    </row>
    <row r="782" spans="1:47" x14ac:dyDescent="0.25">
      <c r="A782" t="s">
        <v>63</v>
      </c>
      <c r="B782" s="3">
        <v>132</v>
      </c>
      <c r="C782">
        <v>0</v>
      </c>
      <c r="D782">
        <v>0</v>
      </c>
      <c r="E782" s="2">
        <v>363</v>
      </c>
      <c r="F782">
        <v>0</v>
      </c>
      <c r="G782" s="3">
        <v>3000</v>
      </c>
      <c r="H782" s="3" t="s">
        <v>54</v>
      </c>
      <c r="I782" s="3" t="s">
        <v>91</v>
      </c>
      <c r="K782" s="3" t="s">
        <v>73</v>
      </c>
      <c r="L782" s="3" t="s">
        <v>92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  <c r="X782" s="4"/>
    </row>
    <row r="783" spans="1:47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s="3" t="s">
        <v>108</v>
      </c>
      <c r="G783" t="s">
        <v>109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84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110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92</v>
      </c>
      <c r="AJ783" t="s">
        <v>92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101</v>
      </c>
      <c r="G784" s="3" t="s">
        <v>94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84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102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 s="3">
        <v>0</v>
      </c>
      <c r="AE784" s="3">
        <v>2000</v>
      </c>
      <c r="AF784" t="s">
        <v>54</v>
      </c>
      <c r="AG784" t="s">
        <v>59</v>
      </c>
      <c r="AH784" t="s">
        <v>103</v>
      </c>
      <c r="AI784" t="s">
        <v>92</v>
      </c>
      <c r="AJ784" t="s">
        <v>92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171</v>
      </c>
      <c r="G785" t="s">
        <v>172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95</v>
      </c>
      <c r="X785" s="4">
        <v>0</v>
      </c>
      <c r="Y785" t="s">
        <v>62</v>
      </c>
    </row>
    <row r="786" spans="1:47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 s="3">
        <v>0</v>
      </c>
      <c r="G786" s="3">
        <v>26000</v>
      </c>
      <c r="H786" t="s">
        <v>54</v>
      </c>
      <c r="I786" t="s">
        <v>59</v>
      </c>
      <c r="K786" t="s">
        <v>92</v>
      </c>
      <c r="L786" t="s">
        <v>92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287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 s="3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95</v>
      </c>
      <c r="X787" s="4">
        <v>0</v>
      </c>
      <c r="Y787" t="s">
        <v>62</v>
      </c>
      <c r="Z787" s="3"/>
      <c r="AB787" s="3"/>
      <c r="AE787" s="3"/>
      <c r="AK787" s="5"/>
    </row>
    <row r="788" spans="1:47" x14ac:dyDescent="0.25">
      <c r="A788" t="s">
        <v>63</v>
      </c>
      <c r="B788" s="1">
        <v>0</v>
      </c>
      <c r="C788">
        <v>0</v>
      </c>
      <c r="D788">
        <v>174.8</v>
      </c>
      <c r="E788" s="2">
        <v>0</v>
      </c>
      <c r="F788">
        <v>0</v>
      </c>
      <c r="G788" s="3">
        <v>400</v>
      </c>
      <c r="H788" s="3" t="s">
        <v>54</v>
      </c>
      <c r="I788" s="3" t="s">
        <v>59</v>
      </c>
      <c r="K788" s="3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  <c r="X788" s="4"/>
      <c r="AK788" s="5"/>
    </row>
    <row r="789" spans="1:47" x14ac:dyDescent="0.25">
      <c r="A789" t="s">
        <v>96</v>
      </c>
      <c r="B789" s="1">
        <v>37669</v>
      </c>
      <c r="C789" t="s">
        <v>48</v>
      </c>
      <c r="D789" t="s">
        <v>49</v>
      </c>
      <c r="E789" s="2">
        <v>45861</v>
      </c>
      <c r="F789" t="s">
        <v>180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181</v>
      </c>
      <c r="X789" s="4">
        <v>0</v>
      </c>
      <c r="Y789" t="s">
        <v>62</v>
      </c>
      <c r="AK789" s="5"/>
    </row>
    <row r="790" spans="1:47" x14ac:dyDescent="0.25">
      <c r="A790" t="s">
        <v>63</v>
      </c>
      <c r="B790" s="3">
        <v>0</v>
      </c>
      <c r="C790">
        <v>0</v>
      </c>
      <c r="D790">
        <v>0</v>
      </c>
      <c r="E790" s="2">
        <v>0</v>
      </c>
      <c r="F790">
        <v>578</v>
      </c>
      <c r="G790" s="3">
        <v>2000</v>
      </c>
      <c r="H790" s="3" t="s">
        <v>54</v>
      </c>
      <c r="I790" s="3" t="s">
        <v>59</v>
      </c>
      <c r="K790" s="3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  <c r="X790" s="4"/>
      <c r="AK790" s="5"/>
    </row>
    <row r="791" spans="1:47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101</v>
      </c>
      <c r="G791" t="s">
        <v>94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84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102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103</v>
      </c>
      <c r="AI791" t="s">
        <v>92</v>
      </c>
      <c r="AJ791" t="s">
        <v>92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280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280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280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 s="3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 s="3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280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 s="3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 s="3">
        <v>441</v>
      </c>
      <c r="AC797">
        <v>0</v>
      </c>
      <c r="AD797">
        <v>0</v>
      </c>
      <c r="AE797" s="3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x14ac:dyDescent="0.25">
      <c r="A798" t="s">
        <v>96</v>
      </c>
      <c r="B798" s="1">
        <v>37677</v>
      </c>
      <c r="C798" t="s">
        <v>48</v>
      </c>
      <c r="D798" t="s">
        <v>49</v>
      </c>
      <c r="E798" s="2">
        <v>45862</v>
      </c>
      <c r="F798" t="s">
        <v>180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181</v>
      </c>
      <c r="X798" s="4">
        <v>0</v>
      </c>
      <c r="Y798" t="s">
        <v>62</v>
      </c>
      <c r="AD798" s="3"/>
      <c r="AE798" s="3"/>
      <c r="AK798" s="5"/>
    </row>
    <row r="799" spans="1:47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  <c r="AK799" s="5"/>
    </row>
    <row r="800" spans="1:47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244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95</v>
      </c>
      <c r="X800" s="4">
        <v>0</v>
      </c>
      <c r="Y800" t="s">
        <v>62</v>
      </c>
      <c r="AE800" s="3"/>
      <c r="AK800" s="5"/>
    </row>
    <row r="801" spans="1:47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x14ac:dyDescent="0.25">
      <c r="A802" t="s">
        <v>96</v>
      </c>
      <c r="B802" s="1">
        <v>37679</v>
      </c>
      <c r="C802" t="s">
        <v>48</v>
      </c>
      <c r="D802" t="s">
        <v>49</v>
      </c>
      <c r="E802" s="2">
        <v>45862</v>
      </c>
      <c r="F802" t="s">
        <v>342</v>
      </c>
      <c r="G802" t="s">
        <v>113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343</v>
      </c>
      <c r="X802" s="4">
        <v>0</v>
      </c>
      <c r="Y802" t="s">
        <v>62</v>
      </c>
    </row>
    <row r="803" spans="1:47" x14ac:dyDescent="0.25">
      <c r="A803" t="s">
        <v>63</v>
      </c>
      <c r="B803" s="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115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135</v>
      </c>
      <c r="G804" t="s">
        <v>94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117</v>
      </c>
      <c r="X804" s="4">
        <v>0</v>
      </c>
      <c r="Y804" t="s">
        <v>62</v>
      </c>
    </row>
    <row r="805" spans="1:47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 s="3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344</v>
      </c>
      <c r="G806" t="s">
        <v>109</v>
      </c>
      <c r="H806" s="3">
        <v>1332</v>
      </c>
      <c r="I806" s="3">
        <v>1332</v>
      </c>
      <c r="J806">
        <v>0</v>
      </c>
      <c r="K806" s="3">
        <v>1531.8</v>
      </c>
      <c r="L806" s="3">
        <v>261.2</v>
      </c>
      <c r="M806" s="3">
        <v>75.75</v>
      </c>
      <c r="N806" t="s">
        <v>106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95</v>
      </c>
      <c r="X806" s="4">
        <v>0</v>
      </c>
      <c r="Y806" t="s">
        <v>62</v>
      </c>
      <c r="AE806" s="3"/>
      <c r="AK806" s="5"/>
    </row>
    <row r="807" spans="1:47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 s="3">
        <v>0</v>
      </c>
      <c r="G807" s="3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111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95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92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345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199</v>
      </c>
      <c r="G811" t="s">
        <v>172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106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146</v>
      </c>
      <c r="W811" t="s">
        <v>289</v>
      </c>
      <c r="X811" s="4">
        <v>0</v>
      </c>
      <c r="Z811" s="3">
        <v>1563</v>
      </c>
      <c r="AA811">
        <v>0</v>
      </c>
      <c r="AB811" s="3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218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346</v>
      </c>
      <c r="G812" t="s">
        <v>124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B812" s="3"/>
      <c r="AE812" s="3"/>
      <c r="AK812" s="5"/>
    </row>
    <row r="813" spans="1:47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s="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  <c r="AB813" s="3"/>
      <c r="AK813" s="5"/>
    </row>
    <row r="814" spans="1:47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112</v>
      </c>
      <c r="G814" t="s">
        <v>113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162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115</v>
      </c>
      <c r="AI814" t="s">
        <v>73</v>
      </c>
      <c r="AJ814" t="s">
        <v>92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x14ac:dyDescent="0.25">
      <c r="A815" t="s">
        <v>96</v>
      </c>
      <c r="B815" s="1">
        <v>37688</v>
      </c>
      <c r="C815" t="s">
        <v>48</v>
      </c>
      <c r="D815" t="s">
        <v>49</v>
      </c>
      <c r="E815" s="2">
        <v>45866</v>
      </c>
      <c r="F815" t="s">
        <v>145</v>
      </c>
      <c r="G815" s="3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106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146</v>
      </c>
      <c r="W815" t="s">
        <v>147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218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x14ac:dyDescent="0.25">
      <c r="A816" t="s">
        <v>96</v>
      </c>
      <c r="B816" s="1">
        <v>37689</v>
      </c>
      <c r="C816" t="s">
        <v>48</v>
      </c>
      <c r="D816" t="s">
        <v>49</v>
      </c>
      <c r="E816" s="2">
        <v>45866</v>
      </c>
      <c r="F816" t="s">
        <v>215</v>
      </c>
      <c r="G816" s="3" t="s">
        <v>119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84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85</v>
      </c>
      <c r="X816" s="4">
        <v>0</v>
      </c>
      <c r="Y816" t="s">
        <v>62</v>
      </c>
      <c r="AD816" s="3"/>
      <c r="AE816" s="3"/>
      <c r="AK816" s="5"/>
    </row>
    <row r="817" spans="1:47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222</v>
      </c>
      <c r="K817" s="3" t="s">
        <v>73</v>
      </c>
      <c r="L817" s="3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  <c r="AD817" s="3"/>
      <c r="AE817" s="3"/>
      <c r="AK817" s="5"/>
    </row>
    <row r="818" spans="1:47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 s="3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201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92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x14ac:dyDescent="0.25">
      <c r="A819" t="s">
        <v>96</v>
      </c>
      <c r="B819" s="1">
        <v>37691</v>
      </c>
      <c r="C819" t="s">
        <v>48</v>
      </c>
      <c r="D819" s="3" t="s">
        <v>49</v>
      </c>
      <c r="E819" s="2">
        <v>45867</v>
      </c>
      <c r="F819" t="s">
        <v>129</v>
      </c>
      <c r="G819" t="s">
        <v>130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146</v>
      </c>
      <c r="W819" t="s">
        <v>131</v>
      </c>
      <c r="X819" s="4">
        <v>0</v>
      </c>
      <c r="Y819" t="s">
        <v>62</v>
      </c>
    </row>
    <row r="820" spans="1:47" x14ac:dyDescent="0.25">
      <c r="A820" t="s">
        <v>63</v>
      </c>
      <c r="B820" s="3">
        <v>1044.8</v>
      </c>
      <c r="C820">
        <v>0</v>
      </c>
      <c r="D820">
        <v>0</v>
      </c>
      <c r="E820" s="2">
        <v>0</v>
      </c>
      <c r="F820">
        <v>0</v>
      </c>
      <c r="G820" s="3">
        <v>2700</v>
      </c>
      <c r="H820" s="3" t="s">
        <v>54</v>
      </c>
      <c r="I820" s="3" t="s">
        <v>59</v>
      </c>
      <c r="K820" s="3" t="s">
        <v>73</v>
      </c>
      <c r="L820" s="3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  <c r="X820" s="4"/>
      <c r="AD820" s="3"/>
      <c r="AE820" s="3"/>
      <c r="AK820" s="5"/>
    </row>
    <row r="821" spans="1:47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 s="3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  <c r="AB821" s="3"/>
      <c r="AE821" s="3"/>
      <c r="AK821" s="5"/>
    </row>
    <row r="822" spans="1:47" x14ac:dyDescent="0.25">
      <c r="A822" t="s">
        <v>63</v>
      </c>
      <c r="B822" s="1">
        <v>0</v>
      </c>
      <c r="C822">
        <v>0</v>
      </c>
      <c r="D822">
        <v>0</v>
      </c>
      <c r="E822" s="2">
        <v>0</v>
      </c>
      <c r="F822">
        <v>941</v>
      </c>
      <c r="G822" s="3">
        <v>500</v>
      </c>
      <c r="H822" s="3" t="s">
        <v>54</v>
      </c>
      <c r="I822" s="3" t="s">
        <v>59</v>
      </c>
      <c r="K822" s="3" t="s">
        <v>73</v>
      </c>
      <c r="L822" s="3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  <c r="X822" s="4"/>
    </row>
    <row r="823" spans="1:47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s="3" t="s">
        <v>213</v>
      </c>
      <c r="G823" s="3" t="s">
        <v>138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84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143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92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x14ac:dyDescent="0.25">
      <c r="A824" t="s">
        <v>96</v>
      </c>
      <c r="B824" s="1">
        <v>37695</v>
      </c>
      <c r="C824" t="s">
        <v>48</v>
      </c>
      <c r="D824" t="s">
        <v>49</v>
      </c>
      <c r="E824" s="2">
        <v>45867</v>
      </c>
      <c r="F824" t="s">
        <v>293</v>
      </c>
      <c r="G824" s="3" t="s">
        <v>217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90</v>
      </c>
      <c r="X824" s="4">
        <v>0</v>
      </c>
      <c r="Y824" t="s">
        <v>62</v>
      </c>
    </row>
    <row r="825" spans="1:47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294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x14ac:dyDescent="0.25">
      <c r="A826" t="s">
        <v>96</v>
      </c>
      <c r="B826" s="1">
        <v>37696</v>
      </c>
      <c r="C826" t="s">
        <v>48</v>
      </c>
      <c r="D826" t="s">
        <v>49</v>
      </c>
      <c r="E826" s="2">
        <v>45867</v>
      </c>
      <c r="F826" t="s">
        <v>220</v>
      </c>
      <c r="G826" s="3" t="s">
        <v>167</v>
      </c>
      <c r="H826" s="3">
        <v>4440</v>
      </c>
      <c r="I826" s="3">
        <v>4440</v>
      </c>
      <c r="J826">
        <v>0</v>
      </c>
      <c r="K826" s="3">
        <v>4440</v>
      </c>
      <c r="L826" s="3">
        <v>791</v>
      </c>
      <c r="M826" s="3">
        <v>371.77</v>
      </c>
      <c r="N826" t="s">
        <v>106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146</v>
      </c>
      <c r="W826" t="s">
        <v>153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218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x14ac:dyDescent="0.25">
      <c r="A827" t="s">
        <v>96</v>
      </c>
      <c r="B827" s="1">
        <v>37697</v>
      </c>
      <c r="C827" t="s">
        <v>48</v>
      </c>
      <c r="D827" t="s">
        <v>49</v>
      </c>
      <c r="E827" s="2">
        <v>45867</v>
      </c>
      <c r="F827" t="s">
        <v>220</v>
      </c>
      <c r="G827" s="3" t="s">
        <v>167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106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146</v>
      </c>
      <c r="W827" t="s">
        <v>153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218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x14ac:dyDescent="0.25">
      <c r="A828" t="s">
        <v>96</v>
      </c>
      <c r="B828" s="1">
        <v>37698</v>
      </c>
      <c r="C828" t="s">
        <v>48</v>
      </c>
      <c r="D828" t="s">
        <v>49</v>
      </c>
      <c r="E828" s="2">
        <v>45867</v>
      </c>
      <c r="F828" t="s">
        <v>220</v>
      </c>
      <c r="G828" t="s">
        <v>167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106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146</v>
      </c>
      <c r="W828" t="s">
        <v>153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218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x14ac:dyDescent="0.25">
      <c r="A829" t="s">
        <v>96</v>
      </c>
      <c r="B829" s="3">
        <v>37699</v>
      </c>
      <c r="C829" t="s">
        <v>48</v>
      </c>
      <c r="D829" t="s">
        <v>49</v>
      </c>
      <c r="E829" s="2">
        <v>45867</v>
      </c>
      <c r="F829" t="s">
        <v>335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134</v>
      </c>
      <c r="X829" s="4">
        <v>0</v>
      </c>
      <c r="Y829" t="s">
        <v>58</v>
      </c>
      <c r="Z829" s="3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347</v>
      </c>
      <c r="AJ829" t="s">
        <v>92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x14ac:dyDescent="0.25">
      <c r="A830" t="s">
        <v>136</v>
      </c>
      <c r="B830" s="1">
        <v>37700</v>
      </c>
      <c r="C830" t="s">
        <v>48</v>
      </c>
      <c r="D830" t="s">
        <v>49</v>
      </c>
      <c r="E830" s="2">
        <v>45868</v>
      </c>
      <c r="F830" t="s">
        <v>108</v>
      </c>
      <c r="G830" t="s">
        <v>109</v>
      </c>
      <c r="H830" s="3">
        <v>7.23</v>
      </c>
      <c r="I830" s="3">
        <v>7.23</v>
      </c>
      <c r="J830">
        <v>0</v>
      </c>
      <c r="K830" s="3">
        <v>7.23</v>
      </c>
      <c r="L830">
        <v>0.93</v>
      </c>
      <c r="M830" s="3">
        <v>0.57999999999999996</v>
      </c>
      <c r="N830" t="s">
        <v>84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110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92</v>
      </c>
      <c r="AJ830" t="s">
        <v>92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x14ac:dyDescent="0.25">
      <c r="A831" t="s">
        <v>96</v>
      </c>
      <c r="B831" s="1">
        <v>37701</v>
      </c>
      <c r="C831" t="s">
        <v>48</v>
      </c>
      <c r="D831" t="s">
        <v>49</v>
      </c>
      <c r="E831" s="2">
        <v>45868</v>
      </c>
      <c r="F831" t="s">
        <v>105</v>
      </c>
      <c r="G831" t="s">
        <v>94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106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146</v>
      </c>
      <c r="W831" t="s">
        <v>107</v>
      </c>
      <c r="X831" s="4">
        <v>0</v>
      </c>
      <c r="Y831" t="s">
        <v>62</v>
      </c>
      <c r="AK831" s="5"/>
    </row>
    <row r="832" spans="1:47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182</v>
      </c>
      <c r="K832" s="3" t="s">
        <v>218</v>
      </c>
      <c r="L832" s="3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126</v>
      </c>
      <c r="G833" s="3" t="s">
        <v>89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84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95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304</v>
      </c>
      <c r="G834" t="s">
        <v>87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178</v>
      </c>
      <c r="X834" s="4">
        <v>0</v>
      </c>
      <c r="Y834" t="s">
        <v>62</v>
      </c>
      <c r="AK834" s="5"/>
    </row>
    <row r="835" spans="1:47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x14ac:dyDescent="0.25">
      <c r="A836" t="s">
        <v>96</v>
      </c>
      <c r="B836" s="1">
        <v>37705</v>
      </c>
      <c r="C836" t="s">
        <v>48</v>
      </c>
      <c r="D836" t="s">
        <v>49</v>
      </c>
      <c r="E836" s="2">
        <v>45868</v>
      </c>
      <c r="F836" t="s">
        <v>285</v>
      </c>
      <c r="G836" t="s">
        <v>217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106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146</v>
      </c>
      <c r="W836" t="s">
        <v>286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218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x14ac:dyDescent="0.25">
      <c r="A837" t="s">
        <v>96</v>
      </c>
      <c r="B837" s="1">
        <v>37706</v>
      </c>
      <c r="C837" t="s">
        <v>48</v>
      </c>
      <c r="D837" t="s">
        <v>49</v>
      </c>
      <c r="E837" s="2">
        <v>45868</v>
      </c>
      <c r="F837" t="s">
        <v>301</v>
      </c>
      <c r="G837" t="s">
        <v>167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106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146</v>
      </c>
      <c r="W837" t="s">
        <v>223</v>
      </c>
      <c r="X837" s="4">
        <v>0</v>
      </c>
      <c r="Y837" t="s">
        <v>62</v>
      </c>
      <c r="AK837" s="5"/>
    </row>
    <row r="838" spans="1:47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x14ac:dyDescent="0.25">
      <c r="A841" t="s">
        <v>96</v>
      </c>
      <c r="B841" s="1">
        <v>37709</v>
      </c>
      <c r="C841" t="s">
        <v>48</v>
      </c>
      <c r="D841" t="s">
        <v>49</v>
      </c>
      <c r="E841" s="2">
        <v>45868</v>
      </c>
      <c r="F841" t="s">
        <v>140</v>
      </c>
      <c r="G841" t="s">
        <v>141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202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103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x14ac:dyDescent="0.25">
      <c r="A842" t="s">
        <v>96</v>
      </c>
      <c r="B842" s="1">
        <v>37710</v>
      </c>
      <c r="C842" t="s">
        <v>48</v>
      </c>
      <c r="D842" t="s">
        <v>49</v>
      </c>
      <c r="E842" s="2">
        <v>45868</v>
      </c>
      <c r="F842" t="s">
        <v>348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134</v>
      </c>
      <c r="X842" s="4">
        <v>0</v>
      </c>
      <c r="Y842" t="s">
        <v>62</v>
      </c>
      <c r="Z842" s="3"/>
      <c r="AD842" s="3"/>
      <c r="AE842" s="3"/>
      <c r="AK842" s="5"/>
    </row>
    <row r="843" spans="1:47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92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228</v>
      </c>
      <c r="G844" s="3" t="s">
        <v>189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117</v>
      </c>
      <c r="X844" s="4">
        <v>0</v>
      </c>
      <c r="Y844" t="s">
        <v>62</v>
      </c>
      <c r="AD844" s="3"/>
      <c r="AE844" s="3"/>
      <c r="AK844" s="5"/>
    </row>
    <row r="845" spans="1:47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s="3" t="s">
        <v>92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x14ac:dyDescent="0.25">
      <c r="A846" t="s">
        <v>96</v>
      </c>
      <c r="B846" s="1">
        <v>37715</v>
      </c>
      <c r="C846" t="s">
        <v>48</v>
      </c>
      <c r="D846" t="s">
        <v>49</v>
      </c>
      <c r="E846" s="2">
        <v>45869</v>
      </c>
      <c r="F846" t="s">
        <v>349</v>
      </c>
      <c r="G846" s="3" t="s">
        <v>124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117</v>
      </c>
      <c r="X846" s="4">
        <v>0</v>
      </c>
      <c r="Y846" t="s">
        <v>62</v>
      </c>
      <c r="AD846" s="3"/>
      <c r="AE846" s="3"/>
      <c r="AK846" s="5"/>
    </row>
    <row r="847" spans="1:47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x14ac:dyDescent="0.25">
      <c r="A848" t="s">
        <v>96</v>
      </c>
      <c r="B848" s="1">
        <v>37717</v>
      </c>
      <c r="C848" t="s">
        <v>48</v>
      </c>
      <c r="D848" t="s">
        <v>49</v>
      </c>
      <c r="E848" s="2">
        <v>45869</v>
      </c>
      <c r="F848" t="s">
        <v>350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117</v>
      </c>
      <c r="X848" s="4">
        <v>0</v>
      </c>
      <c r="Y848" t="s">
        <v>62</v>
      </c>
      <c r="AD848" s="3"/>
      <c r="AE848" s="3"/>
      <c r="AK848" s="5"/>
    </row>
    <row r="849" spans="1:47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x14ac:dyDescent="0.25">
      <c r="A850" t="s">
        <v>96</v>
      </c>
      <c r="B850" s="1">
        <v>37718</v>
      </c>
      <c r="C850" t="s">
        <v>48</v>
      </c>
      <c r="D850" t="s">
        <v>49</v>
      </c>
      <c r="E850" s="2">
        <v>45869</v>
      </c>
      <c r="F850" t="s">
        <v>276</v>
      </c>
      <c r="G850" t="s">
        <v>157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106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131</v>
      </c>
      <c r="X850" s="4">
        <v>0</v>
      </c>
      <c r="Y850" t="s">
        <v>62</v>
      </c>
      <c r="AD850" s="3"/>
      <c r="AE850" s="3"/>
      <c r="AK850" s="5"/>
    </row>
    <row r="851" spans="1:47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237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x14ac:dyDescent="0.25">
      <c r="A852" t="s">
        <v>96</v>
      </c>
      <c r="B852" s="1">
        <v>37720</v>
      </c>
      <c r="C852" t="s">
        <v>48</v>
      </c>
      <c r="D852" t="s">
        <v>49</v>
      </c>
      <c r="E852" s="2">
        <v>45870</v>
      </c>
      <c r="F852" t="s">
        <v>105</v>
      </c>
      <c r="G852" t="s">
        <v>94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106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107</v>
      </c>
      <c r="X852" s="4">
        <v>0</v>
      </c>
      <c r="Y852" t="s">
        <v>62</v>
      </c>
      <c r="AD852" s="3"/>
      <c r="AE852" s="3"/>
      <c r="AK852" s="5"/>
    </row>
    <row r="853" spans="1:47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 s="3">
        <v>0</v>
      </c>
      <c r="G853">
        <v>200</v>
      </c>
      <c r="H853" s="3" t="s">
        <v>54</v>
      </c>
      <c r="I853" s="3" t="s">
        <v>59</v>
      </c>
      <c r="K853" s="3" t="s">
        <v>218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Z855" s="3"/>
      <c r="AD855" s="3"/>
      <c r="AE855" s="3"/>
      <c r="AK855" s="5"/>
    </row>
    <row r="856" spans="1:47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206</v>
      </c>
      <c r="G856" t="s">
        <v>124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 s="3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206</v>
      </c>
      <c r="G857" t="s">
        <v>124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s="3" t="s">
        <v>206</v>
      </c>
      <c r="G858" s="3" t="s">
        <v>124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206</v>
      </c>
      <c r="G859" t="s">
        <v>124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206</v>
      </c>
      <c r="G860" t="s">
        <v>124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206</v>
      </c>
      <c r="G861" t="s">
        <v>124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 s="3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206</v>
      </c>
      <c r="G862" s="3" t="s">
        <v>124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206</v>
      </c>
      <c r="G863" t="s">
        <v>124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206</v>
      </c>
      <c r="G864" t="s">
        <v>124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 s="3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x14ac:dyDescent="0.25">
      <c r="A865" t="s">
        <v>96</v>
      </c>
      <c r="B865" s="1">
        <v>37731</v>
      </c>
      <c r="C865" t="s">
        <v>48</v>
      </c>
      <c r="D865" t="s">
        <v>49</v>
      </c>
      <c r="E865" s="2">
        <v>45873</v>
      </c>
      <c r="F865" t="s">
        <v>351</v>
      </c>
      <c r="G865" t="s">
        <v>89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90</v>
      </c>
      <c r="X865" s="4">
        <v>0</v>
      </c>
      <c r="Y865" t="s">
        <v>62</v>
      </c>
      <c r="Z865" s="3"/>
      <c r="AD865" s="3"/>
      <c r="AE865" s="3"/>
      <c r="AK865" s="5"/>
    </row>
    <row r="866" spans="1:47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x14ac:dyDescent="0.25">
      <c r="A867" t="s">
        <v>96</v>
      </c>
      <c r="B867" s="1">
        <v>37732</v>
      </c>
      <c r="C867" t="s">
        <v>48</v>
      </c>
      <c r="D867" t="s">
        <v>49</v>
      </c>
      <c r="E867" s="2">
        <v>45873</v>
      </c>
      <c r="F867" t="s">
        <v>352</v>
      </c>
      <c r="G867" t="s">
        <v>172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353</v>
      </c>
      <c r="X867" s="4">
        <v>0</v>
      </c>
      <c r="Y867" t="s">
        <v>62</v>
      </c>
      <c r="AB867" s="3"/>
      <c r="AE867" s="3"/>
      <c r="AK867" s="5"/>
    </row>
    <row r="868" spans="1:47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s="3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Z868" s="3"/>
      <c r="AK868" s="5"/>
    </row>
    <row r="869" spans="1:47" x14ac:dyDescent="0.25">
      <c r="A869" t="s">
        <v>96</v>
      </c>
      <c r="B869" s="1">
        <v>37733</v>
      </c>
      <c r="C869" t="s">
        <v>48</v>
      </c>
      <c r="D869" t="s">
        <v>49</v>
      </c>
      <c r="E869" s="2">
        <v>45873</v>
      </c>
      <c r="F869" t="s">
        <v>163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153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x14ac:dyDescent="0.25">
      <c r="A870" t="s">
        <v>96</v>
      </c>
      <c r="B870" s="1">
        <v>37734</v>
      </c>
      <c r="C870" t="s">
        <v>48</v>
      </c>
      <c r="D870" t="s">
        <v>49</v>
      </c>
      <c r="E870" s="2">
        <v>45873</v>
      </c>
      <c r="F870" t="s">
        <v>415</v>
      </c>
      <c r="G870" s="3" t="s">
        <v>124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131</v>
      </c>
      <c r="X870" s="4">
        <v>0</v>
      </c>
      <c r="Y870" t="s">
        <v>62</v>
      </c>
      <c r="AK870" s="5"/>
    </row>
    <row r="871" spans="1:47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92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x14ac:dyDescent="0.25">
      <c r="A872" t="s">
        <v>96</v>
      </c>
      <c r="B872" s="1">
        <v>37736</v>
      </c>
      <c r="C872" t="s">
        <v>48</v>
      </c>
      <c r="D872" t="s">
        <v>49</v>
      </c>
      <c r="E872" s="2">
        <v>45873</v>
      </c>
      <c r="F872" t="s">
        <v>305</v>
      </c>
      <c r="G872" s="3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143</v>
      </c>
      <c r="X872" s="4">
        <v>0</v>
      </c>
      <c r="Y872" t="s">
        <v>201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92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x14ac:dyDescent="0.25">
      <c r="A873" t="s">
        <v>96</v>
      </c>
      <c r="B873" s="1">
        <v>37737</v>
      </c>
      <c r="C873" t="s">
        <v>48</v>
      </c>
      <c r="D873" t="s">
        <v>49</v>
      </c>
      <c r="E873" s="2">
        <v>45873</v>
      </c>
      <c r="F873" t="s">
        <v>351</v>
      </c>
      <c r="G873" t="s">
        <v>89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90</v>
      </c>
      <c r="X873" s="4">
        <v>0</v>
      </c>
      <c r="Y873" t="s">
        <v>62</v>
      </c>
      <c r="Z873" s="3"/>
      <c r="AB873" s="3"/>
      <c r="AE873" s="3"/>
      <c r="AK873" s="5"/>
    </row>
    <row r="874" spans="1:47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x14ac:dyDescent="0.25">
      <c r="A875" t="s">
        <v>136</v>
      </c>
      <c r="B875" s="1">
        <v>37738</v>
      </c>
      <c r="C875" t="s">
        <v>48</v>
      </c>
      <c r="D875" t="s">
        <v>49</v>
      </c>
      <c r="E875" s="2">
        <v>45873</v>
      </c>
      <c r="F875" t="s">
        <v>240</v>
      </c>
      <c r="G875" t="s">
        <v>239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164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x14ac:dyDescent="0.25">
      <c r="A876" t="s">
        <v>96</v>
      </c>
      <c r="B876" s="1">
        <v>37739</v>
      </c>
      <c r="C876" t="s">
        <v>48</v>
      </c>
      <c r="D876" t="s">
        <v>49</v>
      </c>
      <c r="E876" s="2">
        <v>45874</v>
      </c>
      <c r="F876" t="s">
        <v>154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354</v>
      </c>
      <c r="AA876" s="3"/>
      <c r="AK876" s="5"/>
    </row>
    <row r="877" spans="1:47" x14ac:dyDescent="0.25">
      <c r="A877" t="s">
        <v>200</v>
      </c>
      <c r="B877" s="3"/>
      <c r="E877" s="2"/>
      <c r="G877" s="3"/>
      <c r="H877" s="3"/>
      <c r="I877" s="3"/>
      <c r="K877" s="3"/>
      <c r="X877" s="4"/>
      <c r="AK877" s="5"/>
    </row>
    <row r="878" spans="1:47" x14ac:dyDescent="0.25">
      <c r="A878" t="s">
        <v>201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x14ac:dyDescent="0.25">
      <c r="A879" t="s">
        <v>96</v>
      </c>
      <c r="B879" s="1">
        <v>37740</v>
      </c>
      <c r="C879" t="s">
        <v>48</v>
      </c>
      <c r="D879" t="s">
        <v>49</v>
      </c>
      <c r="E879" s="2">
        <v>45874</v>
      </c>
      <c r="F879" t="s">
        <v>142</v>
      </c>
      <c r="G879" t="s">
        <v>94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106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146</v>
      </c>
      <c r="W879" t="s">
        <v>224</v>
      </c>
      <c r="X879" s="4">
        <v>0</v>
      </c>
      <c r="Y879" t="s">
        <v>62</v>
      </c>
    </row>
    <row r="880" spans="1:47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144</v>
      </c>
      <c r="K880" t="s">
        <v>218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x14ac:dyDescent="0.25">
      <c r="A881" t="s">
        <v>96</v>
      </c>
      <c r="B881" s="1">
        <v>37741</v>
      </c>
      <c r="C881" t="s">
        <v>48</v>
      </c>
      <c r="D881" t="s">
        <v>49</v>
      </c>
      <c r="E881" s="2">
        <v>45874</v>
      </c>
      <c r="F881" t="s">
        <v>142</v>
      </c>
      <c r="G881" t="s">
        <v>94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106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146</v>
      </c>
      <c r="W881" t="s">
        <v>224</v>
      </c>
      <c r="X881" s="4">
        <v>0</v>
      </c>
      <c r="Y881" t="s">
        <v>62</v>
      </c>
      <c r="AK881" s="5"/>
    </row>
    <row r="882" spans="1:47" x14ac:dyDescent="0.25">
      <c r="A882" t="s">
        <v>63</v>
      </c>
      <c r="B882" s="3">
        <v>1009.8</v>
      </c>
      <c r="C882">
        <v>0</v>
      </c>
      <c r="D882" s="3">
        <v>0</v>
      </c>
      <c r="E882" s="2">
        <v>0</v>
      </c>
      <c r="F882">
        <v>0</v>
      </c>
      <c r="G882" s="3">
        <v>1700</v>
      </c>
      <c r="H882" s="3" t="s">
        <v>54</v>
      </c>
      <c r="I882" s="3" t="s">
        <v>59</v>
      </c>
      <c r="J882" t="s">
        <v>144</v>
      </c>
      <c r="K882" s="3" t="s">
        <v>218</v>
      </c>
      <c r="L882" s="3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  <c r="X882" s="4"/>
      <c r="AB882" s="3"/>
      <c r="AK882" s="5"/>
    </row>
    <row r="883" spans="1:47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150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84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 s="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101</v>
      </c>
      <c r="G884" t="s">
        <v>94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84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102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103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101</v>
      </c>
      <c r="G885" t="s">
        <v>94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84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102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103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x14ac:dyDescent="0.25">
      <c r="A886" t="s">
        <v>96</v>
      </c>
      <c r="B886" s="1">
        <v>37745</v>
      </c>
      <c r="C886" t="s">
        <v>48</v>
      </c>
      <c r="D886" t="s">
        <v>49</v>
      </c>
      <c r="E886" s="2">
        <v>45874</v>
      </c>
      <c r="F886" t="s">
        <v>208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153</v>
      </c>
      <c r="X886" s="4">
        <v>0</v>
      </c>
      <c r="Y886" t="s">
        <v>62</v>
      </c>
      <c r="AK886" s="5"/>
    </row>
    <row r="887" spans="1:47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s="3" t="s">
        <v>54</v>
      </c>
      <c r="I887" s="3" t="s">
        <v>59</v>
      </c>
      <c r="K887" s="3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  <c r="AK887" s="5"/>
    </row>
    <row r="888" spans="1:47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249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 s="3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121</v>
      </c>
      <c r="W888" t="s">
        <v>153</v>
      </c>
      <c r="X888" s="4">
        <v>0</v>
      </c>
      <c r="Y888" t="s">
        <v>58</v>
      </c>
      <c r="Z888" s="3">
        <v>0</v>
      </c>
      <c r="AA888">
        <v>0</v>
      </c>
      <c r="AB888">
        <v>568.79999999999995</v>
      </c>
      <c r="AC888">
        <v>0</v>
      </c>
      <c r="AD888">
        <v>0</v>
      </c>
      <c r="AE888" s="3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x14ac:dyDescent="0.25">
      <c r="A889" t="s">
        <v>96</v>
      </c>
      <c r="B889" s="1">
        <v>37748</v>
      </c>
      <c r="C889" t="s">
        <v>48</v>
      </c>
      <c r="D889" t="s">
        <v>49</v>
      </c>
      <c r="E889" s="2">
        <v>45875</v>
      </c>
      <c r="F889" t="s">
        <v>416</v>
      </c>
      <c r="G889" t="s">
        <v>167</v>
      </c>
      <c r="H889" s="3">
        <v>4940</v>
      </c>
      <c r="I889" s="3">
        <v>4940</v>
      </c>
      <c r="J889">
        <v>0</v>
      </c>
      <c r="K889" s="3">
        <v>4940</v>
      </c>
      <c r="L889" s="3">
        <v>686.5</v>
      </c>
      <c r="M889" s="3">
        <v>425.63</v>
      </c>
      <c r="N889" t="s">
        <v>106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146</v>
      </c>
      <c r="W889" t="s">
        <v>78</v>
      </c>
      <c r="X889" s="4">
        <v>0</v>
      </c>
      <c r="Y889" t="s">
        <v>62</v>
      </c>
      <c r="AE889" s="3"/>
      <c r="AK889" s="5"/>
    </row>
    <row r="890" spans="1:47" x14ac:dyDescent="0.25">
      <c r="A890" t="s">
        <v>63</v>
      </c>
      <c r="B890" s="1">
        <v>0</v>
      </c>
      <c r="C890">
        <v>0</v>
      </c>
      <c r="D890">
        <v>686.5</v>
      </c>
      <c r="E890" s="2">
        <v>0</v>
      </c>
      <c r="F890">
        <v>0</v>
      </c>
      <c r="G890">
        <v>500</v>
      </c>
      <c r="H890" s="3" t="s">
        <v>54</v>
      </c>
      <c r="I890" s="3" t="s">
        <v>59</v>
      </c>
      <c r="K890" s="3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  <c r="X890" s="4"/>
      <c r="AK890" s="5"/>
    </row>
    <row r="891" spans="1:47" x14ac:dyDescent="0.25">
      <c r="A891" t="s">
        <v>96</v>
      </c>
      <c r="B891" s="1">
        <v>37750</v>
      </c>
      <c r="C891" t="s">
        <v>48</v>
      </c>
      <c r="D891" t="s">
        <v>49</v>
      </c>
      <c r="E891" s="2">
        <v>45875</v>
      </c>
      <c r="F891" t="s">
        <v>140</v>
      </c>
      <c r="G891" t="s">
        <v>141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202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103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150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84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150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 s="3">
        <v>370.86</v>
      </c>
      <c r="M893" s="3">
        <v>277.39</v>
      </c>
      <c r="N893" t="s">
        <v>84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 s="3">
        <v>0</v>
      </c>
      <c r="AE893" s="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150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84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s="3" t="s">
        <v>150</v>
      </c>
      <c r="G895" s="3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84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150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84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s="3" t="s">
        <v>150</v>
      </c>
      <c r="G897" s="3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84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150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84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s="3" t="s">
        <v>206</v>
      </c>
      <c r="G899" s="3" t="s">
        <v>124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92</v>
      </c>
      <c r="AJ899" t="s">
        <v>92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161</v>
      </c>
      <c r="G900" t="s">
        <v>109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162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x14ac:dyDescent="0.25">
      <c r="A901" t="s">
        <v>96</v>
      </c>
      <c r="B901" s="1">
        <v>37763</v>
      </c>
      <c r="C901" t="s">
        <v>48</v>
      </c>
      <c r="D901" t="s">
        <v>49</v>
      </c>
      <c r="E901" s="2">
        <v>45876</v>
      </c>
      <c r="F901" t="s">
        <v>180</v>
      </c>
      <c r="G901" s="3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259</v>
      </c>
      <c r="X901" s="4">
        <v>0</v>
      </c>
      <c r="Y901" t="s">
        <v>62</v>
      </c>
      <c r="AK901" s="5"/>
    </row>
    <row r="902" spans="1:47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x14ac:dyDescent="0.25">
      <c r="A903" t="s">
        <v>96</v>
      </c>
      <c r="B903" s="1">
        <v>37765</v>
      </c>
      <c r="C903" t="s">
        <v>48</v>
      </c>
      <c r="D903" t="s">
        <v>49</v>
      </c>
      <c r="E903" s="2">
        <v>45876</v>
      </c>
      <c r="F903" t="s">
        <v>180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259</v>
      </c>
      <c r="X903" s="4">
        <v>0</v>
      </c>
      <c r="Y903" t="s">
        <v>62</v>
      </c>
      <c r="AB903" s="3"/>
      <c r="AE903" s="3"/>
      <c r="AK903" s="5"/>
    </row>
    <row r="904" spans="1:47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x14ac:dyDescent="0.25">
      <c r="A905" t="s">
        <v>96</v>
      </c>
      <c r="B905" s="1">
        <v>37766</v>
      </c>
      <c r="C905" t="s">
        <v>48</v>
      </c>
      <c r="D905" t="s">
        <v>49</v>
      </c>
      <c r="E905" s="2">
        <v>45876</v>
      </c>
      <c r="F905" t="s">
        <v>180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259</v>
      </c>
      <c r="X905" s="4">
        <v>0</v>
      </c>
      <c r="Y905" t="s">
        <v>62</v>
      </c>
      <c r="Z905" s="3"/>
      <c r="AB905" s="3"/>
      <c r="AE905" s="3"/>
      <c r="AK905" s="5"/>
    </row>
    <row r="906" spans="1:47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x14ac:dyDescent="0.25">
      <c r="A907" t="s">
        <v>96</v>
      </c>
      <c r="B907" s="1">
        <v>37767</v>
      </c>
      <c r="C907" t="s">
        <v>48</v>
      </c>
      <c r="D907" t="s">
        <v>49</v>
      </c>
      <c r="E907" s="2">
        <v>45876</v>
      </c>
      <c r="F907" t="s">
        <v>303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355</v>
      </c>
      <c r="X907" s="4">
        <v>0</v>
      </c>
      <c r="Y907" t="s">
        <v>62</v>
      </c>
      <c r="AE907" s="3"/>
      <c r="AK907" s="5"/>
    </row>
    <row r="908" spans="1:47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 s="3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201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92</v>
      </c>
      <c r="AJ909" t="s">
        <v>92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x14ac:dyDescent="0.25">
      <c r="A910" t="s">
        <v>96</v>
      </c>
      <c r="B910" s="1">
        <v>37770</v>
      </c>
      <c r="C910" t="s">
        <v>48</v>
      </c>
      <c r="D910" t="s">
        <v>49</v>
      </c>
      <c r="E910" s="2">
        <v>45877</v>
      </c>
      <c r="F910" t="s">
        <v>151</v>
      </c>
      <c r="G910" s="3" t="s">
        <v>152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153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111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95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356</v>
      </c>
      <c r="G912" s="3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95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182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108</v>
      </c>
      <c r="G913" t="s">
        <v>109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84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110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92</v>
      </c>
      <c r="AJ913" t="s">
        <v>92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Z915" s="3"/>
      <c r="AB915" s="3"/>
      <c r="AE915" s="3"/>
      <c r="AK915" s="5"/>
    </row>
    <row r="916" spans="1:47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129</v>
      </c>
      <c r="G917" s="3" t="s">
        <v>130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131</v>
      </c>
      <c r="X917" s="4">
        <v>0</v>
      </c>
      <c r="Y917" t="s">
        <v>62</v>
      </c>
    </row>
    <row r="918" spans="1:47" x14ac:dyDescent="0.25">
      <c r="A918" t="s">
        <v>63</v>
      </c>
      <c r="B918" s="3">
        <v>1044.8</v>
      </c>
      <c r="C918">
        <v>0</v>
      </c>
      <c r="D918" s="3">
        <v>0</v>
      </c>
      <c r="E918" s="2">
        <v>0</v>
      </c>
      <c r="F918">
        <v>0</v>
      </c>
      <c r="G918" s="3">
        <v>2700</v>
      </c>
      <c r="H918" s="3" t="s">
        <v>54</v>
      </c>
      <c r="I918" s="3" t="s">
        <v>59</v>
      </c>
      <c r="K918" s="3" t="s">
        <v>60</v>
      </c>
      <c r="L918" s="3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  <c r="X918" s="4"/>
    </row>
    <row r="919" spans="1:47" x14ac:dyDescent="0.25">
      <c r="A919" t="s">
        <v>96</v>
      </c>
      <c r="B919" s="1">
        <v>37777</v>
      </c>
      <c r="C919" t="s">
        <v>48</v>
      </c>
      <c r="D919" t="s">
        <v>49</v>
      </c>
      <c r="E919" s="2">
        <v>45880</v>
      </c>
      <c r="F919" s="3" t="s">
        <v>205</v>
      </c>
      <c r="G919" s="3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164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165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287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 s="3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95</v>
      </c>
      <c r="X920" s="4">
        <v>0</v>
      </c>
      <c r="Y920" t="s">
        <v>62</v>
      </c>
    </row>
    <row r="921" spans="1:47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 s="3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216</v>
      </c>
      <c r="G922" t="s">
        <v>89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95</v>
      </c>
      <c r="X922" s="4">
        <v>0</v>
      </c>
      <c r="Y922" t="s">
        <v>58</v>
      </c>
      <c r="Z922" s="3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216</v>
      </c>
      <c r="G923" t="s">
        <v>89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95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x14ac:dyDescent="0.25">
      <c r="A924" t="s">
        <v>96</v>
      </c>
      <c r="B924" s="1">
        <v>37781</v>
      </c>
      <c r="C924" t="s">
        <v>48</v>
      </c>
      <c r="D924" s="3" t="s">
        <v>49</v>
      </c>
      <c r="E924" s="2">
        <v>45880</v>
      </c>
      <c r="F924" t="s">
        <v>322</v>
      </c>
      <c r="G924" s="3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192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232</v>
      </c>
      <c r="G925" t="s">
        <v>172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204</v>
      </c>
      <c r="W925" t="s">
        <v>202</v>
      </c>
      <c r="X925" s="4">
        <v>0</v>
      </c>
      <c r="Y925" t="s">
        <v>62</v>
      </c>
      <c r="Z925" s="3"/>
      <c r="AD925" s="3"/>
      <c r="AE925" s="3"/>
      <c r="AK925" s="5"/>
    </row>
    <row r="926" spans="1:47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92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357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95</v>
      </c>
      <c r="X927" s="4">
        <v>0</v>
      </c>
      <c r="Y927" t="s">
        <v>62</v>
      </c>
      <c r="AD927" s="3"/>
      <c r="AE927" s="3"/>
      <c r="AK927" s="5"/>
    </row>
    <row r="928" spans="1:47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A928" s="3"/>
      <c r="AD928" s="3"/>
      <c r="AE928" s="3"/>
      <c r="AK928" s="5"/>
    </row>
    <row r="929" spans="1:47" x14ac:dyDescent="0.25">
      <c r="A929" t="s">
        <v>96</v>
      </c>
      <c r="B929" s="1">
        <v>37784</v>
      </c>
      <c r="C929" t="s">
        <v>48</v>
      </c>
      <c r="D929" t="s">
        <v>49</v>
      </c>
      <c r="E929" s="2">
        <v>45881</v>
      </c>
      <c r="F929" t="s">
        <v>412</v>
      </c>
      <c r="G929" t="s">
        <v>119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201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92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x14ac:dyDescent="0.25">
      <c r="A930" t="s">
        <v>96</v>
      </c>
      <c r="B930" s="1">
        <v>37786</v>
      </c>
      <c r="C930" t="s">
        <v>48</v>
      </c>
      <c r="D930" t="s">
        <v>49</v>
      </c>
      <c r="E930" s="2">
        <v>45881</v>
      </c>
      <c r="F930" t="s">
        <v>412</v>
      </c>
      <c r="G930" t="s">
        <v>119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201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92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150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84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92</v>
      </c>
      <c r="AJ931" t="s">
        <v>92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92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209</v>
      </c>
      <c r="G933" s="3" t="s">
        <v>119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131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210</v>
      </c>
      <c r="AI933" t="s">
        <v>60</v>
      </c>
      <c r="AJ933" t="s">
        <v>92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209</v>
      </c>
      <c r="G934" t="s">
        <v>119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210</v>
      </c>
      <c r="AI934" t="s">
        <v>60</v>
      </c>
      <c r="AJ934" t="s">
        <v>92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101</v>
      </c>
      <c r="G935" s="3" t="s">
        <v>94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84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102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103</v>
      </c>
      <c r="AI935" t="s">
        <v>92</v>
      </c>
      <c r="AJ935" t="s">
        <v>92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111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95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182</v>
      </c>
      <c r="AI936" t="s">
        <v>73</v>
      </c>
      <c r="AJ936" t="s">
        <v>92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111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95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182</v>
      </c>
      <c r="AI937" t="s">
        <v>73</v>
      </c>
      <c r="AJ937" t="s">
        <v>92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x14ac:dyDescent="0.25">
      <c r="A938" t="s">
        <v>96</v>
      </c>
      <c r="B938" s="1">
        <v>37797</v>
      </c>
      <c r="C938" t="s">
        <v>48</v>
      </c>
      <c r="D938" t="s">
        <v>49</v>
      </c>
      <c r="E938" s="2">
        <v>45882</v>
      </c>
      <c r="F938" t="s">
        <v>358</v>
      </c>
      <c r="G938" t="s">
        <v>83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84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143</v>
      </c>
      <c r="X938" s="4">
        <v>0</v>
      </c>
      <c r="Y938" t="s">
        <v>62</v>
      </c>
      <c r="AK938" s="5"/>
    </row>
    <row r="939" spans="1:47" x14ac:dyDescent="0.25">
      <c r="A939" t="s">
        <v>63</v>
      </c>
      <c r="B939" s="3">
        <v>0</v>
      </c>
      <c r="C939">
        <v>0</v>
      </c>
      <c r="D939">
        <v>0</v>
      </c>
      <c r="E939" s="2">
        <v>0</v>
      </c>
      <c r="F939" s="3">
        <v>3532.5</v>
      </c>
      <c r="G939" s="3">
        <v>1500</v>
      </c>
      <c r="H939" s="3" t="s">
        <v>54</v>
      </c>
      <c r="I939" s="3" t="s">
        <v>59</v>
      </c>
      <c r="K939" s="3" t="s">
        <v>92</v>
      </c>
      <c r="L939" t="s">
        <v>92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  <c r="X939" s="4"/>
      <c r="AK939" s="5"/>
    </row>
    <row r="940" spans="1:47" x14ac:dyDescent="0.25">
      <c r="A940" t="s">
        <v>96</v>
      </c>
      <c r="B940" s="1">
        <v>37798</v>
      </c>
      <c r="C940" t="s">
        <v>48</v>
      </c>
      <c r="D940" t="s">
        <v>49</v>
      </c>
      <c r="E940" s="2">
        <v>45883</v>
      </c>
      <c r="F940" t="s">
        <v>300</v>
      </c>
      <c r="G940" t="s">
        <v>94</v>
      </c>
      <c r="H940" s="3">
        <v>7.96</v>
      </c>
      <c r="I940" s="3">
        <v>7.96</v>
      </c>
      <c r="J940">
        <v>0</v>
      </c>
      <c r="K940" s="3">
        <v>7.96</v>
      </c>
      <c r="L940">
        <v>1.35</v>
      </c>
      <c r="M940" s="3">
        <v>0.84</v>
      </c>
      <c r="N940" t="s">
        <v>106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223</v>
      </c>
      <c r="X940" s="4">
        <v>0</v>
      </c>
      <c r="Y940" t="s">
        <v>62</v>
      </c>
      <c r="AK940" s="5"/>
    </row>
    <row r="941" spans="1:47" x14ac:dyDescent="0.25">
      <c r="A941" t="s">
        <v>63</v>
      </c>
      <c r="B941" s="1">
        <v>0</v>
      </c>
      <c r="C941">
        <v>0</v>
      </c>
      <c r="D941">
        <v>1.35</v>
      </c>
      <c r="E941" s="2">
        <v>0</v>
      </c>
      <c r="F941">
        <v>0</v>
      </c>
      <c r="G941">
        <v>1</v>
      </c>
      <c r="H941" s="3" t="s">
        <v>54</v>
      </c>
      <c r="I941" s="3" t="s">
        <v>59</v>
      </c>
      <c r="K941" s="3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  <c r="X941" s="4"/>
      <c r="AK941" s="5"/>
    </row>
    <row r="942" spans="1:47" x14ac:dyDescent="0.25">
      <c r="A942" t="s">
        <v>96</v>
      </c>
      <c r="B942" s="1">
        <v>37799</v>
      </c>
      <c r="C942" t="s">
        <v>48</v>
      </c>
      <c r="D942" t="s">
        <v>49</v>
      </c>
      <c r="E942" s="2">
        <v>45883</v>
      </c>
      <c r="F942" t="s">
        <v>301</v>
      </c>
      <c r="G942" t="s">
        <v>167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106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146</v>
      </c>
      <c r="W942" t="s">
        <v>223</v>
      </c>
      <c r="X942" s="4">
        <v>0</v>
      </c>
      <c r="Y942" t="s">
        <v>62</v>
      </c>
    </row>
    <row r="943" spans="1:47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x14ac:dyDescent="0.25">
      <c r="A946" t="s">
        <v>96</v>
      </c>
      <c r="B946" s="1">
        <v>37801</v>
      </c>
      <c r="C946" t="s">
        <v>48</v>
      </c>
      <c r="D946" t="s">
        <v>49</v>
      </c>
      <c r="E946" s="2">
        <v>45884</v>
      </c>
      <c r="F946" t="s">
        <v>220</v>
      </c>
      <c r="G946" t="s">
        <v>167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106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146</v>
      </c>
      <c r="W946" t="s">
        <v>153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218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x14ac:dyDescent="0.25">
      <c r="A947" t="s">
        <v>96</v>
      </c>
      <c r="B947" s="1">
        <v>37802</v>
      </c>
      <c r="C947" t="s">
        <v>48</v>
      </c>
      <c r="D947" t="s">
        <v>49</v>
      </c>
      <c r="E947" s="2">
        <v>45884</v>
      </c>
      <c r="F947" t="s">
        <v>220</v>
      </c>
      <c r="G947" s="3" t="s">
        <v>167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106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146</v>
      </c>
      <c r="W947" t="s">
        <v>153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218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x14ac:dyDescent="0.25">
      <c r="A948" t="s">
        <v>96</v>
      </c>
      <c r="B948" s="1">
        <v>37803</v>
      </c>
      <c r="C948" t="s">
        <v>48</v>
      </c>
      <c r="D948" t="s">
        <v>49</v>
      </c>
      <c r="E948" s="2">
        <v>45884</v>
      </c>
      <c r="F948" t="s">
        <v>140</v>
      </c>
      <c r="G948" t="s">
        <v>141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202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103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x14ac:dyDescent="0.25">
      <c r="A949" t="s">
        <v>136</v>
      </c>
      <c r="B949" s="1">
        <v>37804</v>
      </c>
      <c r="C949" t="s">
        <v>48</v>
      </c>
      <c r="D949" t="s">
        <v>49</v>
      </c>
      <c r="E949" s="2">
        <v>45884</v>
      </c>
      <c r="F949" t="s">
        <v>283</v>
      </c>
      <c r="G949" t="s">
        <v>284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114</v>
      </c>
      <c r="X949" s="4">
        <v>0</v>
      </c>
      <c r="Y949" t="s">
        <v>62</v>
      </c>
      <c r="Z949" s="3"/>
      <c r="AE949" s="3"/>
      <c r="AK949" s="5"/>
    </row>
    <row r="950" spans="1:47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x14ac:dyDescent="0.25">
      <c r="A951" t="s">
        <v>96</v>
      </c>
      <c r="B951" s="1">
        <v>37805</v>
      </c>
      <c r="C951" t="s">
        <v>48</v>
      </c>
      <c r="D951" t="s">
        <v>49</v>
      </c>
      <c r="E951" s="2">
        <v>45884</v>
      </c>
      <c r="F951" t="s">
        <v>275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95</v>
      </c>
      <c r="X951" s="4">
        <v>0</v>
      </c>
      <c r="Y951" t="s">
        <v>62</v>
      </c>
      <c r="Z951" s="3"/>
      <c r="AB951" s="3"/>
      <c r="AE951" s="3"/>
      <c r="AK951" s="5"/>
    </row>
    <row r="952" spans="1:47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x14ac:dyDescent="0.25">
      <c r="A953" t="s">
        <v>136</v>
      </c>
      <c r="B953" s="1">
        <v>37806</v>
      </c>
      <c r="C953" t="s">
        <v>48</v>
      </c>
      <c r="D953" t="s">
        <v>49</v>
      </c>
      <c r="E953" s="2">
        <v>45884</v>
      </c>
      <c r="F953" t="s">
        <v>240</v>
      </c>
      <c r="G953" t="s">
        <v>239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164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x14ac:dyDescent="0.25">
      <c r="A954" t="s">
        <v>96</v>
      </c>
      <c r="B954" s="1">
        <v>37807</v>
      </c>
      <c r="C954" t="s">
        <v>48</v>
      </c>
      <c r="D954" t="s">
        <v>49</v>
      </c>
      <c r="E954" s="2">
        <v>45887</v>
      </c>
      <c r="F954" t="s">
        <v>129</v>
      </c>
      <c r="G954" t="s">
        <v>130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131</v>
      </c>
      <c r="X954" s="4">
        <v>0</v>
      </c>
      <c r="Y954" t="s">
        <v>62</v>
      </c>
      <c r="Z954" s="3"/>
      <c r="AE954" s="3"/>
      <c r="AK954" s="5"/>
    </row>
    <row r="955" spans="1:47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92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x14ac:dyDescent="0.25">
      <c r="A956" t="s">
        <v>96</v>
      </c>
      <c r="B956" s="1">
        <v>37809</v>
      </c>
      <c r="C956" t="s">
        <v>48</v>
      </c>
      <c r="D956" t="s">
        <v>49</v>
      </c>
      <c r="E956" s="2">
        <v>45887</v>
      </c>
      <c r="F956" t="s">
        <v>359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95</v>
      </c>
      <c r="X956" s="4">
        <v>0</v>
      </c>
      <c r="Y956" t="s">
        <v>62</v>
      </c>
      <c r="Z956" s="3"/>
      <c r="AE956" s="3"/>
      <c r="AK956" s="5"/>
    </row>
    <row r="957" spans="1:47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D957" s="3"/>
      <c r="AE957" s="3"/>
      <c r="AK957" s="5"/>
    </row>
    <row r="958" spans="1:47" x14ac:dyDescent="0.25">
      <c r="A958" t="s">
        <v>96</v>
      </c>
      <c r="B958" s="1">
        <v>37810</v>
      </c>
      <c r="C958" t="s">
        <v>48</v>
      </c>
      <c r="D958" t="s">
        <v>49</v>
      </c>
      <c r="E958" s="2">
        <v>45887</v>
      </c>
      <c r="F958" t="s">
        <v>299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289</v>
      </c>
      <c r="X958" s="4">
        <v>0</v>
      </c>
      <c r="Y958" t="s">
        <v>62</v>
      </c>
      <c r="Z958" s="3"/>
      <c r="AE958" s="3"/>
      <c r="AK958" s="5"/>
    </row>
    <row r="959" spans="1:47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92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x14ac:dyDescent="0.25">
      <c r="A960" t="s">
        <v>96</v>
      </c>
      <c r="B960" s="1">
        <v>37813</v>
      </c>
      <c r="C960" t="s">
        <v>48</v>
      </c>
      <c r="D960" t="s">
        <v>49</v>
      </c>
      <c r="E960" s="2">
        <v>45887</v>
      </c>
      <c r="F960" t="s">
        <v>105</v>
      </c>
      <c r="G960" t="s">
        <v>94</v>
      </c>
      <c r="H960" s="3">
        <v>2760</v>
      </c>
      <c r="I960" s="3">
        <v>2760</v>
      </c>
      <c r="J960">
        <v>0</v>
      </c>
      <c r="K960" s="3">
        <v>2760</v>
      </c>
      <c r="L960" s="3">
        <v>388.8</v>
      </c>
      <c r="M960" s="3">
        <v>290.82</v>
      </c>
      <c r="N960" t="s">
        <v>106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107</v>
      </c>
      <c r="X960" s="4">
        <v>0</v>
      </c>
      <c r="Y960" t="s">
        <v>62</v>
      </c>
      <c r="AK960" s="5"/>
    </row>
    <row r="961" spans="1:47" x14ac:dyDescent="0.25">
      <c r="A961" t="s">
        <v>63</v>
      </c>
      <c r="B961" s="1">
        <v>0</v>
      </c>
      <c r="C961">
        <v>0</v>
      </c>
      <c r="D961" s="3">
        <v>388.8</v>
      </c>
      <c r="E961" s="2">
        <v>0</v>
      </c>
      <c r="F961">
        <v>0</v>
      </c>
      <c r="G961" s="3">
        <v>100</v>
      </c>
      <c r="H961" s="3" t="s">
        <v>54</v>
      </c>
      <c r="I961" s="3" t="s">
        <v>59</v>
      </c>
      <c r="J961" t="s">
        <v>182</v>
      </c>
      <c r="K961" s="3" t="s">
        <v>218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x14ac:dyDescent="0.25">
      <c r="A962" t="s">
        <v>96</v>
      </c>
      <c r="B962" s="1">
        <v>37814</v>
      </c>
      <c r="C962" t="s">
        <v>48</v>
      </c>
      <c r="D962" t="s">
        <v>49</v>
      </c>
      <c r="E962" s="2">
        <v>45888</v>
      </c>
      <c r="F962" t="s">
        <v>145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106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146</v>
      </c>
      <c r="W962" t="s">
        <v>147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218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161</v>
      </c>
      <c r="G963" s="3" t="s">
        <v>109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162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92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x14ac:dyDescent="0.25">
      <c r="A964" t="s">
        <v>96</v>
      </c>
      <c r="B964" s="1">
        <v>37816</v>
      </c>
      <c r="C964" t="s">
        <v>48</v>
      </c>
      <c r="D964" t="s">
        <v>49</v>
      </c>
      <c r="E964" s="2">
        <v>45888</v>
      </c>
      <c r="F964" t="s">
        <v>180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181</v>
      </c>
      <c r="X964" s="4">
        <v>0</v>
      </c>
      <c r="Y964" t="s">
        <v>62</v>
      </c>
      <c r="AK964" s="5"/>
    </row>
    <row r="965" spans="1:47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92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x14ac:dyDescent="0.25">
      <c r="A966" t="s">
        <v>96</v>
      </c>
      <c r="B966" s="1">
        <v>37817</v>
      </c>
      <c r="C966" t="s">
        <v>48</v>
      </c>
      <c r="D966" t="s">
        <v>49</v>
      </c>
      <c r="E966" s="2">
        <v>45888</v>
      </c>
      <c r="F966" t="s">
        <v>180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181</v>
      </c>
      <c r="X966" s="4">
        <v>0</v>
      </c>
      <c r="Y966" t="s">
        <v>62</v>
      </c>
      <c r="AK966" s="5"/>
    </row>
    <row r="967" spans="1:47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92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171</v>
      </c>
      <c r="G968" t="s">
        <v>172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95</v>
      </c>
      <c r="X968" s="4">
        <v>0</v>
      </c>
      <c r="Y968" t="s">
        <v>62</v>
      </c>
      <c r="AB968" s="3"/>
      <c r="AE968" s="3"/>
      <c r="AK968" s="5"/>
    </row>
    <row r="969" spans="1:47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92</v>
      </c>
      <c r="L969" s="3" t="s">
        <v>92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s="3" t="s">
        <v>101</v>
      </c>
      <c r="G970" s="3" t="s">
        <v>94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84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102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103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101</v>
      </c>
      <c r="G971" t="s">
        <v>94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84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102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103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304</v>
      </c>
      <c r="G972" t="s">
        <v>87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178</v>
      </c>
      <c r="X972" s="4">
        <v>0</v>
      </c>
      <c r="Y972" t="s">
        <v>62</v>
      </c>
      <c r="AD972" s="3"/>
      <c r="AE972" s="3"/>
      <c r="AK972" s="5"/>
    </row>
    <row r="973" spans="1:47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  <c r="AE973" s="3"/>
      <c r="AK973" s="5"/>
    </row>
    <row r="974" spans="1:47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264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84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95</v>
      </c>
      <c r="X974" s="4">
        <v>0</v>
      </c>
      <c r="Y974" t="s">
        <v>62</v>
      </c>
      <c r="AE974" s="3"/>
      <c r="AK974" s="5"/>
    </row>
    <row r="975" spans="1:47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  <c r="X975" s="4"/>
      <c r="Z975" s="3"/>
      <c r="AB975" s="3"/>
      <c r="AE975" s="3"/>
      <c r="AK975" s="5"/>
    </row>
    <row r="976" spans="1:47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x14ac:dyDescent="0.25">
      <c r="A978" t="s">
        <v>47</v>
      </c>
      <c r="B978" s="1">
        <v>37828</v>
      </c>
      <c r="C978" t="s">
        <v>48</v>
      </c>
      <c r="D978" s="3" t="s">
        <v>49</v>
      </c>
      <c r="E978" s="2">
        <v>45889</v>
      </c>
      <c r="F978" t="s">
        <v>263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165</v>
      </c>
      <c r="K979" s="3" t="s">
        <v>60</v>
      </c>
      <c r="L979" t="s">
        <v>92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  <c r="AK979" s="5"/>
    </row>
    <row r="980" spans="1:47" x14ac:dyDescent="0.25">
      <c r="A980" t="s">
        <v>96</v>
      </c>
      <c r="B980" s="1">
        <v>37830</v>
      </c>
      <c r="C980" t="s">
        <v>48</v>
      </c>
      <c r="D980" t="s">
        <v>49</v>
      </c>
      <c r="E980" s="2">
        <v>45890</v>
      </c>
      <c r="F980" t="s">
        <v>407</v>
      </c>
      <c r="G980" s="3" t="s">
        <v>89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408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149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x14ac:dyDescent="0.25">
      <c r="A981" t="s">
        <v>47</v>
      </c>
      <c r="B981" s="1">
        <v>37831</v>
      </c>
      <c r="C981" t="s">
        <v>48</v>
      </c>
      <c r="D981" s="3" t="s">
        <v>49</v>
      </c>
      <c r="E981" s="2">
        <v>45890</v>
      </c>
      <c r="F981" t="s">
        <v>360</v>
      </c>
      <c r="G981" s="3" t="s">
        <v>119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361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362</v>
      </c>
      <c r="X981" s="4">
        <v>0</v>
      </c>
      <c r="Y981" t="s">
        <v>62</v>
      </c>
    </row>
    <row r="982" spans="1:47" x14ac:dyDescent="0.25">
      <c r="A982" t="s">
        <v>63</v>
      </c>
      <c r="B982" s="3">
        <v>2193.23</v>
      </c>
      <c r="C982">
        <v>0</v>
      </c>
      <c r="D982">
        <v>0</v>
      </c>
      <c r="E982" s="2">
        <v>0</v>
      </c>
      <c r="F982">
        <v>0</v>
      </c>
      <c r="G982" s="3">
        <v>3970</v>
      </c>
      <c r="H982" s="3" t="s">
        <v>54</v>
      </c>
      <c r="I982" s="3" t="s">
        <v>59</v>
      </c>
      <c r="K982" s="3" t="s">
        <v>73</v>
      </c>
      <c r="L982" s="3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  <c r="X982" s="4"/>
      <c r="Z982" s="3"/>
      <c r="AE982" s="3"/>
      <c r="AK982" s="5"/>
    </row>
    <row r="983" spans="1:47" x14ac:dyDescent="0.25">
      <c r="A983" t="s">
        <v>96</v>
      </c>
      <c r="B983" s="1">
        <v>37832</v>
      </c>
      <c r="C983" t="s">
        <v>48</v>
      </c>
      <c r="D983" t="s">
        <v>49</v>
      </c>
      <c r="E983" s="2">
        <v>45890</v>
      </c>
      <c r="F983" t="s">
        <v>132</v>
      </c>
      <c r="G983" t="s">
        <v>87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114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x14ac:dyDescent="0.25">
      <c r="A984" t="s">
        <v>96</v>
      </c>
      <c r="B984" s="1">
        <v>37833</v>
      </c>
      <c r="C984" t="s">
        <v>48</v>
      </c>
      <c r="D984" t="s">
        <v>49</v>
      </c>
      <c r="E984" s="2">
        <v>45890</v>
      </c>
      <c r="F984" s="3" t="s">
        <v>132</v>
      </c>
      <c r="G984" s="3" t="s">
        <v>87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114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x14ac:dyDescent="0.25">
      <c r="A985" t="s">
        <v>96</v>
      </c>
      <c r="B985" s="1">
        <v>37834</v>
      </c>
      <c r="C985" t="s">
        <v>48</v>
      </c>
      <c r="D985" t="s">
        <v>49</v>
      </c>
      <c r="E985" s="2">
        <v>45890</v>
      </c>
      <c r="F985" t="s">
        <v>132</v>
      </c>
      <c r="G985" t="s">
        <v>87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114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x14ac:dyDescent="0.25">
      <c r="A986" t="s">
        <v>96</v>
      </c>
      <c r="B986" s="1">
        <v>37835</v>
      </c>
      <c r="C986" t="s">
        <v>48</v>
      </c>
      <c r="D986" t="s">
        <v>49</v>
      </c>
      <c r="E986" s="2">
        <v>45891</v>
      </c>
      <c r="F986" t="s">
        <v>184</v>
      </c>
      <c r="G986" s="3" t="s">
        <v>185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143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126</v>
      </c>
      <c r="G987" t="s">
        <v>89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84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95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x14ac:dyDescent="0.25">
      <c r="A988" t="s">
        <v>96</v>
      </c>
      <c r="B988" s="1">
        <v>37839</v>
      </c>
      <c r="C988" t="s">
        <v>48</v>
      </c>
      <c r="D988" t="s">
        <v>49</v>
      </c>
      <c r="E988" s="2">
        <v>45891</v>
      </c>
      <c r="F988" t="s">
        <v>363</v>
      </c>
      <c r="G988" t="s">
        <v>364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106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146</v>
      </c>
      <c r="W988" t="s">
        <v>192</v>
      </c>
      <c r="X988" s="4">
        <v>0</v>
      </c>
      <c r="Y988" t="s">
        <v>62</v>
      </c>
    </row>
    <row r="989" spans="1:47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x14ac:dyDescent="0.25">
      <c r="A990" t="s">
        <v>96</v>
      </c>
      <c r="B990" s="1">
        <v>37841</v>
      </c>
      <c r="C990" t="s">
        <v>48</v>
      </c>
      <c r="D990" t="s">
        <v>49</v>
      </c>
      <c r="E990" s="2">
        <v>45891</v>
      </c>
      <c r="F990" t="s">
        <v>363</v>
      </c>
      <c r="G990" s="3" t="s">
        <v>364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106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146</v>
      </c>
      <c r="W990" t="s">
        <v>192</v>
      </c>
      <c r="X990" s="4">
        <v>0</v>
      </c>
      <c r="Y990" t="s">
        <v>62</v>
      </c>
    </row>
    <row r="991" spans="1:47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s="3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148</v>
      </c>
      <c r="G992" s="3" t="s">
        <v>89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95</v>
      </c>
      <c r="X992" s="4">
        <v>0</v>
      </c>
      <c r="Y992" t="s">
        <v>62</v>
      </c>
    </row>
    <row r="993" spans="1:47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148</v>
      </c>
      <c r="G994" s="3" t="s">
        <v>89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95</v>
      </c>
      <c r="X994" s="4">
        <v>0</v>
      </c>
      <c r="Y994" t="s">
        <v>62</v>
      </c>
    </row>
    <row r="995" spans="1:47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  <c r="Z995" s="3"/>
      <c r="AE995" s="3"/>
      <c r="AK995" s="5"/>
    </row>
    <row r="996" spans="1:47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93</v>
      </c>
      <c r="G996" s="3" t="s">
        <v>94</v>
      </c>
      <c r="H996" s="3">
        <v>979.6</v>
      </c>
      <c r="I996" s="3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84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95</v>
      </c>
      <c r="X996" s="4">
        <v>0</v>
      </c>
      <c r="Y996" t="s">
        <v>62</v>
      </c>
    </row>
    <row r="997" spans="1:47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 s="3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x14ac:dyDescent="0.25">
      <c r="A1000" t="s">
        <v>96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140</v>
      </c>
      <c r="G1000" t="s">
        <v>141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202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103</v>
      </c>
      <c r="AI1000" t="s">
        <v>347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213</v>
      </c>
      <c r="G1001" t="s">
        <v>138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84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214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263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165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  <c r="AK1003" s="5"/>
    </row>
    <row r="1004" spans="1:47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112</v>
      </c>
      <c r="G1004" s="3" t="s">
        <v>113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115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150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84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150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84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150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 s="3">
        <v>426.49</v>
      </c>
      <c r="M1007" s="3">
        <v>319.01</v>
      </c>
      <c r="N1007" t="s">
        <v>84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 s="3">
        <v>0</v>
      </c>
      <c r="AE1007" s="3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150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84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108</v>
      </c>
      <c r="G1009" s="3" t="s">
        <v>109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84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110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92</v>
      </c>
      <c r="AJ1009" t="s">
        <v>92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101</v>
      </c>
      <c r="G1010" t="s">
        <v>94</v>
      </c>
      <c r="H1010" s="3">
        <v>970</v>
      </c>
      <c r="I1010" s="3">
        <v>970</v>
      </c>
      <c r="J1010">
        <v>0</v>
      </c>
      <c r="K1010" s="3">
        <v>1115.5</v>
      </c>
      <c r="L1010" s="3">
        <v>207</v>
      </c>
      <c r="M1010" s="3">
        <v>72.45</v>
      </c>
      <c r="N1010" t="s">
        <v>84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102</v>
      </c>
      <c r="X1010" s="4">
        <v>0</v>
      </c>
      <c r="Y1010" t="s">
        <v>58</v>
      </c>
      <c r="Z1010">
        <v>207</v>
      </c>
      <c r="AA1010">
        <v>0</v>
      </c>
      <c r="AB1010" s="3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103</v>
      </c>
      <c r="AI1010" t="s">
        <v>92</v>
      </c>
      <c r="AJ1010" t="s">
        <v>92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323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153</v>
      </c>
      <c r="X1011" s="4">
        <v>0</v>
      </c>
      <c r="Y1011" t="s">
        <v>62</v>
      </c>
      <c r="Z1011" s="3"/>
      <c r="AE1011" s="3"/>
      <c r="AK1011" s="5"/>
    </row>
    <row r="1012" spans="1:47" x14ac:dyDescent="0.25">
      <c r="A1012" t="s">
        <v>63</v>
      </c>
      <c r="B1012" s="3">
        <v>0</v>
      </c>
      <c r="C1012">
        <v>0</v>
      </c>
      <c r="D1012">
        <v>0</v>
      </c>
      <c r="E1012" s="2">
        <v>0</v>
      </c>
      <c r="F1012">
        <v>530.95000000000005</v>
      </c>
      <c r="G1012" s="3">
        <v>410</v>
      </c>
      <c r="H1012" s="3" t="s">
        <v>54</v>
      </c>
      <c r="I1012" s="3" t="s">
        <v>59</v>
      </c>
      <c r="K1012" s="3" t="s">
        <v>80</v>
      </c>
      <c r="L1012" s="3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  <c r="X1012" s="4"/>
    </row>
    <row r="1013" spans="1:47" x14ac:dyDescent="0.25">
      <c r="A1013" t="s">
        <v>96</v>
      </c>
      <c r="B1013" s="1">
        <v>37858</v>
      </c>
      <c r="C1013" t="s">
        <v>48</v>
      </c>
      <c r="D1013" s="3" t="s">
        <v>49</v>
      </c>
      <c r="E1013" s="2">
        <v>45896</v>
      </c>
      <c r="F1013" t="s">
        <v>140</v>
      </c>
      <c r="G1013" s="3" t="s">
        <v>141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181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103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x14ac:dyDescent="0.25">
      <c r="A1014" t="s">
        <v>96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415</v>
      </c>
      <c r="G1014" t="s">
        <v>124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131</v>
      </c>
      <c r="X1014" s="4">
        <v>0</v>
      </c>
      <c r="Y1014" t="s">
        <v>62</v>
      </c>
    </row>
    <row r="1015" spans="1:47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x14ac:dyDescent="0.25">
      <c r="A1017" t="s">
        <v>96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351</v>
      </c>
      <c r="G1017" t="s">
        <v>89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90</v>
      </c>
      <c r="X1017" s="4">
        <v>0</v>
      </c>
      <c r="Y1017" t="s">
        <v>62</v>
      </c>
    </row>
    <row r="1018" spans="1:47" x14ac:dyDescent="0.25">
      <c r="A1018" t="s">
        <v>63</v>
      </c>
      <c r="B1018" s="3">
        <v>0</v>
      </c>
      <c r="C1018">
        <v>0</v>
      </c>
      <c r="D1018">
        <v>0</v>
      </c>
      <c r="E1018" s="2">
        <v>0</v>
      </c>
      <c r="F1018">
        <v>918</v>
      </c>
      <c r="G1018" s="3">
        <v>2000</v>
      </c>
      <c r="H1018" s="3" t="s">
        <v>54</v>
      </c>
      <c r="I1018" s="3" t="s">
        <v>59</v>
      </c>
      <c r="K1018" s="3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  <c r="X1018" s="4"/>
    </row>
    <row r="1019" spans="1:47" x14ac:dyDescent="0.25">
      <c r="A1019" t="s">
        <v>96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156</v>
      </c>
      <c r="G1019" s="3" t="s">
        <v>157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106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146</v>
      </c>
      <c r="W1019" t="s">
        <v>134</v>
      </c>
      <c r="X1019" s="4">
        <v>0</v>
      </c>
      <c r="Y1019" t="s">
        <v>62</v>
      </c>
    </row>
    <row r="1020" spans="1:47" x14ac:dyDescent="0.25">
      <c r="A1020" t="s">
        <v>63</v>
      </c>
      <c r="B1020" s="3">
        <v>0</v>
      </c>
      <c r="C1020">
        <v>0</v>
      </c>
      <c r="D1020">
        <v>0</v>
      </c>
      <c r="E1020" s="2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218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  <c r="X1020" s="4"/>
    </row>
    <row r="1021" spans="1:47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331</v>
      </c>
      <c r="G1021" t="s">
        <v>332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106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92</v>
      </c>
      <c r="W1021" t="s">
        <v>134</v>
      </c>
      <c r="X1021" s="4">
        <v>0</v>
      </c>
      <c r="Y1021" t="s">
        <v>201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218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219</v>
      </c>
      <c r="G1022" t="s">
        <v>167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106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146</v>
      </c>
      <c r="W1022" t="s">
        <v>143</v>
      </c>
      <c r="X1022" s="4">
        <v>0</v>
      </c>
      <c r="Y1022" t="s">
        <v>62</v>
      </c>
      <c r="AK1022" s="5"/>
    </row>
    <row r="1023" spans="1:47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218</v>
      </c>
      <c r="L1023" s="3" t="s">
        <v>92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161</v>
      </c>
      <c r="G1024" s="3" t="s">
        <v>109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162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92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101</v>
      </c>
      <c r="G1025" s="3" t="s">
        <v>94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84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102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103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111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95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365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 s="3">
        <v>136.9</v>
      </c>
      <c r="M1027" s="3">
        <v>64.34</v>
      </c>
      <c r="N1027" t="s">
        <v>106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146</v>
      </c>
      <c r="W1027">
        <v>10</v>
      </c>
      <c r="X1027" s="4">
        <v>0</v>
      </c>
      <c r="Y1027" t="s">
        <v>62</v>
      </c>
      <c r="Z1027" s="3"/>
      <c r="AE1027" s="3"/>
      <c r="AK1027" s="5"/>
    </row>
    <row r="1028" spans="1:47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218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256</v>
      </c>
      <c r="G1029" s="3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153</v>
      </c>
      <c r="X1029" s="4">
        <v>0</v>
      </c>
      <c r="Y1029" t="s">
        <v>62</v>
      </c>
      <c r="AB1029" s="3"/>
      <c r="AE1029" s="3"/>
      <c r="AK1029" s="5"/>
    </row>
    <row r="1030" spans="1:47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Z1030" s="3"/>
      <c r="AB1030" s="3"/>
      <c r="AE1030" s="3"/>
      <c r="AK1030" s="5"/>
    </row>
    <row r="1031" spans="1:47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366</v>
      </c>
      <c r="G1031" t="s">
        <v>157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204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x14ac:dyDescent="0.25">
      <c r="A1033" t="s">
        <v>96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367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 s="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280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x14ac:dyDescent="0.25">
      <c r="A1035" t="s">
        <v>96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105</v>
      </c>
      <c r="G1035" t="s">
        <v>94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106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146</v>
      </c>
      <c r="W1035" t="s">
        <v>107</v>
      </c>
      <c r="X1035" s="4">
        <v>0</v>
      </c>
      <c r="Y1035" t="s">
        <v>62</v>
      </c>
    </row>
    <row r="1036" spans="1:47" x14ac:dyDescent="0.25">
      <c r="A1036" t="s">
        <v>63</v>
      </c>
      <c r="B1036" s="1">
        <v>0</v>
      </c>
      <c r="C1036">
        <v>0</v>
      </c>
      <c r="D1036" s="3">
        <v>225.35</v>
      </c>
      <c r="E1036" s="2">
        <v>0</v>
      </c>
      <c r="F1036">
        <v>0</v>
      </c>
      <c r="G1036" s="3">
        <v>100</v>
      </c>
      <c r="H1036" s="3" t="s">
        <v>54</v>
      </c>
      <c r="I1036" s="3" t="s">
        <v>59</v>
      </c>
      <c r="J1036" t="s">
        <v>182</v>
      </c>
      <c r="K1036" s="3" t="s">
        <v>218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  <c r="X1036" s="4"/>
    </row>
    <row r="1037" spans="1:47" x14ac:dyDescent="0.25">
      <c r="A1037" t="s">
        <v>96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166</v>
      </c>
      <c r="G1037" s="3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153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92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248</v>
      </c>
    </row>
    <row r="1038" spans="1:47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 s="3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201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x14ac:dyDescent="0.25">
      <c r="A1039" t="s">
        <v>96</v>
      </c>
      <c r="B1039" s="1">
        <v>37882</v>
      </c>
      <c r="C1039" t="s">
        <v>48</v>
      </c>
      <c r="D1039" t="s">
        <v>49</v>
      </c>
      <c r="E1039" s="2">
        <v>45901</v>
      </c>
      <c r="F1039" s="3" t="s">
        <v>414</v>
      </c>
      <c r="G1039" s="3" t="s">
        <v>119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95</v>
      </c>
      <c r="X1039" s="4"/>
      <c r="Y1039" t="s">
        <v>62</v>
      </c>
    </row>
    <row r="1040" spans="1:47" x14ac:dyDescent="0.25">
      <c r="A1040" t="s">
        <v>63</v>
      </c>
      <c r="B1040" s="1">
        <v>297.89999999999998</v>
      </c>
      <c r="C1040">
        <v>0</v>
      </c>
      <c r="D1040">
        <v>0</v>
      </c>
      <c r="E1040" s="2">
        <v>0</v>
      </c>
      <c r="F1040" s="3">
        <v>0</v>
      </c>
      <c r="G1040">
        <v>700</v>
      </c>
      <c r="H1040" s="3"/>
      <c r="I1040" s="3"/>
      <c r="K1040" s="3"/>
      <c r="L1040" s="3" t="s">
        <v>92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248</v>
      </c>
      <c r="X1040" s="4"/>
      <c r="AB1040" s="3"/>
      <c r="AE1040" s="3"/>
      <c r="AK1040" s="5"/>
    </row>
    <row r="1041" spans="1:47" x14ac:dyDescent="0.25">
      <c r="A1041" t="s">
        <v>96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154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143</v>
      </c>
      <c r="X1041" s="4"/>
      <c r="Y1041" t="s">
        <v>354</v>
      </c>
      <c r="AK1041" s="5"/>
    </row>
    <row r="1042" spans="1:47" x14ac:dyDescent="0.25">
      <c r="A1042" t="s">
        <v>200</v>
      </c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1:47" x14ac:dyDescent="0.25">
      <c r="A1043" t="s">
        <v>201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248</v>
      </c>
      <c r="X1043" s="4"/>
      <c r="AA1043" s="3"/>
      <c r="AE1043" s="3"/>
      <c r="AK1043" s="5"/>
    </row>
    <row r="1044" spans="1:47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133</v>
      </c>
      <c r="G1044" s="3" t="s">
        <v>89</v>
      </c>
      <c r="H1044" s="3">
        <v>3275</v>
      </c>
      <c r="I1044" s="3">
        <v>3275</v>
      </c>
      <c r="J1044">
        <v>0</v>
      </c>
      <c r="K1044" s="3">
        <v>3766.25</v>
      </c>
      <c r="L1044" s="3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134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 s="3">
        <v>0</v>
      </c>
      <c r="AE1044" s="3">
        <v>500</v>
      </c>
      <c r="AF1044" t="s">
        <v>54</v>
      </c>
      <c r="AG1044" t="s">
        <v>59</v>
      </c>
      <c r="AI1044" t="s">
        <v>92</v>
      </c>
      <c r="AJ1044" t="s">
        <v>92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209</v>
      </c>
      <c r="G1045" t="s">
        <v>119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210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x14ac:dyDescent="0.25">
      <c r="A1046" t="s">
        <v>96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125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 s="3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x14ac:dyDescent="0.25">
      <c r="A1047" t="s">
        <v>96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125</v>
      </c>
      <c r="G1047" s="3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252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84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95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234</v>
      </c>
      <c r="G1049" s="3" t="s">
        <v>109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84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95</v>
      </c>
      <c r="X1049" s="4">
        <v>0</v>
      </c>
      <c r="Y1049" t="s">
        <v>62</v>
      </c>
    </row>
    <row r="1050" spans="1:47" x14ac:dyDescent="0.25">
      <c r="A1050" t="s">
        <v>63</v>
      </c>
      <c r="B1050" s="3">
        <v>2389</v>
      </c>
      <c r="C1050">
        <v>0</v>
      </c>
      <c r="D1050">
        <v>0</v>
      </c>
      <c r="E1050" s="2">
        <v>0</v>
      </c>
      <c r="F1050" s="3">
        <v>0</v>
      </c>
      <c r="G1050" s="3">
        <v>2000</v>
      </c>
      <c r="H1050" s="3" t="s">
        <v>54</v>
      </c>
      <c r="I1050" s="3" t="s">
        <v>59</v>
      </c>
      <c r="K1050" s="3" t="s">
        <v>73</v>
      </c>
      <c r="L1050" s="3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  <c r="X1050" s="4"/>
      <c r="AB1050" s="3"/>
      <c r="AE1050" s="3"/>
      <c r="AK1050" s="5"/>
    </row>
    <row r="1051" spans="1:47" x14ac:dyDescent="0.25">
      <c r="A1051" t="s">
        <v>96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250</v>
      </c>
      <c r="G1051" t="s">
        <v>251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202</v>
      </c>
      <c r="X1051" s="4">
        <v>0</v>
      </c>
      <c r="Y1051" t="s">
        <v>62</v>
      </c>
      <c r="AB1051" s="3"/>
      <c r="AE1051" s="3"/>
      <c r="AK1051" s="5"/>
    </row>
    <row r="1052" spans="1:47" x14ac:dyDescent="0.25">
      <c r="A1052" t="s">
        <v>63</v>
      </c>
      <c r="B1052" s="3">
        <v>1380</v>
      </c>
      <c r="C1052">
        <v>0</v>
      </c>
      <c r="D1052">
        <v>0</v>
      </c>
      <c r="E1052" s="2">
        <v>0</v>
      </c>
      <c r="F1052" s="3">
        <v>0</v>
      </c>
      <c r="G1052" s="3">
        <v>3000</v>
      </c>
      <c r="H1052" s="3" t="s">
        <v>54</v>
      </c>
      <c r="I1052" s="3" t="s">
        <v>59</v>
      </c>
      <c r="K1052" s="3" t="s">
        <v>80</v>
      </c>
      <c r="L1052" s="3" t="s">
        <v>92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  <c r="X1052" s="4"/>
      <c r="AB1052" s="3"/>
      <c r="AE1052" s="3"/>
      <c r="AK1052" s="5"/>
    </row>
    <row r="1053" spans="1:47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213</v>
      </c>
      <c r="G1053" t="s">
        <v>138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84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214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101</v>
      </c>
      <c r="G1054" s="3" t="s">
        <v>94</v>
      </c>
      <c r="H1054" s="3">
        <v>2500</v>
      </c>
      <c r="I1054" s="3">
        <v>2500</v>
      </c>
      <c r="J1054">
        <v>0</v>
      </c>
      <c r="K1054" s="3">
        <v>2875</v>
      </c>
      <c r="L1054" s="3">
        <v>576</v>
      </c>
      <c r="M1054" s="3">
        <v>201.6</v>
      </c>
      <c r="N1054" t="s">
        <v>84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102</v>
      </c>
      <c r="X1054" s="4">
        <v>0</v>
      </c>
      <c r="Y1054" t="s">
        <v>58</v>
      </c>
      <c r="Z1054" s="3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103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x14ac:dyDescent="0.25">
      <c r="A1055" t="s">
        <v>96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129</v>
      </c>
      <c r="G1055" t="s">
        <v>130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131</v>
      </c>
      <c r="X1055" s="4">
        <v>0</v>
      </c>
      <c r="Y1055" t="s">
        <v>62</v>
      </c>
      <c r="Z1055" s="3"/>
      <c r="AE1055" s="3"/>
      <c r="AK1055" s="5"/>
    </row>
    <row r="1056" spans="1:47" x14ac:dyDescent="0.25">
      <c r="A1056" t="s">
        <v>63</v>
      </c>
      <c r="B1056" s="1">
        <v>437.54</v>
      </c>
      <c r="C1056">
        <v>0</v>
      </c>
      <c r="D1056">
        <v>0</v>
      </c>
      <c r="E1056" s="2">
        <v>0</v>
      </c>
      <c r="F1056" s="3">
        <v>0</v>
      </c>
      <c r="G1056" s="3">
        <v>950</v>
      </c>
      <c r="H1056" s="3" t="s">
        <v>54</v>
      </c>
      <c r="I1056" s="3" t="s">
        <v>59</v>
      </c>
      <c r="K1056" s="3" t="s">
        <v>73</v>
      </c>
      <c r="L1056" s="3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  <c r="X1056" s="4"/>
      <c r="Z1056" s="3"/>
      <c r="AE1056" s="3"/>
      <c r="AK1056" s="5"/>
    </row>
    <row r="1057" spans="1:47" x14ac:dyDescent="0.25">
      <c r="A1057" t="s">
        <v>96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320</v>
      </c>
      <c r="G1057" t="s">
        <v>251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106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131</v>
      </c>
      <c r="X1057" s="4">
        <v>0</v>
      </c>
      <c r="Y1057" t="s">
        <v>62</v>
      </c>
    </row>
    <row r="1058" spans="1:47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321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368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118</v>
      </c>
      <c r="G1061" t="s">
        <v>119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153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118</v>
      </c>
      <c r="G1062" s="3" t="s">
        <v>119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153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x14ac:dyDescent="0.25">
      <c r="A1063" t="s">
        <v>96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127</v>
      </c>
      <c r="G1063" t="s">
        <v>109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84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177</v>
      </c>
      <c r="W1063" t="s">
        <v>114</v>
      </c>
      <c r="X1063" s="4">
        <v>0</v>
      </c>
      <c r="Y1063" t="s">
        <v>62</v>
      </c>
      <c r="AE1063" s="3"/>
      <c r="AK1063" s="5"/>
    </row>
    <row r="1064" spans="1:47" x14ac:dyDescent="0.25">
      <c r="A1064" t="s">
        <v>63</v>
      </c>
      <c r="B1064" s="1">
        <v>415</v>
      </c>
      <c r="C1064">
        <v>0</v>
      </c>
      <c r="D1064">
        <v>0</v>
      </c>
      <c r="E1064" s="2">
        <v>0</v>
      </c>
      <c r="F1064" s="3">
        <v>0</v>
      </c>
      <c r="G1064" s="3">
        <v>100</v>
      </c>
      <c r="H1064" s="3" t="s">
        <v>54</v>
      </c>
      <c r="I1064" s="3" t="s">
        <v>59</v>
      </c>
      <c r="J1064" t="s">
        <v>128</v>
      </c>
      <c r="K1064" s="3" t="s">
        <v>73</v>
      </c>
      <c r="L1064" s="3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  <c r="X1064" s="4"/>
      <c r="AD1064" s="3"/>
      <c r="AE1064" s="3"/>
      <c r="AK1064" s="5"/>
    </row>
    <row r="1065" spans="1:47" x14ac:dyDescent="0.25">
      <c r="A1065" t="s">
        <v>96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187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134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 s="3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101</v>
      </c>
      <c r="G1066" s="3" t="s">
        <v>94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84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102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 s="3">
        <v>0</v>
      </c>
      <c r="AE1066" s="3">
        <v>2000</v>
      </c>
      <c r="AF1066" t="s">
        <v>54</v>
      </c>
      <c r="AG1066" t="s">
        <v>59</v>
      </c>
      <c r="AH1066" t="s">
        <v>103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108</v>
      </c>
      <c r="G1067" t="s">
        <v>109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84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110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 s="3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x14ac:dyDescent="0.25">
      <c r="A1068" t="s">
        <v>96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129</v>
      </c>
      <c r="G1068" s="3" t="s">
        <v>130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131</v>
      </c>
      <c r="X1068" s="4">
        <v>0</v>
      </c>
      <c r="Y1068" t="s">
        <v>62</v>
      </c>
      <c r="AD1068" s="3"/>
      <c r="AE1068" s="3"/>
      <c r="AK1068" s="5"/>
    </row>
    <row r="1069" spans="1:47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  <c r="AD1069" s="3"/>
      <c r="AK1069" s="5"/>
    </row>
    <row r="1070" spans="1:47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112</v>
      </c>
      <c r="G1070" s="3" t="s">
        <v>113</v>
      </c>
      <c r="H1070" s="3">
        <v>942.5</v>
      </c>
      <c r="I1070" s="3">
        <v>942.5</v>
      </c>
      <c r="J1070">
        <v>0</v>
      </c>
      <c r="K1070" s="3">
        <v>942.5</v>
      </c>
      <c r="L1070" s="3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 s="3">
        <v>155.35</v>
      </c>
      <c r="AA1070">
        <v>0</v>
      </c>
      <c r="AB1070">
        <v>0</v>
      </c>
      <c r="AC1070">
        <v>0</v>
      </c>
      <c r="AD1070">
        <v>0</v>
      </c>
      <c r="AE1070" s="3">
        <v>650</v>
      </c>
      <c r="AF1070" t="s">
        <v>54</v>
      </c>
      <c r="AG1070" t="s">
        <v>59</v>
      </c>
      <c r="AH1070" t="s">
        <v>115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x14ac:dyDescent="0.25">
      <c r="A1071" t="s">
        <v>96</v>
      </c>
      <c r="B1071" s="1">
        <v>37909</v>
      </c>
      <c r="C1071" t="s">
        <v>48</v>
      </c>
      <c r="D1071" t="s">
        <v>49</v>
      </c>
      <c r="E1071" s="2">
        <v>45909</v>
      </c>
      <c r="F1071" t="s">
        <v>281</v>
      </c>
      <c r="G1071" t="s">
        <v>94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282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146</v>
      </c>
      <c r="W1071" t="s">
        <v>72</v>
      </c>
      <c r="X1071" s="4">
        <v>0</v>
      </c>
      <c r="Y1071" t="s">
        <v>62</v>
      </c>
      <c r="AE1071" s="3"/>
      <c r="AK1071" s="5"/>
    </row>
    <row r="1072" spans="1:47" x14ac:dyDescent="0.25">
      <c r="A1072" t="s">
        <v>63</v>
      </c>
      <c r="B1072" s="1">
        <v>0</v>
      </c>
      <c r="C1072">
        <v>0</v>
      </c>
      <c r="D1072" s="3">
        <v>259</v>
      </c>
      <c r="E1072" s="2">
        <v>0</v>
      </c>
      <c r="F1072">
        <v>988.4</v>
      </c>
      <c r="G1072" s="3">
        <v>3400</v>
      </c>
      <c r="H1072" s="3" t="s">
        <v>54</v>
      </c>
      <c r="I1072" s="3" t="s">
        <v>59</v>
      </c>
      <c r="J1072" t="s">
        <v>144</v>
      </c>
      <c r="K1072" s="3" t="s">
        <v>73</v>
      </c>
      <c r="L1072" s="3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  <c r="X1072" s="4"/>
      <c r="Z1072" s="3"/>
      <c r="AE1072" s="3"/>
      <c r="AK1072" s="5"/>
    </row>
    <row r="1073" spans="1:47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338</v>
      </c>
      <c r="G1073" t="s">
        <v>113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95</v>
      </c>
      <c r="X1073" s="4">
        <v>0</v>
      </c>
      <c r="Y1073" t="s">
        <v>62</v>
      </c>
    </row>
    <row r="1074" spans="1:47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x14ac:dyDescent="0.25">
      <c r="A1075" t="s">
        <v>96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105</v>
      </c>
      <c r="G1075" t="s">
        <v>94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106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146</v>
      </c>
      <c r="W1075" t="s">
        <v>107</v>
      </c>
      <c r="X1075" s="4">
        <v>0</v>
      </c>
      <c r="Y1075" t="s">
        <v>62</v>
      </c>
      <c r="Z1075" s="3"/>
      <c r="AE1075" s="3"/>
      <c r="AK1075" s="5"/>
    </row>
    <row r="1076" spans="1:47" x14ac:dyDescent="0.25">
      <c r="A1076" t="s">
        <v>63</v>
      </c>
      <c r="B1076" s="1">
        <v>0</v>
      </c>
      <c r="C1076">
        <v>0</v>
      </c>
      <c r="D1076" s="3">
        <v>275.39999999999998</v>
      </c>
      <c r="E1076" s="2">
        <v>0</v>
      </c>
      <c r="F1076">
        <v>71.5</v>
      </c>
      <c r="G1076" s="3">
        <v>300</v>
      </c>
      <c r="H1076" s="3" t="s">
        <v>54</v>
      </c>
      <c r="I1076" s="3" t="s">
        <v>59</v>
      </c>
      <c r="J1076" t="s">
        <v>182</v>
      </c>
      <c r="K1076" s="3" t="s">
        <v>218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  <c r="X1076" s="4"/>
      <c r="AE1076" s="3"/>
      <c r="AK1076" s="5"/>
    </row>
    <row r="1077" spans="1:47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328</v>
      </c>
      <c r="G1077" t="s">
        <v>94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329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117</v>
      </c>
      <c r="X1077" s="4">
        <v>0</v>
      </c>
      <c r="Y1077" t="s">
        <v>62</v>
      </c>
      <c r="AB1077" s="3"/>
      <c r="AE1077" s="3"/>
      <c r="AK1077" s="5"/>
    </row>
    <row r="1078" spans="1:47" x14ac:dyDescent="0.25">
      <c r="A1078" t="s">
        <v>63</v>
      </c>
      <c r="B1078" s="1">
        <v>0</v>
      </c>
      <c r="C1078">
        <v>0</v>
      </c>
      <c r="D1078" s="3">
        <v>348.8</v>
      </c>
      <c r="E1078" s="2">
        <v>0</v>
      </c>
      <c r="F1078">
        <v>0</v>
      </c>
      <c r="G1078" s="3">
        <v>400</v>
      </c>
      <c r="H1078" s="3" t="s">
        <v>54</v>
      </c>
      <c r="I1078" s="3" t="s">
        <v>59</v>
      </c>
      <c r="K1078" s="3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  <c r="X1078" s="4"/>
    </row>
    <row r="1079" spans="1:47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x14ac:dyDescent="0.25">
      <c r="A1080" t="s">
        <v>63</v>
      </c>
      <c r="B1080" s="1">
        <v>0</v>
      </c>
      <c r="C1080">
        <v>0</v>
      </c>
      <c r="D1080" s="3">
        <v>0</v>
      </c>
      <c r="E1080" s="2">
        <v>0</v>
      </c>
      <c r="F1080">
        <v>774</v>
      </c>
      <c r="G1080" s="3">
        <v>600</v>
      </c>
      <c r="H1080" s="3" t="s">
        <v>54</v>
      </c>
      <c r="I1080" s="3" t="s">
        <v>59</v>
      </c>
      <c r="K1080" s="3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  <c r="X1080" s="4"/>
      <c r="AE1080" s="3"/>
      <c r="AK1080" s="5"/>
    </row>
    <row r="1081" spans="1:47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x14ac:dyDescent="0.25">
      <c r="A1083" t="s">
        <v>96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145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106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146</v>
      </c>
      <c r="W1083" t="s">
        <v>147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218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111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95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111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95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111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95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93</v>
      </c>
      <c r="G1087" t="s">
        <v>94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84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95</v>
      </c>
      <c r="X1087" s="4">
        <v>0</v>
      </c>
      <c r="Y1087" t="s">
        <v>62</v>
      </c>
      <c r="Z1087" s="3"/>
      <c r="AE1087" s="3"/>
      <c r="AK1087" s="5"/>
    </row>
    <row r="1088" spans="1:47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x14ac:dyDescent="0.25">
      <c r="A1089" t="s">
        <v>96</v>
      </c>
      <c r="B1089" s="1">
        <v>37922</v>
      </c>
      <c r="C1089" t="s">
        <v>48</v>
      </c>
      <c r="D1089" t="s">
        <v>49</v>
      </c>
      <c r="E1089" s="2">
        <v>45911</v>
      </c>
      <c r="F1089" s="3" t="s">
        <v>414</v>
      </c>
      <c r="G1089" s="3" t="s">
        <v>119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95</v>
      </c>
      <c r="X1089" s="4">
        <v>0</v>
      </c>
      <c r="Y1089" t="s">
        <v>62</v>
      </c>
    </row>
    <row r="1090" spans="1:47" x14ac:dyDescent="0.25">
      <c r="A1090" t="s">
        <v>63</v>
      </c>
      <c r="B1090" s="1">
        <v>188.4</v>
      </c>
      <c r="C1090">
        <v>0</v>
      </c>
      <c r="D1090">
        <v>0</v>
      </c>
      <c r="E1090" s="2">
        <v>0</v>
      </c>
      <c r="F1090">
        <v>0</v>
      </c>
      <c r="G1090">
        <v>400</v>
      </c>
      <c r="H1090" s="3" t="s">
        <v>54</v>
      </c>
      <c r="I1090" s="3" t="s">
        <v>59</v>
      </c>
      <c r="K1090" s="3" t="s">
        <v>60</v>
      </c>
      <c r="L1090" s="3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  <c r="X1090" s="4"/>
    </row>
    <row r="1091" spans="1:47" x14ac:dyDescent="0.25">
      <c r="A1091" t="s">
        <v>96</v>
      </c>
      <c r="B1091" s="1">
        <v>37924</v>
      </c>
      <c r="C1091" t="s">
        <v>48</v>
      </c>
      <c r="D1091" t="s">
        <v>49</v>
      </c>
      <c r="E1091" s="2">
        <v>45911</v>
      </c>
      <c r="F1091" s="3" t="s">
        <v>407</v>
      </c>
      <c r="G1091" s="3" t="s">
        <v>89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408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149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229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x14ac:dyDescent="0.25">
      <c r="A1094" t="s">
        <v>136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369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114</v>
      </c>
      <c r="X1094" s="4">
        <v>0</v>
      </c>
      <c r="Y1094" t="s">
        <v>62</v>
      </c>
      <c r="AB1094" s="3"/>
      <c r="AE1094" s="3"/>
      <c r="AK1094" s="5"/>
    </row>
    <row r="1095" spans="1:47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 s="3">
        <v>0</v>
      </c>
      <c r="G1095" s="3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x14ac:dyDescent="0.25">
      <c r="A1096" t="s">
        <v>96</v>
      </c>
      <c r="B1096" s="1">
        <v>37927</v>
      </c>
      <c r="C1096" t="s">
        <v>48</v>
      </c>
      <c r="D1096" t="s">
        <v>49</v>
      </c>
      <c r="E1096" s="2">
        <v>45911</v>
      </c>
      <c r="F1096" t="s">
        <v>285</v>
      </c>
      <c r="G1096" t="s">
        <v>217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106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286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248</v>
      </c>
    </row>
    <row r="1097" spans="1:47" x14ac:dyDescent="0.25">
      <c r="A1097" t="s">
        <v>96</v>
      </c>
      <c r="B1097" s="1">
        <v>37928</v>
      </c>
      <c r="C1097" t="s">
        <v>48</v>
      </c>
      <c r="D1097" t="s">
        <v>49</v>
      </c>
      <c r="E1097" s="2">
        <v>45911</v>
      </c>
      <c r="F1097" s="3" t="s">
        <v>319</v>
      </c>
      <c r="G1097" s="3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121</v>
      </c>
      <c r="W1097" t="s">
        <v>289</v>
      </c>
      <c r="X1097" s="4">
        <v>0</v>
      </c>
      <c r="Y1097" t="s">
        <v>62</v>
      </c>
      <c r="AB1097" s="3"/>
      <c r="AE1097" s="3"/>
      <c r="AK1097" s="5"/>
    </row>
    <row r="1098" spans="1:47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370</v>
      </c>
      <c r="G1099" t="s">
        <v>371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106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162</v>
      </c>
      <c r="X1099" s="4"/>
      <c r="Y1099" t="s">
        <v>62</v>
      </c>
      <c r="AB1099" s="3"/>
      <c r="AE1099" s="3"/>
      <c r="AK1099" s="5"/>
    </row>
    <row r="1100" spans="1:47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248</v>
      </c>
      <c r="X1100" s="4"/>
      <c r="AE1100" s="3"/>
      <c r="AK1100" s="5"/>
    </row>
    <row r="1101" spans="1:47" x14ac:dyDescent="0.25">
      <c r="A1101" t="s">
        <v>96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145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106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147</v>
      </c>
      <c r="X1101" s="4"/>
      <c r="Y1101" t="s">
        <v>58</v>
      </c>
      <c r="Z1101">
        <v>0</v>
      </c>
      <c r="AA1101" s="3">
        <v>0</v>
      </c>
      <c r="AB1101" s="3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248</v>
      </c>
    </row>
    <row r="1102" spans="1:47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372</v>
      </c>
      <c r="G1102" t="s">
        <v>89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95</v>
      </c>
      <c r="X1102" s="4">
        <v>0</v>
      </c>
      <c r="Y1102" t="s">
        <v>62</v>
      </c>
      <c r="AA1102" s="3"/>
      <c r="AE1102" s="3"/>
      <c r="AK1102" s="5"/>
    </row>
    <row r="1103" spans="1:47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 s="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x14ac:dyDescent="0.25">
      <c r="A1104" t="s">
        <v>96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129</v>
      </c>
      <c r="G1104" t="s">
        <v>130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131</v>
      </c>
      <c r="X1104" s="4">
        <v>0</v>
      </c>
      <c r="Y1104" t="s">
        <v>62</v>
      </c>
      <c r="AE1104" s="3"/>
      <c r="AK1104" s="5"/>
    </row>
    <row r="1105" spans="1:47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150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84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150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84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150</v>
      </c>
      <c r="G1108" s="3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84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x14ac:dyDescent="0.25">
      <c r="A1109" t="s">
        <v>96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163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164</v>
      </c>
      <c r="X1109" s="4"/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248</v>
      </c>
    </row>
    <row r="1110" spans="1:47" x14ac:dyDescent="0.25">
      <c r="A1110" t="s">
        <v>96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331</v>
      </c>
      <c r="G1110" t="s">
        <v>332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106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92</v>
      </c>
      <c r="W1110" t="s">
        <v>134</v>
      </c>
      <c r="X1110" s="4">
        <v>0</v>
      </c>
      <c r="Y1110" t="s">
        <v>201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218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x14ac:dyDescent="0.25">
      <c r="A1111" t="s">
        <v>96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132</v>
      </c>
      <c r="G1111" t="s">
        <v>87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114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 s="3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201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x14ac:dyDescent="0.25">
      <c r="A1113" t="s">
        <v>96</v>
      </c>
      <c r="B1113" s="1">
        <v>37941</v>
      </c>
      <c r="C1113" t="s">
        <v>48</v>
      </c>
      <c r="D1113" s="3" t="s">
        <v>49</v>
      </c>
      <c r="E1113" s="2">
        <v>45912</v>
      </c>
      <c r="F1113" t="s">
        <v>132</v>
      </c>
      <c r="G1113" s="3" t="s">
        <v>87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114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92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x14ac:dyDescent="0.25">
      <c r="A1114" t="s">
        <v>96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132</v>
      </c>
      <c r="G1114" t="s">
        <v>87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114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92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280</v>
      </c>
      <c r="G1115" s="3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180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233</v>
      </c>
      <c r="X1116" s="4">
        <v>0</v>
      </c>
      <c r="Y1116" t="s">
        <v>62</v>
      </c>
      <c r="AK1116" s="5"/>
    </row>
    <row r="1117" spans="1:47" x14ac:dyDescent="0.25">
      <c r="A1117" t="s">
        <v>63</v>
      </c>
      <c r="B1117" s="3">
        <v>0</v>
      </c>
      <c r="C1117">
        <v>0</v>
      </c>
      <c r="D1117">
        <v>0</v>
      </c>
      <c r="E1117" s="2">
        <v>0</v>
      </c>
      <c r="F1117" s="3">
        <v>4693</v>
      </c>
      <c r="G1117" s="3">
        <v>8500</v>
      </c>
      <c r="H1117" s="3" t="s">
        <v>54</v>
      </c>
      <c r="I1117" s="3" t="s">
        <v>59</v>
      </c>
      <c r="J1117" t="s">
        <v>79</v>
      </c>
      <c r="K1117" s="3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  <c r="X1117" s="4"/>
      <c r="AK1117" s="5"/>
    </row>
    <row r="1118" spans="1:47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180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202</v>
      </c>
      <c r="X1118" s="4">
        <v>0</v>
      </c>
      <c r="Y1118" t="s">
        <v>62</v>
      </c>
      <c r="AK1118" s="5"/>
    </row>
    <row r="1119" spans="1:47" x14ac:dyDescent="0.25">
      <c r="A1119" t="s">
        <v>63</v>
      </c>
      <c r="B1119" s="3">
        <v>0</v>
      </c>
      <c r="C1119">
        <v>0</v>
      </c>
      <c r="D1119">
        <v>0</v>
      </c>
      <c r="E1119" s="2">
        <v>0</v>
      </c>
      <c r="F1119" s="3">
        <v>2154</v>
      </c>
      <c r="G1119" s="3">
        <v>7500</v>
      </c>
      <c r="H1119" s="3" t="s">
        <v>54</v>
      </c>
      <c r="I1119" s="3" t="s">
        <v>59</v>
      </c>
      <c r="J1119" t="s">
        <v>79</v>
      </c>
      <c r="K1119" s="3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  <c r="X1119" s="4"/>
      <c r="AK1119" s="5"/>
    </row>
    <row r="1120" spans="1:47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180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202</v>
      </c>
      <c r="X1120" s="4">
        <v>0</v>
      </c>
      <c r="Y1120" t="s">
        <v>62</v>
      </c>
      <c r="AK1120" s="5"/>
    </row>
    <row r="1121" spans="1:47" x14ac:dyDescent="0.25">
      <c r="A1121" t="s">
        <v>63</v>
      </c>
      <c r="B1121" s="3">
        <v>0</v>
      </c>
      <c r="C1121">
        <v>0</v>
      </c>
      <c r="D1121">
        <v>0</v>
      </c>
      <c r="E1121" s="2">
        <v>0</v>
      </c>
      <c r="F1121" s="3">
        <v>2353</v>
      </c>
      <c r="G1121" s="3">
        <v>4500</v>
      </c>
      <c r="H1121" s="3" t="s">
        <v>54</v>
      </c>
      <c r="I1121" s="3" t="s">
        <v>59</v>
      </c>
      <c r="J1121" t="s">
        <v>79</v>
      </c>
      <c r="K1121" s="3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  <c r="X1121" s="4"/>
      <c r="AE1121" s="3"/>
      <c r="AK1121" s="5"/>
    </row>
    <row r="1122" spans="1:47" x14ac:dyDescent="0.25">
      <c r="A1122" t="s">
        <v>96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145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106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146</v>
      </c>
      <c r="W1122" t="s">
        <v>147</v>
      </c>
      <c r="X1122" s="4">
        <v>0</v>
      </c>
      <c r="Y1122" t="s">
        <v>58</v>
      </c>
      <c r="Z1122" s="3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218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x14ac:dyDescent="0.25">
      <c r="A1123" t="s">
        <v>96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413</v>
      </c>
      <c r="G1123" s="3" t="s">
        <v>66</v>
      </c>
      <c r="H1123" s="3">
        <v>855</v>
      </c>
      <c r="I1123" s="3">
        <v>855</v>
      </c>
      <c r="J1123">
        <v>0</v>
      </c>
      <c r="K1123" s="3">
        <v>855</v>
      </c>
      <c r="L1123" s="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X1123" s="4"/>
      <c r="Y1123" t="s">
        <v>62</v>
      </c>
      <c r="AD1123" s="3"/>
      <c r="AE1123" s="3"/>
      <c r="AK1123" s="5"/>
    </row>
    <row r="1124" spans="1:47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248</v>
      </c>
      <c r="X1124" s="4"/>
      <c r="AK1124" s="5"/>
    </row>
    <row r="1125" spans="1:47" x14ac:dyDescent="0.25">
      <c r="A1125" t="s">
        <v>96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352</v>
      </c>
      <c r="G1125" s="3" t="s">
        <v>172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353</v>
      </c>
      <c r="X1125" s="4"/>
      <c r="Y1125" t="s">
        <v>62</v>
      </c>
      <c r="AK1125" s="5"/>
    </row>
    <row r="1126" spans="1:47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248</v>
      </c>
      <c r="X1126" s="4"/>
      <c r="AK1126" s="5"/>
    </row>
    <row r="1127" spans="1:47" x14ac:dyDescent="0.25">
      <c r="A1127" t="s">
        <v>96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295</v>
      </c>
      <c r="G1127" s="3" t="s">
        <v>94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106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146</v>
      </c>
      <c r="W1127" t="s">
        <v>90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218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295</v>
      </c>
      <c r="G1128" t="s">
        <v>94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106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146</v>
      </c>
      <c r="W1128" t="s">
        <v>90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218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295</v>
      </c>
      <c r="G1129" t="s">
        <v>94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106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146</v>
      </c>
      <c r="W1129" t="s">
        <v>90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218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295</v>
      </c>
      <c r="G1130" t="s">
        <v>94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106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146</v>
      </c>
      <c r="W1130" t="s">
        <v>90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218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x14ac:dyDescent="0.25">
      <c r="A1131" t="s">
        <v>96</v>
      </c>
      <c r="B1131" s="1">
        <v>37962</v>
      </c>
      <c r="C1131" t="s">
        <v>48</v>
      </c>
      <c r="D1131" s="3" t="s">
        <v>49</v>
      </c>
      <c r="E1131" s="2">
        <v>45916</v>
      </c>
      <c r="F1131" s="3" t="s">
        <v>276</v>
      </c>
      <c r="G1131" s="3" t="s">
        <v>157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106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146</v>
      </c>
      <c r="W1131" t="s">
        <v>131</v>
      </c>
      <c r="X1131" s="4">
        <v>0</v>
      </c>
      <c r="Y1131" t="s">
        <v>62</v>
      </c>
    </row>
    <row r="1132" spans="1:47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237</v>
      </c>
      <c r="K1132" s="3" t="s">
        <v>218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  <c r="AD1132" s="3"/>
      <c r="AE1132" s="3"/>
      <c r="AK1132" s="5"/>
    </row>
    <row r="1133" spans="1:47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101</v>
      </c>
      <c r="G1133" s="3" t="s">
        <v>94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84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102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 s="3">
        <v>0</v>
      </c>
      <c r="AE1133" s="3">
        <v>2000</v>
      </c>
      <c r="AF1133" t="s">
        <v>54</v>
      </c>
      <c r="AG1133" t="s">
        <v>59</v>
      </c>
      <c r="AH1133" t="s">
        <v>103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x14ac:dyDescent="0.25">
      <c r="A1134" t="s">
        <v>96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412</v>
      </c>
      <c r="G1134" t="s">
        <v>119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201</v>
      </c>
      <c r="Z1134">
        <v>365.8</v>
      </c>
      <c r="AA1134">
        <v>0</v>
      </c>
      <c r="AB1134">
        <v>0</v>
      </c>
      <c r="AC1134">
        <v>0</v>
      </c>
      <c r="AD1134" s="3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248</v>
      </c>
    </row>
    <row r="1135" spans="1:47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412</v>
      </c>
      <c r="G1135" s="3" t="s">
        <v>119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X1135" s="4"/>
      <c r="Y1135" t="s">
        <v>201</v>
      </c>
      <c r="Z1135">
        <v>365.8</v>
      </c>
      <c r="AA1135">
        <v>0</v>
      </c>
      <c r="AB1135">
        <v>0</v>
      </c>
      <c r="AC1135">
        <v>0</v>
      </c>
      <c r="AD1135" s="3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248</v>
      </c>
    </row>
    <row r="1136" spans="1:47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108</v>
      </c>
      <c r="G1136" t="s">
        <v>109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84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110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92</v>
      </c>
      <c r="AJ1136" t="s">
        <v>92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118</v>
      </c>
      <c r="G1137" t="s">
        <v>119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85</v>
      </c>
      <c r="X1137" s="4">
        <v>0</v>
      </c>
      <c r="Y1137" t="s">
        <v>58</v>
      </c>
      <c r="Z1137" s="3">
        <v>0</v>
      </c>
      <c r="AA1137">
        <v>0</v>
      </c>
      <c r="AB1137">
        <v>621.47</v>
      </c>
      <c r="AC1137">
        <v>0</v>
      </c>
      <c r="AD1137" s="3">
        <v>0</v>
      </c>
      <c r="AE1137" s="3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118</v>
      </c>
      <c r="G1138" t="s">
        <v>119</v>
      </c>
      <c r="H1138" s="3">
        <v>3994.2</v>
      </c>
      <c r="I1138" s="3">
        <v>3994.2</v>
      </c>
      <c r="J1138">
        <v>0</v>
      </c>
      <c r="K1138" s="3">
        <v>4593.33</v>
      </c>
      <c r="L1138" s="3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85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 s="3">
        <v>0</v>
      </c>
      <c r="AE1138" s="3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x14ac:dyDescent="0.25">
      <c r="A1139" t="s">
        <v>96</v>
      </c>
      <c r="B1139" s="1">
        <v>37969</v>
      </c>
      <c r="C1139" t="s">
        <v>48</v>
      </c>
      <c r="D1139" t="s">
        <v>49</v>
      </c>
      <c r="E1139" s="2">
        <v>45918</v>
      </c>
      <c r="F1139" t="s">
        <v>301</v>
      </c>
      <c r="G1139" t="s">
        <v>167</v>
      </c>
      <c r="H1139" s="3">
        <v>7.96</v>
      </c>
      <c r="I1139" s="3">
        <v>7.96</v>
      </c>
      <c r="J1139">
        <v>0</v>
      </c>
      <c r="K1139" s="3">
        <v>7.96</v>
      </c>
      <c r="L1139" s="3">
        <v>1.35</v>
      </c>
      <c r="M1139" s="3">
        <v>0.84</v>
      </c>
      <c r="N1139" t="s">
        <v>106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146</v>
      </c>
      <c r="W1139" t="s">
        <v>102</v>
      </c>
      <c r="X1139" s="4">
        <v>0</v>
      </c>
      <c r="Y1139" t="s">
        <v>62</v>
      </c>
      <c r="Z1139" s="3"/>
      <c r="AE1139" s="3"/>
      <c r="AK1139" s="5"/>
    </row>
    <row r="1140" spans="1:47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92</v>
      </c>
      <c r="L1140" s="3" t="s">
        <v>92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x14ac:dyDescent="0.25">
      <c r="A1141" t="s">
        <v>96</v>
      </c>
      <c r="B1141" s="1">
        <v>37970</v>
      </c>
      <c r="C1141" t="s">
        <v>48</v>
      </c>
      <c r="D1141" s="3" t="s">
        <v>49</v>
      </c>
      <c r="E1141" s="2">
        <v>45918</v>
      </c>
      <c r="F1141" t="s">
        <v>300</v>
      </c>
      <c r="G1141" t="s">
        <v>94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106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102</v>
      </c>
      <c r="X1141" s="4">
        <v>0</v>
      </c>
      <c r="Y1141" t="s">
        <v>62</v>
      </c>
      <c r="AE1141" s="3"/>
      <c r="AK1141" s="5"/>
    </row>
    <row r="1142" spans="1:47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92</v>
      </c>
      <c r="L1142" t="s">
        <v>92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  <c r="AK1142" s="5"/>
    </row>
    <row r="1143" spans="1:47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101</v>
      </c>
      <c r="G1143" t="s">
        <v>94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84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102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103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x14ac:dyDescent="0.25">
      <c r="A1144" t="s">
        <v>96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373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374</v>
      </c>
      <c r="X1144" s="4">
        <v>0</v>
      </c>
      <c r="Y1144" t="s">
        <v>62</v>
      </c>
    </row>
    <row r="1145" spans="1:47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206</v>
      </c>
      <c r="G1146" t="s">
        <v>124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206</v>
      </c>
      <c r="G1147" t="s">
        <v>124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206</v>
      </c>
      <c r="G1148" t="s">
        <v>124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206</v>
      </c>
      <c r="G1149" s="3" t="s">
        <v>124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206</v>
      </c>
      <c r="G1150" t="s">
        <v>124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266</v>
      </c>
      <c r="G1151" t="s">
        <v>217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267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92</v>
      </c>
      <c r="W1151" t="s">
        <v>85</v>
      </c>
      <c r="X1151" s="4">
        <v>0</v>
      </c>
      <c r="Y1151" t="s">
        <v>62</v>
      </c>
    </row>
    <row r="1152" spans="1:47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92</v>
      </c>
      <c r="L1152" s="3" t="s">
        <v>92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304</v>
      </c>
      <c r="G1153" t="s">
        <v>87</v>
      </c>
      <c r="H1153" s="3">
        <v>2544</v>
      </c>
      <c r="I1153" s="3">
        <v>2544</v>
      </c>
      <c r="J1153">
        <v>0</v>
      </c>
      <c r="K1153" s="3">
        <v>2925.6</v>
      </c>
      <c r="L1153" s="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178</v>
      </c>
      <c r="X1153" s="4">
        <v>0</v>
      </c>
      <c r="Y1153" t="s">
        <v>62</v>
      </c>
      <c r="AB1153" s="3"/>
      <c r="AE1153" s="3"/>
      <c r="AK1153" s="5"/>
    </row>
    <row r="1154" spans="1:47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  <c r="Z1154" s="3"/>
      <c r="AB1154" s="3"/>
      <c r="AE1154" s="3"/>
      <c r="AK1154" s="5"/>
    </row>
    <row r="1155" spans="1:47" x14ac:dyDescent="0.25">
      <c r="A1155" t="s">
        <v>96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142</v>
      </c>
      <c r="G1155" s="3" t="s">
        <v>94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106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146</v>
      </c>
      <c r="W1155" t="s">
        <v>224</v>
      </c>
      <c r="X1155" s="4">
        <v>0</v>
      </c>
      <c r="Y1155" t="s">
        <v>62</v>
      </c>
    </row>
    <row r="1156" spans="1:47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144</v>
      </c>
      <c r="K1156" s="3" t="s">
        <v>218</v>
      </c>
      <c r="L1156" t="s">
        <v>92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161</v>
      </c>
      <c r="G1157" t="s">
        <v>109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162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92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x14ac:dyDescent="0.25">
      <c r="A1158" t="s">
        <v>136</v>
      </c>
      <c r="B1158" s="1">
        <v>37983</v>
      </c>
      <c r="C1158" t="s">
        <v>48</v>
      </c>
      <c r="D1158" s="3" t="s">
        <v>49</v>
      </c>
      <c r="E1158" s="2">
        <v>45919</v>
      </c>
      <c r="F1158" t="s">
        <v>375</v>
      </c>
      <c r="G1158" s="3" t="s">
        <v>212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114</v>
      </c>
      <c r="X1158" s="4">
        <v>0</v>
      </c>
      <c r="Y1158" t="s">
        <v>62</v>
      </c>
    </row>
    <row r="1159" spans="1:47" x14ac:dyDescent="0.25">
      <c r="A1159" t="s">
        <v>63</v>
      </c>
      <c r="B1159" s="3">
        <v>9840</v>
      </c>
      <c r="C1159">
        <v>0</v>
      </c>
      <c r="D1159" s="3">
        <v>0</v>
      </c>
      <c r="E1159" s="2">
        <v>0</v>
      </c>
      <c r="F1159">
        <v>0</v>
      </c>
      <c r="G1159" s="3">
        <v>10000</v>
      </c>
      <c r="H1159" s="3" t="s">
        <v>54</v>
      </c>
      <c r="I1159" s="3" t="s">
        <v>59</v>
      </c>
      <c r="J1159" t="s">
        <v>182</v>
      </c>
      <c r="K1159" s="3" t="s">
        <v>92</v>
      </c>
      <c r="L1159" s="3" t="s">
        <v>92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  <c r="X1159" s="4"/>
    </row>
    <row r="1160" spans="1:47" x14ac:dyDescent="0.25">
      <c r="A1160" t="s">
        <v>96</v>
      </c>
      <c r="B1160" s="1">
        <v>37984</v>
      </c>
      <c r="C1160" t="s">
        <v>48</v>
      </c>
      <c r="D1160" t="s">
        <v>49</v>
      </c>
      <c r="E1160" s="2">
        <v>45922</v>
      </c>
      <c r="F1160" s="3" t="s">
        <v>376</v>
      </c>
      <c r="G1160" s="3" t="s">
        <v>157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106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146</v>
      </c>
      <c r="W1160" t="s">
        <v>223</v>
      </c>
      <c r="X1160" s="4">
        <v>0</v>
      </c>
      <c r="Y1160" t="s">
        <v>62</v>
      </c>
    </row>
    <row r="1161" spans="1:47" x14ac:dyDescent="0.25">
      <c r="A1161" t="s">
        <v>63</v>
      </c>
      <c r="B1161" s="3">
        <v>1111.5</v>
      </c>
      <c r="C1161">
        <v>0</v>
      </c>
      <c r="D1161" s="3">
        <v>1054.2</v>
      </c>
      <c r="E1161" s="2">
        <v>0</v>
      </c>
      <c r="F1161">
        <v>0</v>
      </c>
      <c r="G1161" s="3">
        <v>2100</v>
      </c>
      <c r="H1161" s="3" t="s">
        <v>54</v>
      </c>
      <c r="I1161" s="3" t="s">
        <v>59</v>
      </c>
      <c r="K1161" s="3" t="s">
        <v>218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  <c r="X1161" s="4"/>
      <c r="AK1161" s="5"/>
    </row>
    <row r="1162" spans="1:47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377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181</v>
      </c>
      <c r="X1162" s="4">
        <v>0</v>
      </c>
      <c r="Y1162" t="s">
        <v>62</v>
      </c>
      <c r="AK1162" s="5"/>
    </row>
    <row r="1163" spans="1:47" x14ac:dyDescent="0.25">
      <c r="A1163" t="s">
        <v>63</v>
      </c>
      <c r="B1163" s="1">
        <v>0</v>
      </c>
      <c r="C1163">
        <v>0</v>
      </c>
      <c r="D1163" s="3">
        <v>0</v>
      </c>
      <c r="E1163" s="2">
        <v>0</v>
      </c>
      <c r="F1163">
        <v>845.87</v>
      </c>
      <c r="G1163" s="3">
        <v>530</v>
      </c>
      <c r="H1163" s="3" t="s">
        <v>54</v>
      </c>
      <c r="I1163" s="3" t="s">
        <v>59</v>
      </c>
      <c r="K1163" s="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  <c r="X1163" s="4"/>
    </row>
    <row r="1164" spans="1:47" x14ac:dyDescent="0.25">
      <c r="A1164" t="s">
        <v>96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378</v>
      </c>
      <c r="G1164" t="s">
        <v>379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106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146</v>
      </c>
      <c r="W1164">
        <v>0</v>
      </c>
      <c r="X1164" s="4">
        <v>0</v>
      </c>
      <c r="Y1164" t="s">
        <v>62</v>
      </c>
    </row>
    <row r="1165" spans="1:47" x14ac:dyDescent="0.25">
      <c r="A1165" t="s">
        <v>63</v>
      </c>
      <c r="B1165" s="3">
        <v>1856</v>
      </c>
      <c r="C1165">
        <v>0</v>
      </c>
      <c r="D1165">
        <v>0</v>
      </c>
      <c r="E1165" s="2">
        <v>0</v>
      </c>
      <c r="F1165">
        <v>0</v>
      </c>
      <c r="G1165" s="3">
        <v>2000</v>
      </c>
      <c r="H1165" s="3" t="s">
        <v>54</v>
      </c>
      <c r="I1165" s="3" t="s">
        <v>59</v>
      </c>
      <c r="K1165" s="3" t="s">
        <v>218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  <c r="X1165" s="4"/>
      <c r="AK1165" s="5"/>
    </row>
    <row r="1166" spans="1:47" x14ac:dyDescent="0.25">
      <c r="A1166" t="s">
        <v>136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246</v>
      </c>
      <c r="G1166" t="s">
        <v>94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106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146</v>
      </c>
      <c r="W1166" t="s">
        <v>380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92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93</v>
      </c>
      <c r="G1167" t="s">
        <v>94</v>
      </c>
      <c r="H1167" s="3">
        <v>627.4</v>
      </c>
      <c r="I1167" s="3">
        <v>627.4</v>
      </c>
      <c r="J1167">
        <v>0</v>
      </c>
      <c r="K1167" s="3">
        <v>721.51</v>
      </c>
      <c r="L1167">
        <v>27.16</v>
      </c>
      <c r="M1167" s="3">
        <v>16.84</v>
      </c>
      <c r="N1167" t="s">
        <v>84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95</v>
      </c>
      <c r="X1167" s="4">
        <v>0</v>
      </c>
      <c r="Y1167" t="s">
        <v>62</v>
      </c>
    </row>
    <row r="1168" spans="1:47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208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153</v>
      </c>
      <c r="X1169" s="4"/>
      <c r="Y1169" t="s">
        <v>62</v>
      </c>
    </row>
    <row r="1170" spans="1:47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248</v>
      </c>
      <c r="X1170" s="4"/>
    </row>
    <row r="1171" spans="1:47" x14ac:dyDescent="0.25">
      <c r="A1171" t="s">
        <v>96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309</v>
      </c>
      <c r="G1171" t="s">
        <v>94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381</v>
      </c>
      <c r="X1171" s="4"/>
      <c r="Y1171" t="s">
        <v>62</v>
      </c>
    </row>
    <row r="1172" spans="1:47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92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248</v>
      </c>
      <c r="X1172" s="4"/>
    </row>
    <row r="1173" spans="1:47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118</v>
      </c>
      <c r="G1173" t="s">
        <v>119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85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 s="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x14ac:dyDescent="0.25">
      <c r="A1174" t="s">
        <v>96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132</v>
      </c>
      <c r="G1174" t="s">
        <v>87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114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347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x14ac:dyDescent="0.25">
      <c r="A1175" t="s">
        <v>96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333</v>
      </c>
      <c r="G1175" t="s">
        <v>138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334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x14ac:dyDescent="0.25">
      <c r="A1176" t="s">
        <v>96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333</v>
      </c>
      <c r="G1176" t="s">
        <v>138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334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x14ac:dyDescent="0.25">
      <c r="A1177" t="s">
        <v>47</v>
      </c>
      <c r="B1177" s="1">
        <v>38001</v>
      </c>
      <c r="C1177" t="s">
        <v>48</v>
      </c>
      <c r="D1177" s="3" t="s">
        <v>49</v>
      </c>
      <c r="E1177" s="2">
        <v>45924</v>
      </c>
      <c r="F1177" t="s">
        <v>150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84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161</v>
      </c>
      <c r="G1178" t="s">
        <v>109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162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92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287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95</v>
      </c>
      <c r="X1179" s="4">
        <v>0</v>
      </c>
      <c r="Y1179" t="s">
        <v>62</v>
      </c>
    </row>
    <row r="1180" spans="1:47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304</v>
      </c>
      <c r="G1181" s="3" t="s">
        <v>87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178</v>
      </c>
      <c r="X1181" s="4">
        <v>0</v>
      </c>
      <c r="Y1181" t="s">
        <v>62</v>
      </c>
    </row>
    <row r="1182" spans="1:47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145</v>
      </c>
      <c r="G1183" s="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106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146</v>
      </c>
      <c r="W1183" t="s">
        <v>147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218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x14ac:dyDescent="0.25">
      <c r="A1184" t="s">
        <v>96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407</v>
      </c>
      <c r="G1184" t="s">
        <v>89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408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 s="3">
        <v>0</v>
      </c>
      <c r="AE1184" s="3">
        <v>2600</v>
      </c>
      <c r="AF1184" t="s">
        <v>54</v>
      </c>
      <c r="AG1184" t="s">
        <v>59</v>
      </c>
      <c r="AH1184" t="s">
        <v>149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x14ac:dyDescent="0.25">
      <c r="A1185" t="s">
        <v>96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86</v>
      </c>
      <c r="G1185" t="s">
        <v>87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84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223</v>
      </c>
      <c r="X1185" s="4">
        <v>0</v>
      </c>
      <c r="Y1185" t="s">
        <v>62</v>
      </c>
    </row>
    <row r="1186" spans="1:47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101</v>
      </c>
      <c r="G1187" t="s">
        <v>94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84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102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103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150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84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150</v>
      </c>
      <c r="G1189" t="s">
        <v>66</v>
      </c>
      <c r="H1189" s="3">
        <v>400</v>
      </c>
      <c r="I1189" s="3">
        <v>400</v>
      </c>
      <c r="J1189">
        <v>0</v>
      </c>
      <c r="K1189" s="3">
        <v>460</v>
      </c>
      <c r="L1189" s="3">
        <v>81</v>
      </c>
      <c r="M1189" s="3">
        <v>29.73</v>
      </c>
      <c r="N1189" t="s">
        <v>84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 s="3">
        <v>0</v>
      </c>
      <c r="AE1189" s="3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111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95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382</v>
      </c>
      <c r="G1191" t="s">
        <v>138</v>
      </c>
      <c r="H1191" s="3">
        <v>3389</v>
      </c>
      <c r="I1191" s="3">
        <v>3389</v>
      </c>
      <c r="J1191">
        <v>0</v>
      </c>
      <c r="K1191" s="3">
        <v>3897.35</v>
      </c>
      <c r="L1191" s="3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117</v>
      </c>
      <c r="X1191" s="4">
        <v>0</v>
      </c>
      <c r="Y1191" t="s">
        <v>62</v>
      </c>
      <c r="AD1191" s="3"/>
      <c r="AE1191" s="3"/>
      <c r="AK1191" s="5"/>
    </row>
    <row r="1192" spans="1:47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  <c r="AK1192" s="5"/>
    </row>
    <row r="1193" spans="1:47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148</v>
      </c>
      <c r="G1193" t="s">
        <v>89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95</v>
      </c>
      <c r="X1193" s="4">
        <v>0</v>
      </c>
      <c r="Y1193" t="s">
        <v>62</v>
      </c>
      <c r="AD1193" s="3"/>
      <c r="AE1193" s="3"/>
      <c r="AK1193" s="5"/>
    </row>
    <row r="1194" spans="1:47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150</v>
      </c>
      <c r="G1195" s="3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84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101</v>
      </c>
      <c r="G1196" t="s">
        <v>94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84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102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103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209</v>
      </c>
      <c r="G1197" t="s">
        <v>119</v>
      </c>
      <c r="H1197" s="3">
        <v>2420</v>
      </c>
      <c r="I1197" s="3">
        <v>2420</v>
      </c>
      <c r="J1197">
        <v>0</v>
      </c>
      <c r="K1197" s="3">
        <v>2783</v>
      </c>
      <c r="L1197" s="3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210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209</v>
      </c>
      <c r="G1198" s="3" t="s">
        <v>119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210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209</v>
      </c>
      <c r="G1199" t="s">
        <v>119</v>
      </c>
      <c r="H1199" s="3">
        <v>2420</v>
      </c>
      <c r="I1199" s="3">
        <v>2420</v>
      </c>
      <c r="J1199">
        <v>0</v>
      </c>
      <c r="K1199" s="3">
        <v>2783</v>
      </c>
      <c r="L1199" s="3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 s="3">
        <v>158.65</v>
      </c>
      <c r="AA1199">
        <v>0</v>
      </c>
      <c r="AB1199">
        <v>0</v>
      </c>
      <c r="AC1199">
        <v>0</v>
      </c>
      <c r="AD1199">
        <v>337.2</v>
      </c>
      <c r="AE1199" s="3">
        <v>500</v>
      </c>
      <c r="AF1199" t="s">
        <v>54</v>
      </c>
      <c r="AG1199" t="s">
        <v>59</v>
      </c>
      <c r="AH1199" t="s">
        <v>210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209</v>
      </c>
      <c r="G1200" t="s">
        <v>119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210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209</v>
      </c>
      <c r="G1201" t="s">
        <v>119</v>
      </c>
      <c r="H1201" s="3">
        <v>2420</v>
      </c>
      <c r="I1201" s="3">
        <v>2420</v>
      </c>
      <c r="J1201">
        <v>0</v>
      </c>
      <c r="K1201" s="3">
        <v>2783</v>
      </c>
      <c r="L1201" s="3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210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x14ac:dyDescent="0.25">
      <c r="A1202" t="s">
        <v>96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163</v>
      </c>
      <c r="G1202" s="3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90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92</v>
      </c>
      <c r="AJ1202" t="s">
        <v>92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148</v>
      </c>
      <c r="G1203" t="s">
        <v>89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95</v>
      </c>
      <c r="X1203" s="4">
        <v>0</v>
      </c>
      <c r="Y1203" t="s">
        <v>62</v>
      </c>
      <c r="AK1203" s="5"/>
    </row>
    <row r="1204" spans="1:47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148</v>
      </c>
      <c r="G1205" t="s">
        <v>89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95</v>
      </c>
      <c r="X1205" s="4">
        <v>0</v>
      </c>
      <c r="Y1205" t="s">
        <v>62</v>
      </c>
      <c r="AK1205" s="5"/>
    </row>
    <row r="1206" spans="1:47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220</v>
      </c>
      <c r="G1207" t="s">
        <v>167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106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146</v>
      </c>
      <c r="W1207" t="s">
        <v>153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218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x14ac:dyDescent="0.25">
      <c r="A1208" t="s">
        <v>96</v>
      </c>
      <c r="B1208" s="1">
        <v>38029</v>
      </c>
      <c r="C1208" t="s">
        <v>48</v>
      </c>
      <c r="D1208" s="3" t="s">
        <v>49</v>
      </c>
      <c r="E1208" s="2">
        <v>45930</v>
      </c>
      <c r="F1208" t="s">
        <v>301</v>
      </c>
      <c r="G1208" s="3" t="s">
        <v>167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106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146</v>
      </c>
      <c r="W1208" t="s">
        <v>223</v>
      </c>
      <c r="X1208" s="4">
        <v>0</v>
      </c>
      <c r="Y1208" t="s">
        <v>62</v>
      </c>
      <c r="AK1208" s="5"/>
    </row>
    <row r="1209" spans="1:47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s="3" t="s">
        <v>54</v>
      </c>
      <c r="I1209" s="3" t="s">
        <v>59</v>
      </c>
      <c r="K1209" s="3" t="s">
        <v>218</v>
      </c>
      <c r="L1209" s="3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x14ac:dyDescent="0.25">
      <c r="A1210" t="s">
        <v>96</v>
      </c>
      <c r="B1210" s="1">
        <v>38030</v>
      </c>
      <c r="C1210" t="s">
        <v>48</v>
      </c>
      <c r="D1210" t="s">
        <v>49</v>
      </c>
      <c r="E1210" s="2">
        <v>45930</v>
      </c>
      <c r="F1210" t="s">
        <v>300</v>
      </c>
      <c r="G1210" s="3" t="s">
        <v>94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106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223</v>
      </c>
      <c r="X1210" s="4">
        <v>0</v>
      </c>
      <c r="Y1210" t="s">
        <v>62</v>
      </c>
      <c r="AK1210" s="5"/>
    </row>
    <row r="1211" spans="1:47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s="3" t="s">
        <v>54</v>
      </c>
      <c r="I1211" s="3" t="s">
        <v>59</v>
      </c>
      <c r="K1211" s="3" t="s">
        <v>218</v>
      </c>
      <c r="L1211" s="3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B1211" s="3"/>
      <c r="AE1211" s="3"/>
      <c r="AK1211" s="5"/>
    </row>
    <row r="1212" spans="1:47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148</v>
      </c>
      <c r="G1215" t="s">
        <v>89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95</v>
      </c>
      <c r="X1215" s="4">
        <v>0</v>
      </c>
      <c r="Y1215" t="s">
        <v>62</v>
      </c>
      <c r="AK1215" s="5"/>
    </row>
    <row r="1216" spans="1:47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417</v>
      </c>
      <c r="G1217" t="s">
        <v>89</v>
      </c>
      <c r="H1217" s="3">
        <v>3415</v>
      </c>
      <c r="I1217" s="3">
        <v>3415</v>
      </c>
      <c r="J1217">
        <v>0</v>
      </c>
      <c r="K1217" s="3">
        <v>3927.25</v>
      </c>
      <c r="L1217" s="3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146</v>
      </c>
      <c r="W1217" t="s">
        <v>72</v>
      </c>
      <c r="X1217" s="4">
        <v>0</v>
      </c>
      <c r="Y1217" t="s">
        <v>62</v>
      </c>
      <c r="AK1217" s="5"/>
    </row>
    <row r="1218" spans="1:47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279</v>
      </c>
      <c r="G1219" t="s">
        <v>251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106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146</v>
      </c>
      <c r="W1219" t="s">
        <v>78</v>
      </c>
      <c r="X1219" s="4">
        <v>0</v>
      </c>
      <c r="Y1219" t="s">
        <v>62</v>
      </c>
      <c r="AB1219" s="3"/>
      <c r="AK1219" s="5"/>
    </row>
    <row r="1220" spans="1:47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218</v>
      </c>
      <c r="L1220" s="3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B1220" s="3"/>
      <c r="AK1220" s="5"/>
    </row>
    <row r="1221" spans="1:47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118</v>
      </c>
      <c r="G1221" t="s">
        <v>119</v>
      </c>
      <c r="H1221" s="3">
        <v>2003.4</v>
      </c>
      <c r="I1221" s="3">
        <v>2003.4</v>
      </c>
      <c r="J1221">
        <v>0</v>
      </c>
      <c r="K1221" s="3">
        <v>2303.91</v>
      </c>
      <c r="L1221" s="3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192</v>
      </c>
      <c r="X1221" s="4">
        <v>0</v>
      </c>
      <c r="Y1221" t="s">
        <v>58</v>
      </c>
      <c r="Z1221">
        <v>0</v>
      </c>
      <c r="AA1221">
        <v>0</v>
      </c>
      <c r="AB1221" s="3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x14ac:dyDescent="0.25">
      <c r="A1222" t="s">
        <v>96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175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 s="3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202</v>
      </c>
      <c r="X1222" s="4">
        <v>0</v>
      </c>
      <c r="Y1222" t="s">
        <v>62</v>
      </c>
      <c r="AB1222" s="3"/>
      <c r="AK1222" s="5"/>
    </row>
    <row r="1223" spans="1:47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s="3" t="s">
        <v>92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101</v>
      </c>
      <c r="G1224" s="3" t="s">
        <v>94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84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102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103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x14ac:dyDescent="0.25">
      <c r="A1225" t="s">
        <v>96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418</v>
      </c>
      <c r="G1225" t="s">
        <v>94</v>
      </c>
      <c r="H1225" s="3">
        <v>5023.2</v>
      </c>
      <c r="I1225" s="3">
        <v>5023.2</v>
      </c>
      <c r="J1225">
        <v>0</v>
      </c>
      <c r="K1225" s="3">
        <v>5023.2</v>
      </c>
      <c r="L1225" s="3">
        <v>907.2</v>
      </c>
      <c r="M1225" s="3">
        <v>332.94</v>
      </c>
      <c r="N1225" t="s">
        <v>106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146</v>
      </c>
      <c r="W1225" t="s">
        <v>78</v>
      </c>
      <c r="X1225" s="4">
        <v>0</v>
      </c>
      <c r="Y1225" t="s">
        <v>62</v>
      </c>
      <c r="AB1225" s="3"/>
      <c r="AE1225" s="3"/>
      <c r="AK1225" s="5"/>
    </row>
    <row r="1226" spans="1:47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218</v>
      </c>
      <c r="L1226" s="3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409</v>
      </c>
      <c r="G1227" s="3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192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351</v>
      </c>
      <c r="G1228" t="s">
        <v>89</v>
      </c>
      <c r="H1228" s="3">
        <v>5700</v>
      </c>
      <c r="I1228" s="3">
        <v>5700</v>
      </c>
      <c r="J1228">
        <v>0</v>
      </c>
      <c r="K1228" s="3">
        <v>5700</v>
      </c>
      <c r="L1228" s="3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90</v>
      </c>
      <c r="X1228" s="4"/>
      <c r="Y1228" t="s">
        <v>62</v>
      </c>
      <c r="AD1228" s="3"/>
      <c r="AE1228" s="3"/>
      <c r="AK1228" s="5"/>
    </row>
    <row r="1229" spans="1:47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248</v>
      </c>
      <c r="X1229" s="4"/>
      <c r="AK1229" s="5"/>
    </row>
    <row r="1230" spans="1:47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140</v>
      </c>
      <c r="G1230" t="s">
        <v>141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202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103</v>
      </c>
      <c r="AI1230" t="s">
        <v>80</v>
      </c>
      <c r="AJ1230" t="s">
        <v>92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129</v>
      </c>
      <c r="G1231" t="s">
        <v>130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131</v>
      </c>
      <c r="X1231" s="4">
        <v>0</v>
      </c>
      <c r="Y1231" t="s">
        <v>62</v>
      </c>
      <c r="Z1231" s="3"/>
      <c r="AE1231" s="3"/>
      <c r="AK1231" s="5"/>
    </row>
    <row r="1232" spans="1:47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s="3" t="s">
        <v>54</v>
      </c>
      <c r="I1232" s="3" t="s">
        <v>59</v>
      </c>
      <c r="K1232" s="3" t="s">
        <v>60</v>
      </c>
      <c r="L1232" s="3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Z1232" s="3"/>
      <c r="AB1232" s="3"/>
      <c r="AE1232" s="3"/>
      <c r="AK1232" s="5"/>
    </row>
    <row r="1233" spans="1:47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112</v>
      </c>
      <c r="G1233" t="s">
        <v>113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115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150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 s="3">
        <v>107.88</v>
      </c>
      <c r="M1234" s="3">
        <v>80.69</v>
      </c>
      <c r="N1234" t="s">
        <v>84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 s="3">
        <v>0</v>
      </c>
      <c r="AE1234" s="3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150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84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150</v>
      </c>
      <c r="G1236" s="3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84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150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 s="3">
        <v>556.38</v>
      </c>
      <c r="M1237" s="3">
        <v>416.17</v>
      </c>
      <c r="N1237" t="s">
        <v>84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 s="3">
        <v>0</v>
      </c>
      <c r="AA1237">
        <v>0</v>
      </c>
      <c r="AB1237">
        <v>556.38</v>
      </c>
      <c r="AC1237">
        <v>0</v>
      </c>
      <c r="AD1237">
        <v>0</v>
      </c>
      <c r="AE1237" s="3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150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84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118</v>
      </c>
      <c r="G1239" s="3" t="s">
        <v>119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245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95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248</v>
      </c>
    </row>
    <row r="1241" spans="1:47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302</v>
      </c>
      <c r="G1241" t="s">
        <v>94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106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146</v>
      </c>
      <c r="W1241" t="s">
        <v>224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218</v>
      </c>
      <c r="AJ1241" t="s">
        <v>92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132</v>
      </c>
      <c r="G1242" t="s">
        <v>87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114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s="3" t="s">
        <v>108</v>
      </c>
      <c r="G1243" t="s">
        <v>109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84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110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92</v>
      </c>
      <c r="AJ1243" t="s">
        <v>92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x14ac:dyDescent="0.25">
      <c r="A1244" t="s">
        <v>136</v>
      </c>
      <c r="B1244" s="1">
        <v>38062</v>
      </c>
      <c r="C1244" t="s">
        <v>48</v>
      </c>
      <c r="D1244" t="s">
        <v>49</v>
      </c>
      <c r="E1244" s="2">
        <v>45936</v>
      </c>
      <c r="F1244" t="s">
        <v>283</v>
      </c>
      <c r="G1244" t="s">
        <v>284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114</v>
      </c>
      <c r="X1244" s="4">
        <v>0</v>
      </c>
      <c r="Y1244" t="s">
        <v>62</v>
      </c>
      <c r="AD1244" s="3"/>
      <c r="AE1244" s="3"/>
      <c r="AK1244" s="5"/>
    </row>
    <row r="1245" spans="1:47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263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165</v>
      </c>
      <c r="K1247" s="3" t="s">
        <v>60</v>
      </c>
      <c r="L1247" s="3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B1247" s="3"/>
      <c r="AE1247" s="3"/>
      <c r="AK1247" s="5"/>
    </row>
    <row r="1248" spans="1:47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331</v>
      </c>
      <c r="G1248" t="s">
        <v>332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106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134</v>
      </c>
      <c r="X1248" s="4"/>
      <c r="Y1248" t="s">
        <v>62</v>
      </c>
      <c r="Z1248" s="3"/>
      <c r="AB1248" s="3"/>
      <c r="AE1248" s="3"/>
      <c r="AK1248" s="5"/>
    </row>
    <row r="1249" spans="1:47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248</v>
      </c>
      <c r="X1249" s="4"/>
      <c r="AE1249" s="3"/>
      <c r="AK1249" s="5"/>
    </row>
    <row r="1250" spans="1:47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383</v>
      </c>
      <c r="G1250" t="s">
        <v>169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361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362</v>
      </c>
      <c r="X1250" s="4">
        <v>0</v>
      </c>
      <c r="Y1250" t="s">
        <v>62</v>
      </c>
      <c r="AK1250" s="5"/>
    </row>
    <row r="1251" spans="1:47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s="3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x14ac:dyDescent="0.25">
      <c r="A1252" t="s">
        <v>47</v>
      </c>
      <c r="B1252" s="1">
        <v>38068</v>
      </c>
      <c r="C1252" t="s">
        <v>48</v>
      </c>
      <c r="D1252" s="3" t="s">
        <v>49</v>
      </c>
      <c r="E1252" s="2">
        <v>45937</v>
      </c>
      <c r="F1252" t="s">
        <v>68</v>
      </c>
      <c r="G1252" s="3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s="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x14ac:dyDescent="0.25">
      <c r="A1254" t="s">
        <v>47</v>
      </c>
      <c r="B1254" s="1">
        <v>38070</v>
      </c>
      <c r="C1254" t="s">
        <v>48</v>
      </c>
      <c r="D1254" s="3" t="s">
        <v>49</v>
      </c>
      <c r="E1254" s="2">
        <v>45937</v>
      </c>
      <c r="F1254" t="s">
        <v>118</v>
      </c>
      <c r="G1254" s="3" t="s">
        <v>119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85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276</v>
      </c>
      <c r="G1255" t="s">
        <v>157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106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146</v>
      </c>
      <c r="W1255" t="s">
        <v>131</v>
      </c>
      <c r="X1255" s="4">
        <v>0</v>
      </c>
      <c r="Y1255" t="s">
        <v>62</v>
      </c>
      <c r="AK1255" s="5"/>
    </row>
    <row r="1256" spans="1:47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237</v>
      </c>
      <c r="K1256" s="3" t="s">
        <v>218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215</v>
      </c>
      <c r="G1257" t="s">
        <v>119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84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85</v>
      </c>
      <c r="X1257" s="4">
        <v>0</v>
      </c>
      <c r="Y1257" t="s">
        <v>62</v>
      </c>
      <c r="AK1257" s="5"/>
    </row>
    <row r="1258" spans="1:47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222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413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 s="3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117</v>
      </c>
      <c r="X1259" s="4">
        <v>0</v>
      </c>
      <c r="Y1259" t="s">
        <v>62</v>
      </c>
      <c r="AE1259" s="3"/>
      <c r="AK1259" s="5"/>
    </row>
    <row r="1260" spans="1:47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s="3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D1260" s="3"/>
      <c r="AE1260" s="3"/>
      <c r="AK1260" s="5"/>
    </row>
    <row r="1261" spans="1:47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111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95</v>
      </c>
      <c r="X1261" s="4">
        <v>0</v>
      </c>
      <c r="Y1261" t="s">
        <v>58</v>
      </c>
      <c r="Z1261" s="3">
        <v>1164</v>
      </c>
      <c r="AA1261">
        <v>0</v>
      </c>
      <c r="AB1261" s="3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111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95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111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95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170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134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142</v>
      </c>
      <c r="G1265" t="s">
        <v>94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106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146</v>
      </c>
      <c r="W1265" t="s">
        <v>224</v>
      </c>
      <c r="X1265" s="4">
        <v>0</v>
      </c>
      <c r="Y1265" t="s">
        <v>62</v>
      </c>
      <c r="AE1265" s="3"/>
      <c r="AK1265" s="5"/>
    </row>
    <row r="1266" spans="1:47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144</v>
      </c>
      <c r="K1266" s="3" t="s">
        <v>218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180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181</v>
      </c>
      <c r="X1267" s="4">
        <v>0</v>
      </c>
      <c r="Y1267" t="s">
        <v>62</v>
      </c>
      <c r="AK1267" s="5"/>
    </row>
    <row r="1268" spans="1:47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331</v>
      </c>
      <c r="G1269" t="s">
        <v>332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106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92</v>
      </c>
      <c r="W1269" t="s">
        <v>134</v>
      </c>
      <c r="X1269" s="4">
        <v>0</v>
      </c>
      <c r="Y1269" t="s">
        <v>201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218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415</v>
      </c>
      <c r="G1270" t="s">
        <v>124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131</v>
      </c>
      <c r="X1270" s="4">
        <v>0</v>
      </c>
      <c r="Y1270" t="s">
        <v>62</v>
      </c>
      <c r="AB1270" s="3"/>
      <c r="AE1270" s="3"/>
      <c r="AK1270" s="5"/>
    </row>
    <row r="1271" spans="1:47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101</v>
      </c>
      <c r="G1272" s="3" t="s">
        <v>94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84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102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103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101</v>
      </c>
      <c r="G1273" t="s">
        <v>94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84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102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103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258</v>
      </c>
      <c r="G1274" s="3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259</v>
      </c>
      <c r="X1274" s="4">
        <v>0</v>
      </c>
      <c r="Y1274" t="s">
        <v>62</v>
      </c>
      <c r="AE1274" s="3"/>
      <c r="AK1274" s="5"/>
    </row>
    <row r="1275" spans="1:47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s="3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Z1275" s="3"/>
      <c r="AE1275" s="3"/>
      <c r="AK1275" s="5"/>
    </row>
    <row r="1276" spans="1:47" x14ac:dyDescent="0.25">
      <c r="A1276" t="s">
        <v>96</v>
      </c>
      <c r="B1276" s="1">
        <v>38091</v>
      </c>
      <c r="C1276" t="s">
        <v>48</v>
      </c>
      <c r="D1276" t="s">
        <v>49</v>
      </c>
      <c r="E1276" s="2">
        <v>45940</v>
      </c>
      <c r="F1276" t="s">
        <v>293</v>
      </c>
      <c r="G1276" t="s">
        <v>217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90</v>
      </c>
      <c r="X1276" s="4">
        <v>0</v>
      </c>
      <c r="Y1276" t="s">
        <v>62</v>
      </c>
      <c r="AK1276" s="5"/>
    </row>
    <row r="1277" spans="1:47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294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315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84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156</v>
      </c>
      <c r="G1279" t="s">
        <v>157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106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146</v>
      </c>
      <c r="W1279" t="s">
        <v>134</v>
      </c>
      <c r="X1279" s="4">
        <v>0</v>
      </c>
      <c r="Y1279" t="s">
        <v>62</v>
      </c>
      <c r="AK1279" s="5"/>
    </row>
    <row r="1280" spans="1:47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218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150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84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108</v>
      </c>
      <c r="G1282" t="s">
        <v>109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84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110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92</v>
      </c>
      <c r="AJ1282" t="s">
        <v>92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384</v>
      </c>
      <c r="G1283" t="s">
        <v>124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E1283" s="3"/>
      <c r="AK1283" s="5"/>
    </row>
    <row r="1284" spans="1:47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165</v>
      </c>
      <c r="K1284" s="3" t="s">
        <v>60</v>
      </c>
      <c r="L1284" s="3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B1284" s="3"/>
      <c r="AE1284" s="3"/>
      <c r="AK1284" s="5"/>
    </row>
    <row r="1285" spans="1:47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184</v>
      </c>
      <c r="G1285" t="s">
        <v>185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143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304</v>
      </c>
      <c r="G1286" s="3" t="s">
        <v>87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178</v>
      </c>
      <c r="X1286" s="4">
        <v>0</v>
      </c>
      <c r="Y1286" t="s">
        <v>62</v>
      </c>
      <c r="AK1286" s="5"/>
    </row>
    <row r="1287" spans="1:47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s="3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x14ac:dyDescent="0.25">
      <c r="A1288" t="s">
        <v>47</v>
      </c>
      <c r="B1288" s="1">
        <v>38105</v>
      </c>
      <c r="C1288" t="s">
        <v>48</v>
      </c>
      <c r="D1288" s="3" t="s">
        <v>49</v>
      </c>
      <c r="E1288" s="2">
        <v>45944</v>
      </c>
      <c r="F1288" t="s">
        <v>129</v>
      </c>
      <c r="G1288" s="3" t="s">
        <v>130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131</v>
      </c>
      <c r="X1288" s="4">
        <v>0</v>
      </c>
      <c r="Y1288" t="s">
        <v>62</v>
      </c>
      <c r="AK1288" s="5"/>
    </row>
    <row r="1289" spans="1:47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92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x14ac:dyDescent="0.25">
      <c r="A1290" t="s">
        <v>96</v>
      </c>
      <c r="B1290" s="1">
        <v>38107</v>
      </c>
      <c r="C1290" t="s">
        <v>48</v>
      </c>
      <c r="D1290" s="3" t="s">
        <v>49</v>
      </c>
      <c r="E1290" s="2">
        <v>45944</v>
      </c>
      <c r="F1290" t="s">
        <v>163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164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92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101</v>
      </c>
      <c r="G1291" t="s">
        <v>94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84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102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103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123</v>
      </c>
      <c r="G1292" t="s">
        <v>124</v>
      </c>
      <c r="H1292" s="3">
        <v>164</v>
      </c>
      <c r="I1292" s="3">
        <v>164</v>
      </c>
      <c r="J1292">
        <v>0</v>
      </c>
      <c r="K1292" s="3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95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x14ac:dyDescent="0.25">
      <c r="A1293" t="s">
        <v>96</v>
      </c>
      <c r="B1293" s="1">
        <v>38110</v>
      </c>
      <c r="C1293" t="s">
        <v>48</v>
      </c>
      <c r="D1293" t="s">
        <v>49</v>
      </c>
      <c r="E1293" s="2">
        <v>45945</v>
      </c>
      <c r="F1293" t="s">
        <v>293</v>
      </c>
      <c r="G1293" t="s">
        <v>217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90</v>
      </c>
      <c r="X1293" s="4">
        <v>0</v>
      </c>
      <c r="Y1293" t="s">
        <v>62</v>
      </c>
    </row>
    <row r="1294" spans="1:47" x14ac:dyDescent="0.25">
      <c r="A1294" t="s">
        <v>63</v>
      </c>
      <c r="B1294" s="1">
        <v>0</v>
      </c>
      <c r="C1294">
        <v>0</v>
      </c>
      <c r="D1294" s="3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294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276</v>
      </c>
      <c r="G1295" t="s">
        <v>157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106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146</v>
      </c>
      <c r="W1295" t="s">
        <v>131</v>
      </c>
      <c r="X1295" s="4">
        <v>0</v>
      </c>
      <c r="Y1295" t="s">
        <v>62</v>
      </c>
      <c r="AK1295" s="5"/>
    </row>
    <row r="1296" spans="1:47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237</v>
      </c>
      <c r="K1296" s="3" t="s">
        <v>218</v>
      </c>
      <c r="L1296" s="3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  <c r="AD1296" s="3"/>
      <c r="AE1296" s="3"/>
      <c r="AK1296" s="5"/>
    </row>
    <row r="1297" spans="1:47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276</v>
      </c>
      <c r="G1297" t="s">
        <v>157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106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146</v>
      </c>
      <c r="W1297" t="s">
        <v>131</v>
      </c>
      <c r="X1297" s="4">
        <v>0</v>
      </c>
      <c r="Y1297" t="s">
        <v>62</v>
      </c>
      <c r="AD1297" s="3"/>
      <c r="AE1297" s="3"/>
      <c r="AK1297" s="5"/>
    </row>
    <row r="1298" spans="1:47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237</v>
      </c>
      <c r="K1298" s="3" t="s">
        <v>218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  <c r="AD1298" s="3"/>
      <c r="AE1298" s="3"/>
      <c r="AK1298" s="5"/>
    </row>
    <row r="1299" spans="1:47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175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202</v>
      </c>
      <c r="X1299" s="4">
        <v>0</v>
      </c>
      <c r="Y1299" t="s">
        <v>62</v>
      </c>
      <c r="AB1299" s="3"/>
      <c r="AE1299" s="3"/>
      <c r="AK1299" s="5"/>
    </row>
    <row r="1300" spans="1:47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Z1300" s="3"/>
      <c r="AB1300" s="3"/>
      <c r="AE1300" s="3"/>
      <c r="AK1300" s="5"/>
    </row>
    <row r="1301" spans="1:47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97</v>
      </c>
      <c r="G1301" t="s">
        <v>94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106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146</v>
      </c>
      <c r="W1301" t="s">
        <v>100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218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367</v>
      </c>
      <c r="G1302" s="3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280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132</v>
      </c>
      <c r="G1304" t="s">
        <v>87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114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132</v>
      </c>
      <c r="G1305" t="s">
        <v>87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114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132</v>
      </c>
      <c r="G1306" t="s">
        <v>87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114</v>
      </c>
      <c r="X1306" s="4">
        <v>0</v>
      </c>
      <c r="Y1306" t="s">
        <v>58</v>
      </c>
      <c r="Z1306" s="3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132</v>
      </c>
      <c r="G1307" t="s">
        <v>87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114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132</v>
      </c>
      <c r="G1308" t="s">
        <v>87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114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161</v>
      </c>
      <c r="G1309" t="s">
        <v>109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162</v>
      </c>
      <c r="X1309" s="4">
        <v>0</v>
      </c>
      <c r="Y1309" t="s">
        <v>58</v>
      </c>
      <c r="Z1309">
        <v>0</v>
      </c>
      <c r="AA1309" s="3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92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142</v>
      </c>
      <c r="G1310" t="s">
        <v>94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106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146</v>
      </c>
      <c r="W1310" t="s">
        <v>224</v>
      </c>
      <c r="X1310" s="4">
        <v>0</v>
      </c>
      <c r="Y1310" t="s">
        <v>62</v>
      </c>
      <c r="AB1310" s="3"/>
      <c r="AE1310" s="3"/>
      <c r="AK1310" s="5"/>
    </row>
    <row r="1311" spans="1:47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144</v>
      </c>
      <c r="K1311" s="3" t="s">
        <v>218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142</v>
      </c>
      <c r="G1312" t="s">
        <v>94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106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146</v>
      </c>
      <c r="W1312" t="s">
        <v>224</v>
      </c>
      <c r="X1312" s="4">
        <v>0</v>
      </c>
      <c r="Y1312" t="s">
        <v>62</v>
      </c>
      <c r="AB1312" s="3"/>
      <c r="AE1312" s="3"/>
      <c r="AK1312" s="5"/>
    </row>
    <row r="1313" spans="1:47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144</v>
      </c>
      <c r="K1313" s="3" t="s">
        <v>218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142</v>
      </c>
      <c r="G1314" t="s">
        <v>94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106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146</v>
      </c>
      <c r="W1314" t="s">
        <v>224</v>
      </c>
      <c r="X1314" s="4">
        <v>0</v>
      </c>
      <c r="Y1314" t="s">
        <v>62</v>
      </c>
      <c r="AB1314" s="3"/>
      <c r="AE1314" s="3"/>
      <c r="AK1314" s="5"/>
    </row>
    <row r="1315" spans="1:47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144</v>
      </c>
      <c r="K1315" s="3" t="s">
        <v>218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s="3" t="s">
        <v>302</v>
      </c>
      <c r="G1316" s="3" t="s">
        <v>94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106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146</v>
      </c>
      <c r="W1316" t="s">
        <v>224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218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302</v>
      </c>
      <c r="G1317" t="s">
        <v>94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106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146</v>
      </c>
      <c r="W1317" t="s">
        <v>153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218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154</v>
      </c>
      <c r="G1320" s="3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385</v>
      </c>
      <c r="X1320" s="4"/>
      <c r="Y1320" t="s">
        <v>354</v>
      </c>
      <c r="AB1320" s="3"/>
      <c r="AE1320" s="3"/>
      <c r="AK1320" s="5"/>
    </row>
    <row r="1321" spans="1:47" x14ac:dyDescent="0.25">
      <c r="A1321" t="s">
        <v>200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x14ac:dyDescent="0.25">
      <c r="A1322" t="s">
        <v>201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248</v>
      </c>
      <c r="X1322" s="4"/>
      <c r="AB1322" s="3"/>
      <c r="AK1322" s="5"/>
    </row>
    <row r="1323" spans="1:47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352</v>
      </c>
      <c r="G1323" t="s">
        <v>172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353</v>
      </c>
      <c r="X1323" s="4">
        <v>0</v>
      </c>
      <c r="Y1323" t="s">
        <v>62</v>
      </c>
      <c r="Z1323" s="3"/>
      <c r="AE1323" s="3"/>
      <c r="AK1323" s="5"/>
    </row>
    <row r="1324" spans="1:47" x14ac:dyDescent="0.25">
      <c r="A1324" t="s">
        <v>63</v>
      </c>
      <c r="B1324" s="3">
        <v>2805</v>
      </c>
      <c r="C1324">
        <v>0</v>
      </c>
      <c r="D1324">
        <v>0</v>
      </c>
      <c r="E1324" s="2">
        <v>0</v>
      </c>
      <c r="F1324" s="3">
        <v>0</v>
      </c>
      <c r="G1324" s="3">
        <v>5000</v>
      </c>
      <c r="H1324" s="3" t="s">
        <v>54</v>
      </c>
      <c r="I1324" s="3" t="s">
        <v>59</v>
      </c>
      <c r="K1324" s="3" t="s">
        <v>60</v>
      </c>
      <c r="L1324" s="3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  <c r="X1324" s="4"/>
      <c r="AA1324" s="3"/>
      <c r="AK1324" s="5"/>
    </row>
    <row r="1325" spans="1:47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123</v>
      </c>
      <c r="G1325" t="s">
        <v>124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95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175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202</v>
      </c>
      <c r="X1326" s="4">
        <v>0</v>
      </c>
      <c r="Y1326" t="s">
        <v>62</v>
      </c>
    </row>
    <row r="1327" spans="1:47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  <c r="Z1327" s="3"/>
      <c r="AE1327" s="3"/>
      <c r="AK1327" s="5"/>
    </row>
    <row r="1328" spans="1:47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101</v>
      </c>
      <c r="G1328" s="3" t="s">
        <v>94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84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102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103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118</v>
      </c>
      <c r="G1329" s="3" t="s">
        <v>119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153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234</v>
      </c>
      <c r="G1330" s="3" t="s">
        <v>109</v>
      </c>
      <c r="H1330" s="3">
        <v>2970</v>
      </c>
      <c r="I1330" s="3">
        <v>2970</v>
      </c>
      <c r="J1330">
        <v>0</v>
      </c>
      <c r="K1330" s="3">
        <v>3415.5</v>
      </c>
      <c r="L1330" s="3">
        <v>536</v>
      </c>
      <c r="M1330" s="3">
        <v>187.6</v>
      </c>
      <c r="N1330" t="s">
        <v>84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95</v>
      </c>
      <c r="X1330" s="4">
        <v>0</v>
      </c>
      <c r="Y1330" t="s">
        <v>62</v>
      </c>
      <c r="AB1330" s="3"/>
      <c r="AE1330" s="3"/>
      <c r="AK1330" s="5"/>
    </row>
    <row r="1331" spans="1:47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  <c r="Z1331" s="3"/>
      <c r="AE1331" s="3"/>
      <c r="AK1331" s="5"/>
    </row>
    <row r="1332" spans="1:47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206</v>
      </c>
      <c r="G1332" s="3" t="s">
        <v>124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133</v>
      </c>
      <c r="G1333" t="s">
        <v>89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134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92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x14ac:dyDescent="0.25">
      <c r="A1334" t="s">
        <v>136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283</v>
      </c>
      <c r="G1334" s="3" t="s">
        <v>284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114</v>
      </c>
      <c r="X1334" s="4">
        <v>0</v>
      </c>
      <c r="Y1334" t="s">
        <v>62</v>
      </c>
      <c r="AE1334" s="3"/>
      <c r="AK1334" s="5"/>
    </row>
    <row r="1335" spans="1:47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s="3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  <c r="AE1335" s="3"/>
      <c r="AK1335" s="5"/>
    </row>
    <row r="1336" spans="1:47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283</v>
      </c>
      <c r="G1336" t="s">
        <v>284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114</v>
      </c>
      <c r="X1336" s="4">
        <v>0</v>
      </c>
      <c r="Y1336" t="s">
        <v>62</v>
      </c>
      <c r="AD1336" s="3"/>
      <c r="AE1336" s="3"/>
      <c r="AK1336" s="5"/>
    </row>
    <row r="1337" spans="1:47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s="3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154</v>
      </c>
      <c r="G1338" s="3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385</v>
      </c>
      <c r="Y1338" t="s">
        <v>354</v>
      </c>
    </row>
    <row r="1339" spans="1:47" x14ac:dyDescent="0.25">
      <c r="A1339" t="s">
        <v>201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s="3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248</v>
      </c>
      <c r="X1339" s="4"/>
    </row>
    <row r="1340" spans="1:47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129</v>
      </c>
      <c r="G1342" t="s">
        <v>130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131</v>
      </c>
      <c r="X1342" s="4">
        <v>0</v>
      </c>
      <c r="Y1342" t="s">
        <v>62</v>
      </c>
      <c r="AE1342" s="3"/>
      <c r="AK1342" s="5"/>
    </row>
    <row r="1343" spans="1:47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 s="3">
        <v>1</v>
      </c>
      <c r="H1343" s="3" t="s">
        <v>54</v>
      </c>
      <c r="I1343" s="3" t="s">
        <v>59</v>
      </c>
      <c r="K1343" s="3" t="s">
        <v>92</v>
      </c>
      <c r="L1343" s="3" t="s">
        <v>92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325</v>
      </c>
      <c r="G1344" t="s">
        <v>251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84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117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206</v>
      </c>
      <c r="G1345" s="3" t="s">
        <v>124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101</v>
      </c>
      <c r="G1346" t="s">
        <v>94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84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102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103</v>
      </c>
      <c r="AI1346" t="s">
        <v>73</v>
      </c>
      <c r="AJ1346" t="s">
        <v>92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359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192</v>
      </c>
      <c r="X1348" s="4">
        <v>0</v>
      </c>
      <c r="Y1348" t="s">
        <v>62</v>
      </c>
      <c r="AB1348" s="3"/>
      <c r="AD1348" s="3"/>
      <c r="AE1348" s="3"/>
      <c r="AK1348" s="5"/>
    </row>
    <row r="1349" spans="1:47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412</v>
      </c>
      <c r="G1350" t="s">
        <v>119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201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129</v>
      </c>
      <c r="G1351" t="s">
        <v>130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131</v>
      </c>
      <c r="X1351" s="4">
        <v>0</v>
      </c>
      <c r="Y1351" t="s">
        <v>62</v>
      </c>
      <c r="AD1351" s="3"/>
      <c r="AE1351" s="3"/>
      <c r="AK1351" s="5"/>
    </row>
    <row r="1352" spans="1:47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 s="3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350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B1353" s="3"/>
      <c r="AD1353" s="3"/>
      <c r="AE1353" s="3"/>
      <c r="AK1353" s="5"/>
    </row>
    <row r="1354" spans="1:47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x14ac:dyDescent="0.25">
      <c r="A1355" t="s">
        <v>136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240</v>
      </c>
      <c r="G1355" t="s">
        <v>239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164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101</v>
      </c>
      <c r="G1356" t="s">
        <v>94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84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102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103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111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95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111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95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111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95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126</v>
      </c>
      <c r="G1360" s="3" t="s">
        <v>89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84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95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378</v>
      </c>
      <c r="G1361" t="s">
        <v>379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106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146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x14ac:dyDescent="0.25">
      <c r="A1363" t="s">
        <v>136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369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114</v>
      </c>
      <c r="X1363" s="4">
        <v>0</v>
      </c>
      <c r="Y1363" t="s">
        <v>62</v>
      </c>
      <c r="Z1363" s="3"/>
      <c r="AE1363" s="3"/>
      <c r="AK1363" s="5"/>
    </row>
    <row r="1364" spans="1:47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 s="3">
        <v>100</v>
      </c>
      <c r="H1364" t="s">
        <v>54</v>
      </c>
      <c r="I1364" t="s">
        <v>59</v>
      </c>
      <c r="J1364" t="s">
        <v>165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198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84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343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304</v>
      </c>
      <c r="G1366" t="s">
        <v>87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178</v>
      </c>
      <c r="X1366" s="4">
        <v>0</v>
      </c>
      <c r="Y1366" t="s">
        <v>62</v>
      </c>
    </row>
    <row r="1367" spans="1:47" x14ac:dyDescent="0.25">
      <c r="A1367" t="s">
        <v>63</v>
      </c>
      <c r="B1367" s="1">
        <v>0</v>
      </c>
      <c r="C1367">
        <v>0</v>
      </c>
      <c r="D1367" s="3">
        <v>1740</v>
      </c>
      <c r="E1367" s="2">
        <v>0</v>
      </c>
      <c r="F1367">
        <v>0</v>
      </c>
      <c r="G1367" s="3">
        <v>1000</v>
      </c>
      <c r="H1367" s="3" t="s">
        <v>54</v>
      </c>
      <c r="I1367" s="3" t="s">
        <v>59</v>
      </c>
      <c r="K1367" s="3" t="s">
        <v>60</v>
      </c>
      <c r="L1367" s="3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  <c r="X1367" s="4"/>
    </row>
    <row r="1368" spans="1:47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101</v>
      </c>
      <c r="G1368" s="3" t="s">
        <v>94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84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102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103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125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 s="3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 s="3">
        <v>50.4</v>
      </c>
      <c r="AA1369">
        <v>0</v>
      </c>
      <c r="AB1369">
        <v>636.29999999999995</v>
      </c>
      <c r="AC1369">
        <v>0</v>
      </c>
      <c r="AD1369">
        <v>268.95</v>
      </c>
      <c r="AE1369" s="3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386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121</v>
      </c>
      <c r="W1370" t="s">
        <v>95</v>
      </c>
      <c r="X1370" s="4">
        <v>0</v>
      </c>
      <c r="Y1370" t="s">
        <v>62</v>
      </c>
      <c r="AK1370" s="5"/>
    </row>
    <row r="1371" spans="1:47" x14ac:dyDescent="0.25">
      <c r="A1371" t="s">
        <v>63</v>
      </c>
      <c r="B1371" s="1">
        <v>0</v>
      </c>
      <c r="C1371">
        <v>0</v>
      </c>
      <c r="D1371">
        <v>278.29000000000002</v>
      </c>
      <c r="E1371" s="2">
        <v>0</v>
      </c>
      <c r="F1371">
        <v>0</v>
      </c>
      <c r="G1371">
        <v>170</v>
      </c>
      <c r="H1371" s="3" t="s">
        <v>54</v>
      </c>
      <c r="I1371" s="3" t="s">
        <v>59</v>
      </c>
      <c r="J1371" t="s">
        <v>79</v>
      </c>
      <c r="K1371" s="3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  <c r="X1371" s="4"/>
      <c r="AK1371" s="5"/>
    </row>
    <row r="1372" spans="1:47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108</v>
      </c>
      <c r="G1372" t="s">
        <v>109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84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110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92</v>
      </c>
      <c r="AJ1372" t="s">
        <v>92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101</v>
      </c>
      <c r="G1373" s="3" t="s">
        <v>94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84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102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103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340</v>
      </c>
      <c r="G1374" t="s">
        <v>341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117</v>
      </c>
      <c r="X1374" s="4">
        <v>0</v>
      </c>
      <c r="Y1374" t="s">
        <v>62</v>
      </c>
    </row>
    <row r="1375" spans="1:47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182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118</v>
      </c>
      <c r="G1376" t="s">
        <v>119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85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347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118</v>
      </c>
      <c r="G1377" s="3" t="s">
        <v>119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85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347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139</v>
      </c>
      <c r="G1378" t="s">
        <v>89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95</v>
      </c>
      <c r="X1378" s="4">
        <v>0</v>
      </c>
      <c r="Y1378" t="s">
        <v>58</v>
      </c>
      <c r="Z1378" s="3">
        <v>0</v>
      </c>
      <c r="AA1378">
        <v>0</v>
      </c>
      <c r="AB1378">
        <v>439</v>
      </c>
      <c r="AC1378">
        <v>0</v>
      </c>
      <c r="AD1378">
        <v>0</v>
      </c>
      <c r="AE1378" s="3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407</v>
      </c>
      <c r="G1379" s="3" t="s">
        <v>89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408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149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145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98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146</v>
      </c>
      <c r="W1380" t="s">
        <v>147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387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289</v>
      </c>
      <c r="X1381" s="4">
        <v>0</v>
      </c>
      <c r="Y1381" t="s">
        <v>62</v>
      </c>
    </row>
    <row r="1382" spans="1:47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347</v>
      </c>
      <c r="L1382" s="3" t="s">
        <v>92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  <c r="Z1382" s="3"/>
      <c r="AE1382" s="3"/>
      <c r="AK1382" s="5"/>
    </row>
    <row r="1383" spans="1:47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150</v>
      </c>
      <c r="G1383" s="3" t="s">
        <v>66</v>
      </c>
      <c r="H1383" s="3">
        <v>360.3</v>
      </c>
      <c r="I1383" s="3">
        <v>360.3</v>
      </c>
      <c r="J1383">
        <v>0</v>
      </c>
      <c r="K1383" s="3">
        <v>414.35</v>
      </c>
      <c r="L1383" s="3">
        <v>30.96</v>
      </c>
      <c r="M1383" s="3">
        <v>19.2</v>
      </c>
      <c r="N1383" t="s">
        <v>84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 s="3">
        <v>0</v>
      </c>
      <c r="AA1383">
        <v>0</v>
      </c>
      <c r="AB1383">
        <v>30.96</v>
      </c>
      <c r="AC1383">
        <v>0</v>
      </c>
      <c r="AD1383">
        <v>0</v>
      </c>
      <c r="AE1383" s="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x14ac:dyDescent="0.25">
      <c r="A1384" t="s">
        <v>96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183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134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92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213</v>
      </c>
      <c r="G1385" s="3" t="s">
        <v>138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84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214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154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385</v>
      </c>
      <c r="X1386" s="4">
        <v>0</v>
      </c>
      <c r="Y1386" t="s">
        <v>354</v>
      </c>
      <c r="AE1386" s="3"/>
      <c r="AK1386" s="5"/>
    </row>
    <row r="1387" spans="1:47" x14ac:dyDescent="0.25">
      <c r="A1387" t="s">
        <v>200</v>
      </c>
      <c r="B1387" s="1"/>
      <c r="E1387" s="2"/>
      <c r="H1387" s="3"/>
      <c r="I1387" s="3"/>
      <c r="K1387" s="3"/>
      <c r="X1387" s="4"/>
      <c r="AK1387" s="5"/>
    </row>
    <row r="1388" spans="1:47" x14ac:dyDescent="0.25">
      <c r="A1388" t="s">
        <v>201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304</v>
      </c>
      <c r="G1389" t="s">
        <v>87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178</v>
      </c>
      <c r="X1389" s="4">
        <v>0</v>
      </c>
      <c r="Y1389" t="s">
        <v>62</v>
      </c>
      <c r="AK1389" s="5"/>
    </row>
    <row r="1390" spans="1:47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s="3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Z1390" s="3"/>
      <c r="AE1390" s="3"/>
      <c r="AK1390" s="5"/>
    </row>
    <row r="1391" spans="1:47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150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84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132</v>
      </c>
      <c r="G1392" s="3" t="s">
        <v>87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114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351</v>
      </c>
      <c r="G1393" t="s">
        <v>89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90</v>
      </c>
      <c r="X1393" s="4">
        <v>0</v>
      </c>
      <c r="Y1393" t="s">
        <v>62</v>
      </c>
    </row>
    <row r="1394" spans="1:47" x14ac:dyDescent="0.25">
      <c r="A1394" t="s">
        <v>63</v>
      </c>
      <c r="B1394" s="3">
        <v>0</v>
      </c>
      <c r="C1394">
        <v>0</v>
      </c>
      <c r="D1394">
        <v>0</v>
      </c>
      <c r="E1394" s="2">
        <v>0</v>
      </c>
      <c r="F1394">
        <v>918</v>
      </c>
      <c r="G1394" s="3">
        <v>2000</v>
      </c>
      <c r="H1394" s="3" t="s">
        <v>54</v>
      </c>
      <c r="I1394" s="3" t="s">
        <v>59</v>
      </c>
      <c r="K1394" s="3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  <c r="X1394" s="4"/>
      <c r="AK1394" s="5"/>
    </row>
    <row r="1395" spans="1:47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216</v>
      </c>
      <c r="G1395" t="s">
        <v>89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95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111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95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388</v>
      </c>
      <c r="G1397" t="s">
        <v>389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98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146</v>
      </c>
      <c r="W1397" t="s">
        <v>72</v>
      </c>
      <c r="X1397" s="4">
        <v>0</v>
      </c>
      <c r="Y1397" t="s">
        <v>62</v>
      </c>
      <c r="AK1397" s="5"/>
    </row>
    <row r="1398" spans="1:47" x14ac:dyDescent="0.25">
      <c r="A1398" t="s">
        <v>63</v>
      </c>
      <c r="B1398" s="1">
        <v>0</v>
      </c>
      <c r="C1398">
        <v>0</v>
      </c>
      <c r="D1398" s="3">
        <v>1001.65</v>
      </c>
      <c r="E1398" s="2">
        <v>0</v>
      </c>
      <c r="F1398">
        <v>0</v>
      </c>
      <c r="G1398" s="3">
        <v>650</v>
      </c>
      <c r="H1398" s="3" t="s">
        <v>54</v>
      </c>
      <c r="I1398" s="3" t="s">
        <v>59</v>
      </c>
      <c r="K1398" s="3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  <c r="X1398" s="4"/>
      <c r="AK1398" s="5"/>
    </row>
    <row r="1399" spans="1:47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101</v>
      </c>
      <c r="G1399" t="s">
        <v>94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84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102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103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390</v>
      </c>
      <c r="G1400" s="3" t="s">
        <v>251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84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223</v>
      </c>
      <c r="X1400" s="4">
        <v>0</v>
      </c>
      <c r="Y1400" t="s">
        <v>62</v>
      </c>
    </row>
    <row r="1401" spans="1:47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391</v>
      </c>
      <c r="J1401" t="s">
        <v>182</v>
      </c>
      <c r="K1401" s="3" t="s">
        <v>92</v>
      </c>
      <c r="L1401" t="s">
        <v>92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366</v>
      </c>
      <c r="G1402" s="3" t="s">
        <v>157</v>
      </c>
      <c r="H1402" s="3">
        <v>3180</v>
      </c>
      <c r="I1402" s="3">
        <v>3180</v>
      </c>
      <c r="J1402">
        <v>0</v>
      </c>
      <c r="K1402" s="3">
        <v>3180</v>
      </c>
      <c r="L1402" s="3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204</v>
      </c>
      <c r="W1402" t="s">
        <v>72</v>
      </c>
      <c r="X1402" s="4">
        <v>0</v>
      </c>
      <c r="Y1402" t="s">
        <v>62</v>
      </c>
      <c r="AD1402" s="3"/>
      <c r="AK1402" s="5"/>
    </row>
    <row r="1403" spans="1:47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x14ac:dyDescent="0.25">
      <c r="A1404" t="s">
        <v>47</v>
      </c>
      <c r="B1404" s="1">
        <v>38201</v>
      </c>
      <c r="C1404" t="s">
        <v>48</v>
      </c>
      <c r="D1404" t="s">
        <v>49</v>
      </c>
      <c r="E1404" s="2">
        <v>45965</v>
      </c>
      <c r="F1404" t="s">
        <v>155</v>
      </c>
      <c r="G1404" s="3" t="s">
        <v>89</v>
      </c>
      <c r="H1404" s="3">
        <v>3110</v>
      </c>
      <c r="I1404" s="3">
        <v>3110</v>
      </c>
      <c r="J1404">
        <v>0</v>
      </c>
      <c r="K1404" s="3">
        <v>3576.5</v>
      </c>
      <c r="L1404" s="3">
        <v>648</v>
      </c>
      <c r="M1404" s="3">
        <v>237.82</v>
      </c>
      <c r="N1404" t="s">
        <v>98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167</v>
      </c>
      <c r="V1404" t="s">
        <v>146</v>
      </c>
      <c r="W1404" t="s">
        <v>85</v>
      </c>
      <c r="X1404" s="4">
        <v>0</v>
      </c>
      <c r="Y1404" t="s">
        <v>62</v>
      </c>
      <c r="Z1404" s="3"/>
      <c r="AE1404" s="3"/>
      <c r="AK1404" s="5"/>
    </row>
    <row r="1405" spans="1:47" x14ac:dyDescent="0.25">
      <c r="A1405" t="s">
        <v>63</v>
      </c>
      <c r="B1405" s="1">
        <v>648</v>
      </c>
      <c r="C1405">
        <v>0</v>
      </c>
      <c r="D1405">
        <v>0</v>
      </c>
      <c r="E1405" s="2">
        <v>0</v>
      </c>
      <c r="F1405">
        <v>0</v>
      </c>
      <c r="G1405" s="3">
        <v>1000</v>
      </c>
      <c r="H1405" s="3" t="s">
        <v>54</v>
      </c>
      <c r="I1405" s="3" t="s">
        <v>59</v>
      </c>
      <c r="J1405" t="s">
        <v>149</v>
      </c>
      <c r="K1405" s="3" t="s">
        <v>73</v>
      </c>
      <c r="L1405" s="3" t="s">
        <v>73</v>
      </c>
      <c r="M1405" s="3">
        <v>45965.554918981485</v>
      </c>
      <c r="Q1405" t="s">
        <v>54</v>
      </c>
      <c r="R1405">
        <v>0</v>
      </c>
      <c r="T1405" t="s">
        <v>54</v>
      </c>
      <c r="U1405" t="s">
        <v>54</v>
      </c>
      <c r="V1405">
        <v>7814</v>
      </c>
      <c r="W1405" t="s">
        <v>55</v>
      </c>
      <c r="X1405" s="4"/>
      <c r="Z1405" s="3"/>
      <c r="AE1405" s="3"/>
      <c r="AK1405" s="5"/>
    </row>
    <row r="1406" spans="1:47" x14ac:dyDescent="0.25">
      <c r="A1406" t="s">
        <v>47</v>
      </c>
      <c r="B1406" s="1">
        <v>38202</v>
      </c>
      <c r="C1406" t="s">
        <v>48</v>
      </c>
      <c r="D1406" t="s">
        <v>49</v>
      </c>
      <c r="E1406" s="2">
        <v>45965</v>
      </c>
      <c r="F1406" s="3" t="s">
        <v>65</v>
      </c>
      <c r="G1406" s="3" t="s">
        <v>66</v>
      </c>
      <c r="H1406" s="3">
        <v>3044</v>
      </c>
      <c r="I1406" s="3">
        <v>3044</v>
      </c>
      <c r="J1406">
        <v>0</v>
      </c>
      <c r="K1406" s="3">
        <v>3500.6</v>
      </c>
      <c r="L1406" s="3">
        <v>301.10000000000002</v>
      </c>
      <c r="M1406" s="3">
        <v>186.68</v>
      </c>
      <c r="N1406" t="s">
        <v>52</v>
      </c>
      <c r="O1406" t="s">
        <v>53</v>
      </c>
      <c r="P1406" t="s">
        <v>53</v>
      </c>
      <c r="Q1406" t="s">
        <v>53</v>
      </c>
      <c r="R1406" t="s">
        <v>54</v>
      </c>
      <c r="S1406" t="s">
        <v>54</v>
      </c>
      <c r="T1406" t="s">
        <v>55</v>
      </c>
      <c r="U1406">
        <v>126</v>
      </c>
      <c r="W1406" t="s">
        <v>67</v>
      </c>
      <c r="X1406" s="4"/>
      <c r="Y1406" t="s">
        <v>58</v>
      </c>
      <c r="Z1406" s="3">
        <v>0</v>
      </c>
      <c r="AA1406">
        <v>0</v>
      </c>
      <c r="AB1406">
        <v>301.10000000000002</v>
      </c>
      <c r="AC1406">
        <v>0</v>
      </c>
      <c r="AD1406">
        <v>0</v>
      </c>
      <c r="AE1406" s="3">
        <v>100</v>
      </c>
      <c r="AJ1406" t="s">
        <v>73</v>
      </c>
      <c r="AK1406" s="5">
        <v>45965.638101851851</v>
      </c>
      <c r="AO1406" t="s">
        <v>54</v>
      </c>
      <c r="AP1406">
        <v>0</v>
      </c>
      <c r="AR1406" t="s">
        <v>54</v>
      </c>
      <c r="AS1406" t="s">
        <v>54</v>
      </c>
      <c r="AT1406">
        <v>1269</v>
      </c>
      <c r="AU1406" t="s">
        <v>248</v>
      </c>
    </row>
    <row r="1407" spans="1:47" x14ac:dyDescent="0.25">
      <c r="A1407" t="s">
        <v>81</v>
      </c>
      <c r="B1407" s="1">
        <v>38203</v>
      </c>
      <c r="C1407" t="s">
        <v>48</v>
      </c>
      <c r="D1407" t="s">
        <v>49</v>
      </c>
      <c r="E1407" s="2">
        <v>45965</v>
      </c>
      <c r="F1407" t="s">
        <v>104</v>
      </c>
      <c r="G1407" t="s">
        <v>89</v>
      </c>
      <c r="H1407" s="3">
        <v>1872</v>
      </c>
      <c r="I1407" s="3">
        <v>1872</v>
      </c>
      <c r="J1407">
        <v>0</v>
      </c>
      <c r="K1407" s="3">
        <v>1872</v>
      </c>
      <c r="L1407" s="3">
        <v>275</v>
      </c>
      <c r="M1407" s="3">
        <v>105.88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72</v>
      </c>
      <c r="X1407" s="4"/>
      <c r="Y1407" t="s">
        <v>58</v>
      </c>
      <c r="Z1407" s="3">
        <v>275</v>
      </c>
      <c r="AA1407">
        <v>0</v>
      </c>
      <c r="AB1407">
        <v>0</v>
      </c>
      <c r="AC1407">
        <v>0</v>
      </c>
      <c r="AD1407">
        <v>0</v>
      </c>
      <c r="AE1407" s="3">
        <v>400</v>
      </c>
      <c r="AJ1407" t="s">
        <v>73</v>
      </c>
      <c r="AK1407" s="5">
        <v>45965.653692129628</v>
      </c>
      <c r="AO1407" t="s">
        <v>54</v>
      </c>
      <c r="AP1407">
        <v>0</v>
      </c>
      <c r="AR1407" t="s">
        <v>54</v>
      </c>
      <c r="AS1407" t="s">
        <v>54</v>
      </c>
      <c r="AT1407">
        <v>7057</v>
      </c>
      <c r="AU1407" t="s">
        <v>248</v>
      </c>
    </row>
    <row r="1408" spans="1:47" x14ac:dyDescent="0.25">
      <c r="A1408" t="s">
        <v>47</v>
      </c>
      <c r="B1408" s="1">
        <v>38204</v>
      </c>
      <c r="C1408" t="s">
        <v>48</v>
      </c>
      <c r="D1408" t="s">
        <v>49</v>
      </c>
      <c r="E1408" s="2">
        <v>45965</v>
      </c>
      <c r="F1408" t="s">
        <v>323</v>
      </c>
      <c r="G1408" t="s">
        <v>69</v>
      </c>
      <c r="H1408" s="3">
        <v>3745</v>
      </c>
      <c r="I1408" s="3">
        <v>3745</v>
      </c>
      <c r="J1408">
        <v>0</v>
      </c>
      <c r="K1408" s="3">
        <v>4306.75</v>
      </c>
      <c r="L1408" s="3">
        <v>506</v>
      </c>
      <c r="M1408" s="3">
        <v>303.60000000000002</v>
      </c>
      <c r="N1408" t="s">
        <v>77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83</v>
      </c>
      <c r="W1408" t="s">
        <v>153</v>
      </c>
      <c r="X1408" s="4">
        <v>0</v>
      </c>
      <c r="Y1408" t="s">
        <v>62</v>
      </c>
      <c r="Z1408" s="3"/>
      <c r="AE1408" s="3"/>
      <c r="AK1408" s="5"/>
    </row>
    <row r="1409" spans="1:47" x14ac:dyDescent="0.25">
      <c r="A1409" t="s">
        <v>63</v>
      </c>
      <c r="B1409" s="1">
        <v>0</v>
      </c>
      <c r="C1409">
        <v>0</v>
      </c>
      <c r="D1409">
        <v>506</v>
      </c>
      <c r="E1409" s="2">
        <v>0</v>
      </c>
      <c r="F1409">
        <v>0</v>
      </c>
      <c r="G1409">
        <v>500</v>
      </c>
      <c r="H1409" s="3" t="s">
        <v>54</v>
      </c>
      <c r="I1409" s="3" t="s">
        <v>59</v>
      </c>
      <c r="K1409" s="3" t="s">
        <v>80</v>
      </c>
      <c r="L1409" s="3" t="s">
        <v>73</v>
      </c>
      <c r="M1409" s="3">
        <v>45965.697071759256</v>
      </c>
      <c r="Q1409" t="s">
        <v>54</v>
      </c>
      <c r="R1409">
        <v>0</v>
      </c>
      <c r="T1409" t="s">
        <v>54</v>
      </c>
      <c r="U1409" t="s">
        <v>54</v>
      </c>
      <c r="V1409">
        <v>8535</v>
      </c>
      <c r="W1409" t="s">
        <v>55</v>
      </c>
      <c r="X1409" s="4"/>
      <c r="Z1409" s="3"/>
      <c r="AE1409" s="3"/>
      <c r="AK1409" s="5"/>
    </row>
    <row r="1410" spans="1:47" x14ac:dyDescent="0.25">
      <c r="A1410" t="s">
        <v>47</v>
      </c>
      <c r="B1410" s="1">
        <v>38205</v>
      </c>
      <c r="C1410" t="s">
        <v>48</v>
      </c>
      <c r="D1410" t="s">
        <v>49</v>
      </c>
      <c r="E1410" s="2">
        <v>45966</v>
      </c>
      <c r="F1410" t="s">
        <v>150</v>
      </c>
      <c r="G1410" t="s">
        <v>66</v>
      </c>
      <c r="H1410" s="3">
        <v>568.6</v>
      </c>
      <c r="I1410" s="3">
        <v>568.6</v>
      </c>
      <c r="J1410">
        <v>0</v>
      </c>
      <c r="K1410" s="3">
        <v>653.89</v>
      </c>
      <c r="L1410" s="3">
        <v>45.48</v>
      </c>
      <c r="M1410" s="3">
        <v>34.020000000000003</v>
      </c>
      <c r="N1410" t="s">
        <v>84</v>
      </c>
      <c r="O1410" t="s">
        <v>53</v>
      </c>
      <c r="P1410" t="s">
        <v>53</v>
      </c>
      <c r="Q1410" t="s">
        <v>53</v>
      </c>
      <c r="R1410" t="s">
        <v>54</v>
      </c>
      <c r="S1410" t="s">
        <v>54</v>
      </c>
      <c r="T1410" t="s">
        <v>55</v>
      </c>
      <c r="U1410">
        <v>9</v>
      </c>
      <c r="V1410" t="s">
        <v>71</v>
      </c>
      <c r="W1410" t="s">
        <v>57</v>
      </c>
      <c r="X1410" s="4">
        <v>0</v>
      </c>
      <c r="Y1410" t="s">
        <v>58</v>
      </c>
      <c r="Z1410" s="3">
        <v>0</v>
      </c>
      <c r="AA1410">
        <v>0</v>
      </c>
      <c r="AB1410">
        <v>45.48</v>
      </c>
      <c r="AC1410">
        <v>0</v>
      </c>
      <c r="AD1410">
        <v>0</v>
      </c>
      <c r="AE1410" s="3">
        <v>20</v>
      </c>
      <c r="AF1410" t="s">
        <v>54</v>
      </c>
      <c r="AG1410" t="s">
        <v>59</v>
      </c>
      <c r="AI1410" t="s">
        <v>73</v>
      </c>
      <c r="AJ1410" t="s">
        <v>73</v>
      </c>
      <c r="AK1410" s="5">
        <v>45966.324988425928</v>
      </c>
      <c r="AO1410" t="s">
        <v>54</v>
      </c>
      <c r="AP1410">
        <v>0</v>
      </c>
      <c r="AR1410" t="s">
        <v>54</v>
      </c>
      <c r="AS1410" t="s">
        <v>54</v>
      </c>
      <c r="AT1410">
        <v>1009</v>
      </c>
      <c r="AU1410" t="s">
        <v>55</v>
      </c>
    </row>
    <row r="1411" spans="1:47" x14ac:dyDescent="0.25">
      <c r="A1411" t="s">
        <v>47</v>
      </c>
      <c r="B1411" s="1">
        <v>38206</v>
      </c>
      <c r="C1411" t="s">
        <v>48</v>
      </c>
      <c r="D1411" t="s">
        <v>49</v>
      </c>
      <c r="E1411" s="2">
        <v>45966</v>
      </c>
      <c r="F1411" t="s">
        <v>150</v>
      </c>
      <c r="G1411" t="s">
        <v>66</v>
      </c>
      <c r="H1411" s="3">
        <v>2017.85</v>
      </c>
      <c r="I1411" s="3">
        <v>2017.85</v>
      </c>
      <c r="J1411">
        <v>0</v>
      </c>
      <c r="K1411" s="3">
        <v>2320.5300000000002</v>
      </c>
      <c r="L1411">
        <v>211.42</v>
      </c>
      <c r="M1411" s="3">
        <v>158.15</v>
      </c>
      <c r="N1411" t="s">
        <v>84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211.42</v>
      </c>
      <c r="AC1411">
        <v>0</v>
      </c>
      <c r="AD1411">
        <v>0</v>
      </c>
      <c r="AE1411" s="3">
        <v>55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45966.414942129632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x14ac:dyDescent="0.25">
      <c r="A1412" t="s">
        <v>47</v>
      </c>
      <c r="B1412" s="1">
        <v>38207</v>
      </c>
      <c r="C1412" t="s">
        <v>48</v>
      </c>
      <c r="D1412" t="s">
        <v>49</v>
      </c>
      <c r="E1412" s="2">
        <v>45966</v>
      </c>
      <c r="F1412" t="s">
        <v>150</v>
      </c>
      <c r="G1412" s="3" t="s">
        <v>66</v>
      </c>
      <c r="H1412" s="3">
        <v>6184</v>
      </c>
      <c r="I1412" s="3">
        <v>6184</v>
      </c>
      <c r="J1412">
        <v>0</v>
      </c>
      <c r="K1412" s="3">
        <v>6686.25</v>
      </c>
      <c r="L1412" s="3">
        <v>804.3</v>
      </c>
      <c r="M1412" s="3">
        <v>390.68</v>
      </c>
      <c r="N1412" t="s">
        <v>84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530</v>
      </c>
      <c r="AA1412">
        <v>0</v>
      </c>
      <c r="AB1412">
        <v>274.3</v>
      </c>
      <c r="AC1412">
        <v>0</v>
      </c>
      <c r="AD1412">
        <v>0</v>
      </c>
      <c r="AE1412" s="3">
        <v>1070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45966.415011574078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x14ac:dyDescent="0.25">
      <c r="A1413" t="s">
        <v>47</v>
      </c>
      <c r="B1413" s="1">
        <v>38208</v>
      </c>
      <c r="C1413" t="s">
        <v>48</v>
      </c>
      <c r="D1413" t="s">
        <v>49</v>
      </c>
      <c r="E1413" s="2">
        <v>45966</v>
      </c>
      <c r="F1413" t="s">
        <v>150</v>
      </c>
      <c r="G1413" t="s">
        <v>66</v>
      </c>
      <c r="H1413" s="3">
        <v>4382.1000000000004</v>
      </c>
      <c r="I1413" s="3">
        <v>4382.1000000000004</v>
      </c>
      <c r="J1413">
        <v>0</v>
      </c>
      <c r="K1413" s="3">
        <v>5039.41</v>
      </c>
      <c r="L1413" s="3">
        <v>442.22</v>
      </c>
      <c r="M1413" s="3">
        <v>330.78</v>
      </c>
      <c r="N1413" t="s">
        <v>84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0</v>
      </c>
      <c r="AA1413">
        <v>0</v>
      </c>
      <c r="AB1413">
        <v>442.22</v>
      </c>
      <c r="AC1413">
        <v>0</v>
      </c>
      <c r="AD1413">
        <v>0</v>
      </c>
      <c r="AE1413" s="3">
        <v>120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45966.415092592593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x14ac:dyDescent="0.25">
      <c r="A1414" t="s">
        <v>47</v>
      </c>
      <c r="B1414" s="1">
        <v>38209</v>
      </c>
      <c r="C1414" t="s">
        <v>48</v>
      </c>
      <c r="D1414" t="s">
        <v>49</v>
      </c>
      <c r="E1414" s="2">
        <v>45966</v>
      </c>
      <c r="F1414" t="s">
        <v>150</v>
      </c>
      <c r="G1414" s="3" t="s">
        <v>66</v>
      </c>
      <c r="H1414" s="3">
        <v>3606.3</v>
      </c>
      <c r="I1414" s="3">
        <v>3606.3</v>
      </c>
      <c r="J1414">
        <v>0</v>
      </c>
      <c r="K1414" s="3">
        <v>4147.24</v>
      </c>
      <c r="L1414" s="3">
        <v>382.18</v>
      </c>
      <c r="M1414" s="3">
        <v>285.87</v>
      </c>
      <c r="N1414" t="s">
        <v>84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382.18</v>
      </c>
      <c r="AC1414">
        <v>0</v>
      </c>
      <c r="AD1414">
        <v>0</v>
      </c>
      <c r="AE1414" s="3">
        <v>100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45966.415173611109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x14ac:dyDescent="0.25">
      <c r="A1415" t="s">
        <v>47</v>
      </c>
      <c r="B1415" s="1">
        <v>38210</v>
      </c>
      <c r="C1415" t="s">
        <v>48</v>
      </c>
      <c r="D1415" t="s">
        <v>49</v>
      </c>
      <c r="E1415" s="2">
        <v>45966</v>
      </c>
      <c r="F1415" t="s">
        <v>150</v>
      </c>
      <c r="G1415" t="s">
        <v>66</v>
      </c>
      <c r="H1415" s="3">
        <v>828</v>
      </c>
      <c r="I1415" s="3">
        <v>828</v>
      </c>
      <c r="J1415">
        <v>0</v>
      </c>
      <c r="K1415" s="3">
        <v>952.2</v>
      </c>
      <c r="L1415" s="3">
        <v>85.08</v>
      </c>
      <c r="M1415" s="3">
        <v>63.64</v>
      </c>
      <c r="N1415" t="s">
        <v>84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85.08</v>
      </c>
      <c r="AC1415">
        <v>0</v>
      </c>
      <c r="AD1415">
        <v>0</v>
      </c>
      <c r="AE1415" s="3">
        <v>20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45966.415254629632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x14ac:dyDescent="0.25">
      <c r="A1416" t="s">
        <v>47</v>
      </c>
      <c r="B1416" s="1">
        <v>38211</v>
      </c>
      <c r="C1416" t="s">
        <v>48</v>
      </c>
      <c r="D1416" t="s">
        <v>49</v>
      </c>
      <c r="E1416" s="2">
        <v>45966</v>
      </c>
      <c r="F1416" t="s">
        <v>252</v>
      </c>
      <c r="G1416" t="s">
        <v>69</v>
      </c>
      <c r="H1416" s="3">
        <v>7510</v>
      </c>
      <c r="I1416" s="3">
        <v>7510</v>
      </c>
      <c r="J1416">
        <v>0</v>
      </c>
      <c r="K1416" s="3">
        <v>8636.5</v>
      </c>
      <c r="L1416" s="3">
        <v>1373</v>
      </c>
      <c r="M1416" s="3">
        <v>632.95000000000005</v>
      </c>
      <c r="N1416" t="s">
        <v>84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95</v>
      </c>
      <c r="X1416" s="4">
        <v>0</v>
      </c>
      <c r="Y1416" t="s">
        <v>58</v>
      </c>
      <c r="Z1416">
        <v>0</v>
      </c>
      <c r="AA1416" s="3">
        <v>1373</v>
      </c>
      <c r="AB1416">
        <v>0</v>
      </c>
      <c r="AC1416">
        <v>0</v>
      </c>
      <c r="AD1416" s="3">
        <v>0</v>
      </c>
      <c r="AE1416" s="3">
        <v>1000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45966.622534722221</v>
      </c>
      <c r="AO1416" t="s">
        <v>54</v>
      </c>
      <c r="AP1416">
        <v>0</v>
      </c>
      <c r="AR1416" t="s">
        <v>54</v>
      </c>
      <c r="AS1416" t="s">
        <v>54</v>
      </c>
      <c r="AT1416">
        <v>3723</v>
      </c>
      <c r="AU1416" t="s">
        <v>55</v>
      </c>
    </row>
    <row r="1417" spans="1:47" x14ac:dyDescent="0.25">
      <c r="A1417" t="s">
        <v>47</v>
      </c>
      <c r="B1417" s="1">
        <v>38213</v>
      </c>
      <c r="C1417" t="s">
        <v>48</v>
      </c>
      <c r="D1417" t="s">
        <v>49</v>
      </c>
      <c r="E1417" s="2">
        <v>45967</v>
      </c>
      <c r="F1417" t="s">
        <v>252</v>
      </c>
      <c r="G1417" t="s">
        <v>69</v>
      </c>
      <c r="H1417" s="3">
        <v>16380</v>
      </c>
      <c r="I1417" s="3">
        <v>16380</v>
      </c>
      <c r="J1417">
        <v>0</v>
      </c>
      <c r="K1417" s="3">
        <v>18837</v>
      </c>
      <c r="L1417" s="3">
        <v>2557</v>
      </c>
      <c r="M1417" s="3">
        <v>1329.64</v>
      </c>
      <c r="N1417" t="s">
        <v>84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95</v>
      </c>
      <c r="X1417" s="4">
        <v>0</v>
      </c>
      <c r="Y1417" t="s">
        <v>58</v>
      </c>
      <c r="Z1417" s="3">
        <v>0</v>
      </c>
      <c r="AA1417" s="3">
        <v>2557</v>
      </c>
      <c r="AB1417">
        <v>0</v>
      </c>
      <c r="AC1417">
        <v>0</v>
      </c>
      <c r="AD1417" s="3">
        <v>0</v>
      </c>
      <c r="AE1417" s="3">
        <v>2000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45967.684224537035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x14ac:dyDescent="0.25">
      <c r="A1418" t="s">
        <v>47</v>
      </c>
      <c r="B1418" s="1">
        <v>38216</v>
      </c>
      <c r="C1418" t="s">
        <v>48</v>
      </c>
      <c r="D1418" t="s">
        <v>49</v>
      </c>
      <c r="E1418" s="2">
        <v>45967</v>
      </c>
      <c r="F1418" t="s">
        <v>179</v>
      </c>
      <c r="G1418" t="s">
        <v>94</v>
      </c>
      <c r="H1418" s="3">
        <v>2654</v>
      </c>
      <c r="I1418" s="3">
        <v>2654</v>
      </c>
      <c r="J1418">
        <v>0</v>
      </c>
      <c r="K1418" s="3">
        <v>3052.1</v>
      </c>
      <c r="L1418" s="3">
        <v>225.9</v>
      </c>
      <c r="M1418" s="3">
        <v>140.06</v>
      </c>
      <c r="N1418" t="s">
        <v>98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167</v>
      </c>
      <c r="V1418" t="s">
        <v>99</v>
      </c>
      <c r="W1418" t="s">
        <v>107</v>
      </c>
      <c r="X1418" s="4">
        <v>0</v>
      </c>
      <c r="Y1418" t="s">
        <v>62</v>
      </c>
      <c r="Z1418" s="3"/>
      <c r="AD1418" s="3"/>
      <c r="AE1418" s="3"/>
      <c r="AK1418" s="5"/>
    </row>
    <row r="1419" spans="1:47" x14ac:dyDescent="0.25">
      <c r="A1419" t="s">
        <v>63</v>
      </c>
      <c r="B1419" s="1">
        <v>0</v>
      </c>
      <c r="C1419">
        <v>0</v>
      </c>
      <c r="D1419">
        <v>154.4</v>
      </c>
      <c r="E1419" s="2">
        <v>0</v>
      </c>
      <c r="F1419">
        <v>71.5</v>
      </c>
      <c r="G1419">
        <v>200</v>
      </c>
      <c r="H1419" s="3" t="s">
        <v>54</v>
      </c>
      <c r="I1419" s="3" t="s">
        <v>59</v>
      </c>
      <c r="J1419" t="s">
        <v>144</v>
      </c>
      <c r="K1419" s="3" t="s">
        <v>73</v>
      </c>
      <c r="L1419" s="3" t="s">
        <v>73</v>
      </c>
      <c r="M1419" s="3">
        <v>45968.670960648145</v>
      </c>
      <c r="Q1419" t="s">
        <v>54</v>
      </c>
      <c r="R1419">
        <v>0</v>
      </c>
      <c r="T1419" t="s">
        <v>54</v>
      </c>
      <c r="U1419" t="s">
        <v>54</v>
      </c>
      <c r="V1419">
        <v>5509</v>
      </c>
      <c r="W1419" t="s">
        <v>55</v>
      </c>
      <c r="X1419" s="4"/>
      <c r="Z1419" s="3"/>
      <c r="AA1419" s="3"/>
      <c r="AE1419" s="3"/>
      <c r="AK1419" s="5"/>
    </row>
    <row r="1420" spans="1:47" x14ac:dyDescent="0.25">
      <c r="A1420" t="s">
        <v>47</v>
      </c>
      <c r="B1420" s="1">
        <v>38217</v>
      </c>
      <c r="C1420" t="s">
        <v>48</v>
      </c>
      <c r="D1420" t="s">
        <v>49</v>
      </c>
      <c r="E1420" s="2">
        <v>45967</v>
      </c>
      <c r="F1420" t="s">
        <v>392</v>
      </c>
      <c r="G1420" s="3" t="s">
        <v>69</v>
      </c>
      <c r="H1420" s="3">
        <v>5356</v>
      </c>
      <c r="I1420" s="3">
        <v>5356</v>
      </c>
      <c r="J1420">
        <v>0</v>
      </c>
      <c r="K1420" s="3">
        <v>6159.4</v>
      </c>
      <c r="L1420" s="3">
        <v>1014</v>
      </c>
      <c r="M1420" s="3">
        <v>372.14</v>
      </c>
      <c r="N1420" t="s">
        <v>77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83</v>
      </c>
      <c r="W1420" t="s">
        <v>72</v>
      </c>
      <c r="X1420" s="4">
        <v>0</v>
      </c>
      <c r="Y1420" t="s">
        <v>62</v>
      </c>
      <c r="Z1420" s="3"/>
      <c r="AE1420" s="3"/>
      <c r="AK1420" s="5"/>
    </row>
    <row r="1421" spans="1:47" x14ac:dyDescent="0.25">
      <c r="A1421" t="s">
        <v>63</v>
      </c>
      <c r="B1421" s="1">
        <v>1014</v>
      </c>
      <c r="C1421">
        <v>0</v>
      </c>
      <c r="D1421">
        <v>0</v>
      </c>
      <c r="E1421" s="2">
        <v>0</v>
      </c>
      <c r="F1421">
        <v>0</v>
      </c>
      <c r="G1421" s="3">
        <v>2600</v>
      </c>
      <c r="H1421" s="3" t="s">
        <v>54</v>
      </c>
      <c r="I1421" s="3" t="s">
        <v>59</v>
      </c>
      <c r="J1421" t="s">
        <v>79</v>
      </c>
      <c r="K1421" s="3" t="s">
        <v>80</v>
      </c>
      <c r="L1421" s="3" t="s">
        <v>73</v>
      </c>
      <c r="M1421" s="3">
        <v>45967.660034722219</v>
      </c>
      <c r="Q1421" t="s">
        <v>54</v>
      </c>
      <c r="R1421">
        <v>0</v>
      </c>
      <c r="T1421" t="s">
        <v>54</v>
      </c>
      <c r="U1421" t="s">
        <v>54</v>
      </c>
      <c r="V1421">
        <v>8807</v>
      </c>
      <c r="W1421" t="s">
        <v>55</v>
      </c>
      <c r="X1421" s="4"/>
      <c r="Z1421" s="3"/>
      <c r="AE1421" s="3"/>
      <c r="AK1421" s="5"/>
    </row>
    <row r="1422" spans="1:47" x14ac:dyDescent="0.25">
      <c r="A1422" t="s">
        <v>81</v>
      </c>
      <c r="B1422" s="1">
        <v>38219</v>
      </c>
      <c r="C1422" t="s">
        <v>48</v>
      </c>
      <c r="D1422" t="s">
        <v>49</v>
      </c>
      <c r="E1422" s="2">
        <v>45968</v>
      </c>
      <c r="F1422" t="s">
        <v>140</v>
      </c>
      <c r="G1422" t="s">
        <v>141</v>
      </c>
      <c r="H1422" s="3">
        <v>19605.5</v>
      </c>
      <c r="I1422" s="3">
        <v>19605.5</v>
      </c>
      <c r="J1422">
        <v>0</v>
      </c>
      <c r="K1422" s="3">
        <v>19605.5</v>
      </c>
      <c r="L1422" s="3">
        <v>5450.18</v>
      </c>
      <c r="M1422" s="3">
        <v>1771.31</v>
      </c>
      <c r="N1422" t="s">
        <v>77</v>
      </c>
      <c r="O1422" t="s">
        <v>53</v>
      </c>
      <c r="P1422" t="s">
        <v>53</v>
      </c>
      <c r="Q1422" t="s">
        <v>53</v>
      </c>
      <c r="R1422" t="s">
        <v>54</v>
      </c>
      <c r="S1422" t="s">
        <v>54</v>
      </c>
      <c r="T1422" t="s">
        <v>55</v>
      </c>
      <c r="U1422">
        <v>83</v>
      </c>
      <c r="W1422" t="s">
        <v>202</v>
      </c>
      <c r="X1422" s="4">
        <v>0</v>
      </c>
      <c r="Y1422" t="s">
        <v>58</v>
      </c>
      <c r="Z1422" s="3">
        <v>5450.18</v>
      </c>
      <c r="AA1422">
        <v>0</v>
      </c>
      <c r="AB1422" s="3">
        <v>0</v>
      </c>
      <c r="AC1422">
        <v>0</v>
      </c>
      <c r="AD1422">
        <v>0</v>
      </c>
      <c r="AE1422" s="3">
        <v>5890</v>
      </c>
      <c r="AF1422" t="s">
        <v>54</v>
      </c>
      <c r="AG1422" t="s">
        <v>59</v>
      </c>
      <c r="AH1422" t="s">
        <v>103</v>
      </c>
      <c r="AI1422" t="s">
        <v>80</v>
      </c>
      <c r="AJ1422" t="s">
        <v>73</v>
      </c>
      <c r="AK1422" s="5">
        <v>45971.678194444445</v>
      </c>
      <c r="AO1422" t="s">
        <v>54</v>
      </c>
      <c r="AP1422">
        <v>0</v>
      </c>
      <c r="AR1422" t="s">
        <v>54</v>
      </c>
      <c r="AS1422" t="s">
        <v>54</v>
      </c>
      <c r="AT1422">
        <v>3465</v>
      </c>
      <c r="AU1422" t="s">
        <v>55</v>
      </c>
    </row>
    <row r="1423" spans="1:47" x14ac:dyDescent="0.25">
      <c r="A1423" t="s">
        <v>47</v>
      </c>
      <c r="B1423" s="1">
        <v>38220</v>
      </c>
      <c r="C1423" t="s">
        <v>48</v>
      </c>
      <c r="D1423" t="s">
        <v>49</v>
      </c>
      <c r="E1423" s="2">
        <v>45968</v>
      </c>
      <c r="F1423" t="s">
        <v>68</v>
      </c>
      <c r="G1423" t="s">
        <v>69</v>
      </c>
      <c r="H1423" s="3">
        <v>6801</v>
      </c>
      <c r="I1423" s="3">
        <v>6801</v>
      </c>
      <c r="J1423">
        <v>0</v>
      </c>
      <c r="K1423" s="3">
        <v>7821.15</v>
      </c>
      <c r="L1423" s="3">
        <v>951.6</v>
      </c>
      <c r="M1423" s="3">
        <v>486.77</v>
      </c>
      <c r="N1423" t="s">
        <v>70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76</v>
      </c>
      <c r="V1423" t="s">
        <v>71</v>
      </c>
      <c r="W1423" t="s">
        <v>72</v>
      </c>
      <c r="X1423" s="4">
        <v>0</v>
      </c>
      <c r="Y1423" t="s">
        <v>62</v>
      </c>
      <c r="Z1423" s="3"/>
      <c r="AB1423" s="3"/>
      <c r="AE1423" s="3"/>
      <c r="AK1423" s="5"/>
    </row>
    <row r="1424" spans="1:47" x14ac:dyDescent="0.25">
      <c r="A1424" t="s">
        <v>63</v>
      </c>
      <c r="B1424" s="3">
        <v>0</v>
      </c>
      <c r="C1424">
        <v>0</v>
      </c>
      <c r="D1424">
        <v>0</v>
      </c>
      <c r="E1424" s="2">
        <v>0</v>
      </c>
      <c r="F1424">
        <v>951.6</v>
      </c>
      <c r="G1424" s="3">
        <v>600</v>
      </c>
      <c r="H1424" s="3" t="s">
        <v>54</v>
      </c>
      <c r="I1424" s="3" t="s">
        <v>59</v>
      </c>
      <c r="K1424" s="3" t="s">
        <v>73</v>
      </c>
      <c r="L1424" s="3" t="s">
        <v>73</v>
      </c>
      <c r="M1424" s="3">
        <v>45968.633703703701</v>
      </c>
      <c r="Q1424" t="s">
        <v>54</v>
      </c>
      <c r="R1424">
        <v>0</v>
      </c>
      <c r="T1424" t="s">
        <v>54</v>
      </c>
      <c r="U1424" t="s">
        <v>54</v>
      </c>
      <c r="V1424">
        <v>139</v>
      </c>
      <c r="W1424" t="s">
        <v>55</v>
      </c>
      <c r="X1424" s="4"/>
      <c r="Z1424" s="3"/>
      <c r="AE1424" s="3"/>
      <c r="AK1424" s="5"/>
    </row>
    <row r="1425" spans="1:37" x14ac:dyDescent="0.25">
      <c r="A1425" t="s">
        <v>47</v>
      </c>
      <c r="B1425" s="1">
        <v>38222</v>
      </c>
      <c r="C1425" t="s">
        <v>48</v>
      </c>
      <c r="D1425" t="s">
        <v>49</v>
      </c>
      <c r="E1425" s="2">
        <v>45968</v>
      </c>
      <c r="F1425" t="s">
        <v>68</v>
      </c>
      <c r="G1425" t="s">
        <v>69</v>
      </c>
      <c r="H1425" s="3">
        <v>1910</v>
      </c>
      <c r="I1425" s="3">
        <v>1910</v>
      </c>
      <c r="J1425">
        <v>0</v>
      </c>
      <c r="K1425" s="3">
        <v>2196.5</v>
      </c>
      <c r="L1425" s="3">
        <v>410</v>
      </c>
      <c r="M1425" s="3">
        <v>127.1</v>
      </c>
      <c r="N1425" t="s">
        <v>70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76</v>
      </c>
      <c r="V1425" t="s">
        <v>71</v>
      </c>
      <c r="W1425" t="s">
        <v>72</v>
      </c>
      <c r="X1425" s="4">
        <v>0</v>
      </c>
      <c r="Y1425" t="s">
        <v>62</v>
      </c>
      <c r="Z1425" s="3"/>
      <c r="AE1425" s="3"/>
      <c r="AK1425" s="5"/>
    </row>
    <row r="1426" spans="1:37" x14ac:dyDescent="0.25">
      <c r="A1426" t="s">
        <v>63</v>
      </c>
      <c r="B1426" s="1">
        <v>0</v>
      </c>
      <c r="C1426">
        <v>0</v>
      </c>
      <c r="D1426">
        <v>0</v>
      </c>
      <c r="E1426" s="2">
        <v>0</v>
      </c>
      <c r="F1426">
        <v>410</v>
      </c>
      <c r="G1426">
        <v>500</v>
      </c>
      <c r="H1426" s="3" t="s">
        <v>54</v>
      </c>
      <c r="I1426" s="3" t="s">
        <v>59</v>
      </c>
      <c r="K1426" s="3" t="s">
        <v>73</v>
      </c>
      <c r="L1426" s="3" t="s">
        <v>73</v>
      </c>
      <c r="M1426" s="3">
        <v>45968.63385416667</v>
      </c>
      <c r="Q1426" t="s">
        <v>54</v>
      </c>
      <c r="R1426">
        <v>0</v>
      </c>
      <c r="T1426" t="s">
        <v>54</v>
      </c>
      <c r="U1426" t="s">
        <v>54</v>
      </c>
      <c r="V1426">
        <v>139</v>
      </c>
      <c r="W1426" t="s">
        <v>55</v>
      </c>
      <c r="X1426" s="4"/>
      <c r="Z1426" s="3"/>
      <c r="AB1426" s="3"/>
      <c r="AE1426" s="3"/>
      <c r="AK1426" s="5"/>
    </row>
    <row r="1427" spans="1:37" x14ac:dyDescent="0.25">
      <c r="A1427" t="s">
        <v>47</v>
      </c>
      <c r="B1427" s="1">
        <v>38223</v>
      </c>
      <c r="C1427" t="s">
        <v>48</v>
      </c>
      <c r="D1427" t="s">
        <v>49</v>
      </c>
      <c r="E1427" s="2">
        <v>45968</v>
      </c>
      <c r="F1427" t="s">
        <v>68</v>
      </c>
      <c r="G1427" t="s">
        <v>69</v>
      </c>
      <c r="H1427" s="3">
        <v>2393</v>
      </c>
      <c r="I1427" s="3">
        <v>2393</v>
      </c>
      <c r="J1427">
        <v>0</v>
      </c>
      <c r="K1427" s="3">
        <v>2719.64</v>
      </c>
      <c r="L1427" s="3">
        <v>505.8</v>
      </c>
      <c r="M1427" s="3">
        <v>176.03</v>
      </c>
      <c r="N1427" t="s">
        <v>70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76</v>
      </c>
      <c r="V1427" t="s">
        <v>71</v>
      </c>
      <c r="W1427" t="s">
        <v>72</v>
      </c>
      <c r="X1427" s="4">
        <v>0</v>
      </c>
      <c r="Y1427" t="s">
        <v>62</v>
      </c>
      <c r="Z1427" s="3"/>
      <c r="AE1427" s="3"/>
      <c r="AK1427" s="5"/>
    </row>
    <row r="1428" spans="1:37" x14ac:dyDescent="0.25">
      <c r="A1428" t="s">
        <v>63</v>
      </c>
      <c r="B1428" s="1">
        <v>219.6</v>
      </c>
      <c r="C1428">
        <v>0</v>
      </c>
      <c r="D1428">
        <v>0</v>
      </c>
      <c r="E1428" s="2">
        <v>0</v>
      </c>
      <c r="F1428">
        <v>286.2</v>
      </c>
      <c r="G1428" s="3">
        <v>1000</v>
      </c>
      <c r="H1428" s="3" t="s">
        <v>54</v>
      </c>
      <c r="I1428" s="3" t="s">
        <v>59</v>
      </c>
      <c r="K1428" s="3" t="s">
        <v>73</v>
      </c>
      <c r="L1428" s="3" t="s">
        <v>73</v>
      </c>
      <c r="M1428" s="3">
        <v>45968.634027777778</v>
      </c>
      <c r="Q1428" t="s">
        <v>54</v>
      </c>
      <c r="R1428">
        <v>0</v>
      </c>
      <c r="T1428" t="s">
        <v>54</v>
      </c>
      <c r="U1428" t="s">
        <v>54</v>
      </c>
      <c r="V1428">
        <v>139</v>
      </c>
      <c r="W1428" t="s">
        <v>55</v>
      </c>
      <c r="X1428" s="4"/>
      <c r="Z1428" s="3"/>
      <c r="AE1428" s="3"/>
      <c r="AK1428" s="5"/>
    </row>
    <row r="1429" spans="1:37" x14ac:dyDescent="0.25">
      <c r="A1429" t="s">
        <v>47</v>
      </c>
      <c r="B1429" s="1">
        <v>38224</v>
      </c>
      <c r="C1429" t="s">
        <v>48</v>
      </c>
      <c r="D1429" t="s">
        <v>49</v>
      </c>
      <c r="E1429" s="2">
        <v>45968</v>
      </c>
      <c r="F1429" t="s">
        <v>68</v>
      </c>
      <c r="G1429" t="s">
        <v>69</v>
      </c>
      <c r="H1429" s="3">
        <v>5532</v>
      </c>
      <c r="I1429" s="3">
        <v>5532</v>
      </c>
      <c r="J1429">
        <v>0</v>
      </c>
      <c r="K1429" s="3">
        <v>6361.8</v>
      </c>
      <c r="L1429" s="3">
        <v>808.8</v>
      </c>
      <c r="M1429" s="3">
        <v>380.58</v>
      </c>
      <c r="N1429" t="s">
        <v>70</v>
      </c>
      <c r="O1429" t="s">
        <v>53</v>
      </c>
      <c r="P1429" t="s">
        <v>53</v>
      </c>
      <c r="Q1429" t="s">
        <v>53</v>
      </c>
      <c r="R1429" t="s">
        <v>54</v>
      </c>
      <c r="S1429" t="s">
        <v>54</v>
      </c>
      <c r="T1429" t="s">
        <v>55</v>
      </c>
      <c r="U1429">
        <v>76</v>
      </c>
      <c r="V1429" t="s">
        <v>71</v>
      </c>
      <c r="W1429" t="s">
        <v>72</v>
      </c>
      <c r="X1429" s="4">
        <v>0</v>
      </c>
      <c r="Y1429" t="s">
        <v>62</v>
      </c>
      <c r="Z1429" s="3"/>
      <c r="AE1429" s="3"/>
      <c r="AK1429" s="5"/>
    </row>
    <row r="1430" spans="1:37" x14ac:dyDescent="0.25">
      <c r="A1430" t="s">
        <v>63</v>
      </c>
      <c r="B1430" s="1">
        <v>0</v>
      </c>
      <c r="C1430">
        <v>0</v>
      </c>
      <c r="D1430">
        <v>0</v>
      </c>
      <c r="E1430" s="2">
        <v>0</v>
      </c>
      <c r="F1430">
        <v>808.8</v>
      </c>
      <c r="G1430">
        <v>600</v>
      </c>
      <c r="H1430" s="3" t="s">
        <v>54</v>
      </c>
      <c r="I1430" s="3" t="s">
        <v>59</v>
      </c>
      <c r="K1430" s="3" t="s">
        <v>73</v>
      </c>
      <c r="L1430" s="3" t="s">
        <v>73</v>
      </c>
      <c r="M1430" s="3">
        <v>45968.634155092594</v>
      </c>
      <c r="Q1430" t="s">
        <v>54</v>
      </c>
      <c r="R1430">
        <v>0</v>
      </c>
      <c r="T1430" t="s">
        <v>54</v>
      </c>
      <c r="U1430" t="s">
        <v>54</v>
      </c>
      <c r="V1430">
        <v>139</v>
      </c>
      <c r="W1430" t="s">
        <v>55</v>
      </c>
      <c r="X1430" s="4"/>
      <c r="Z1430" s="3"/>
      <c r="AE1430" s="3"/>
      <c r="AK1430" s="5"/>
    </row>
    <row r="1431" spans="1:37" x14ac:dyDescent="0.25">
      <c r="A1431" t="s">
        <v>47</v>
      </c>
      <c r="B1431" s="1">
        <v>38225</v>
      </c>
      <c r="C1431" t="s">
        <v>48</v>
      </c>
      <c r="D1431" t="s">
        <v>49</v>
      </c>
      <c r="E1431" s="2">
        <v>45968</v>
      </c>
      <c r="F1431" t="s">
        <v>68</v>
      </c>
      <c r="G1431" t="s">
        <v>69</v>
      </c>
      <c r="H1431" s="3">
        <v>385</v>
      </c>
      <c r="I1431" s="3">
        <v>385</v>
      </c>
      <c r="J1431">
        <v>0</v>
      </c>
      <c r="K1431" s="3">
        <v>397.51</v>
      </c>
      <c r="L1431" s="3">
        <v>58.8</v>
      </c>
      <c r="M1431" s="3">
        <v>27.64</v>
      </c>
      <c r="N1431" t="s">
        <v>70</v>
      </c>
      <c r="O1431" t="s">
        <v>53</v>
      </c>
      <c r="P1431" t="s">
        <v>53</v>
      </c>
      <c r="Q1431" t="s">
        <v>53</v>
      </c>
      <c r="R1431" t="s">
        <v>54</v>
      </c>
      <c r="S1431" t="s">
        <v>54</v>
      </c>
      <c r="T1431" t="s">
        <v>55</v>
      </c>
      <c r="U1431">
        <v>76</v>
      </c>
      <c r="V1431" t="s">
        <v>71</v>
      </c>
      <c r="W1431" t="s">
        <v>72</v>
      </c>
      <c r="X1431" s="4">
        <v>0</v>
      </c>
      <c r="Y1431" t="s">
        <v>62</v>
      </c>
      <c r="Z1431" s="3"/>
      <c r="AE1431" s="3"/>
      <c r="AK1431" s="5"/>
    </row>
    <row r="1432" spans="1:37" x14ac:dyDescent="0.25">
      <c r="A1432" t="s">
        <v>63</v>
      </c>
      <c r="B1432" s="1">
        <v>0</v>
      </c>
      <c r="C1432">
        <v>0</v>
      </c>
      <c r="D1432">
        <v>0</v>
      </c>
      <c r="E1432" s="2">
        <v>0</v>
      </c>
      <c r="F1432">
        <v>58.8</v>
      </c>
      <c r="G1432">
        <v>700</v>
      </c>
      <c r="H1432" s="3" t="s">
        <v>54</v>
      </c>
      <c r="I1432" s="3" t="s">
        <v>59</v>
      </c>
      <c r="K1432" s="3" t="s">
        <v>73</v>
      </c>
      <c r="L1432" s="3" t="s">
        <v>73</v>
      </c>
      <c r="M1432" s="3">
        <v>45968.634293981479</v>
      </c>
      <c r="Q1432" t="s">
        <v>54</v>
      </c>
      <c r="R1432">
        <v>0</v>
      </c>
      <c r="T1432" t="s">
        <v>54</v>
      </c>
      <c r="U1432" t="s">
        <v>54</v>
      </c>
      <c r="V1432">
        <v>139</v>
      </c>
      <c r="W1432" t="s">
        <v>55</v>
      </c>
      <c r="X1432" s="4"/>
      <c r="Z1432" s="3"/>
      <c r="AE1432" s="3"/>
      <c r="AK1432" s="5"/>
    </row>
    <row r="1433" spans="1:37" x14ac:dyDescent="0.25">
      <c r="A1433" t="s">
        <v>47</v>
      </c>
      <c r="B1433" s="1">
        <v>38226</v>
      </c>
      <c r="C1433" t="s">
        <v>48</v>
      </c>
      <c r="D1433" t="s">
        <v>49</v>
      </c>
      <c r="E1433" s="2">
        <v>45968</v>
      </c>
      <c r="F1433" t="s">
        <v>68</v>
      </c>
      <c r="G1433" s="3" t="s">
        <v>69</v>
      </c>
      <c r="H1433" s="3">
        <v>385</v>
      </c>
      <c r="I1433" s="3">
        <v>385</v>
      </c>
      <c r="J1433">
        <v>0</v>
      </c>
      <c r="K1433" s="3">
        <v>397.51</v>
      </c>
      <c r="L1433" s="3">
        <v>58.8</v>
      </c>
      <c r="M1433" s="3">
        <v>27.64</v>
      </c>
      <c r="N1433" t="s">
        <v>70</v>
      </c>
      <c r="O1433" t="s">
        <v>53</v>
      </c>
      <c r="P1433" t="s">
        <v>53</v>
      </c>
      <c r="Q1433" t="s">
        <v>53</v>
      </c>
      <c r="R1433" t="s">
        <v>54</v>
      </c>
      <c r="S1433" t="s">
        <v>54</v>
      </c>
      <c r="T1433" t="s">
        <v>55</v>
      </c>
      <c r="U1433">
        <v>76</v>
      </c>
      <c r="V1433" t="s">
        <v>71</v>
      </c>
      <c r="W1433" t="s">
        <v>72</v>
      </c>
      <c r="X1433" s="4">
        <v>0</v>
      </c>
      <c r="Y1433" t="s">
        <v>62</v>
      </c>
      <c r="Z1433" s="3"/>
      <c r="AB1433" s="3"/>
      <c r="AE1433" s="3"/>
      <c r="AK1433" s="5"/>
    </row>
    <row r="1434" spans="1:37" x14ac:dyDescent="0.25">
      <c r="A1434" t="s">
        <v>63</v>
      </c>
      <c r="B1434" s="1">
        <v>0</v>
      </c>
      <c r="C1434">
        <v>0</v>
      </c>
      <c r="D1434">
        <v>0</v>
      </c>
      <c r="E1434" s="2">
        <v>0</v>
      </c>
      <c r="F1434">
        <v>58.8</v>
      </c>
      <c r="G1434">
        <v>700</v>
      </c>
      <c r="H1434" s="3" t="s">
        <v>54</v>
      </c>
      <c r="I1434" s="3" t="s">
        <v>59</v>
      </c>
      <c r="K1434" s="3" t="s">
        <v>73</v>
      </c>
      <c r="L1434" s="3" t="s">
        <v>73</v>
      </c>
      <c r="M1434" s="3">
        <v>45968.634421296294</v>
      </c>
      <c r="Q1434" t="s">
        <v>54</v>
      </c>
      <c r="R1434">
        <v>0</v>
      </c>
      <c r="T1434" t="s">
        <v>54</v>
      </c>
      <c r="U1434" t="s">
        <v>54</v>
      </c>
      <c r="V1434">
        <v>139</v>
      </c>
      <c r="W1434" t="s">
        <v>55</v>
      </c>
      <c r="X1434" s="4"/>
      <c r="Z1434" s="3"/>
      <c r="AB1434" s="3"/>
      <c r="AE1434" s="3"/>
      <c r="AK1434" s="5"/>
    </row>
    <row r="1435" spans="1:37" x14ac:dyDescent="0.25">
      <c r="A1435" t="s">
        <v>47</v>
      </c>
      <c r="B1435" s="3">
        <v>38227</v>
      </c>
      <c r="C1435" t="s">
        <v>48</v>
      </c>
      <c r="D1435" t="s">
        <v>49</v>
      </c>
      <c r="E1435" s="2">
        <v>45968</v>
      </c>
      <c r="F1435" t="s">
        <v>93</v>
      </c>
      <c r="G1435" s="3" t="s">
        <v>94</v>
      </c>
      <c r="H1435" s="3">
        <v>2304.6</v>
      </c>
      <c r="I1435" s="3">
        <v>2304.6</v>
      </c>
      <c r="J1435">
        <v>0</v>
      </c>
      <c r="K1435" s="3">
        <v>2650.29</v>
      </c>
      <c r="L1435" s="3">
        <v>97.24</v>
      </c>
      <c r="M1435" s="3">
        <v>64.37</v>
      </c>
      <c r="N1435" t="s">
        <v>84</v>
      </c>
      <c r="O1435" t="s">
        <v>53</v>
      </c>
      <c r="P1435" t="s">
        <v>53</v>
      </c>
      <c r="Q1435" t="s">
        <v>53</v>
      </c>
      <c r="R1435" t="s">
        <v>54</v>
      </c>
      <c r="S1435" t="s">
        <v>54</v>
      </c>
      <c r="T1435" t="s">
        <v>55</v>
      </c>
      <c r="U1435">
        <v>9</v>
      </c>
      <c r="V1435" t="s">
        <v>71</v>
      </c>
      <c r="W1435" t="s">
        <v>95</v>
      </c>
      <c r="X1435" s="4">
        <v>0</v>
      </c>
      <c r="Y1435" t="s">
        <v>62</v>
      </c>
      <c r="Z1435" s="3"/>
      <c r="AB1435" s="3"/>
      <c r="AE1435" s="3"/>
      <c r="AK1435" s="5"/>
    </row>
    <row r="1436" spans="1:37" x14ac:dyDescent="0.25">
      <c r="A1436" t="s">
        <v>63</v>
      </c>
      <c r="B1436" s="1">
        <v>0</v>
      </c>
      <c r="C1436">
        <v>0</v>
      </c>
      <c r="D1436">
        <v>97.24</v>
      </c>
      <c r="E1436" s="2">
        <v>0</v>
      </c>
      <c r="F1436">
        <v>0</v>
      </c>
      <c r="G1436">
        <v>180</v>
      </c>
      <c r="H1436" s="3" t="s">
        <v>54</v>
      </c>
      <c r="I1436" s="3" t="s">
        <v>59</v>
      </c>
      <c r="K1436" s="3" t="s">
        <v>73</v>
      </c>
      <c r="L1436" t="s">
        <v>73</v>
      </c>
      <c r="M1436" s="3">
        <v>45968.639178240737</v>
      </c>
      <c r="Q1436" t="s">
        <v>54</v>
      </c>
      <c r="R1436">
        <v>0</v>
      </c>
      <c r="T1436" t="s">
        <v>54</v>
      </c>
      <c r="U1436" t="s">
        <v>54</v>
      </c>
      <c r="V1436">
        <v>924</v>
      </c>
      <c r="W1436" t="s">
        <v>55</v>
      </c>
      <c r="X1436" s="4"/>
    </row>
    <row r="1437" spans="1:37" x14ac:dyDescent="0.25">
      <c r="A1437" t="s">
        <v>81</v>
      </c>
      <c r="B1437" s="1">
        <v>38228</v>
      </c>
      <c r="C1437" t="s">
        <v>48</v>
      </c>
      <c r="D1437" t="s">
        <v>49</v>
      </c>
      <c r="E1437" s="2">
        <v>45971</v>
      </c>
      <c r="F1437" t="s">
        <v>363</v>
      </c>
      <c r="G1437" t="s">
        <v>364</v>
      </c>
      <c r="H1437" s="3">
        <v>67230</v>
      </c>
      <c r="I1437" s="3">
        <v>67230</v>
      </c>
      <c r="J1437">
        <v>0</v>
      </c>
      <c r="K1437" s="3">
        <v>67230</v>
      </c>
      <c r="L1437" s="3">
        <v>18900</v>
      </c>
      <c r="M1437" s="3">
        <v>6142.5</v>
      </c>
      <c r="N1437" t="s">
        <v>98</v>
      </c>
      <c r="O1437" t="s">
        <v>53</v>
      </c>
      <c r="P1437" t="s">
        <v>53</v>
      </c>
      <c r="Q1437" t="s">
        <v>53</v>
      </c>
      <c r="R1437" t="s">
        <v>54</v>
      </c>
      <c r="S1437" t="s">
        <v>54</v>
      </c>
      <c r="T1437" t="s">
        <v>55</v>
      </c>
      <c r="U1437">
        <v>167</v>
      </c>
      <c r="V1437" t="s">
        <v>146</v>
      </c>
      <c r="W1437" t="s">
        <v>192</v>
      </c>
      <c r="X1437" s="4">
        <v>0</v>
      </c>
      <c r="Y1437" t="s">
        <v>62</v>
      </c>
    </row>
    <row r="1438" spans="1:37" x14ac:dyDescent="0.25">
      <c r="A1438" t="s">
        <v>63</v>
      </c>
      <c r="B1438" s="1">
        <v>18900</v>
      </c>
      <c r="C1438">
        <v>0</v>
      </c>
      <c r="D1438">
        <v>0</v>
      </c>
      <c r="E1438" s="2">
        <v>0</v>
      </c>
      <c r="F1438">
        <v>0</v>
      </c>
      <c r="G1438" s="3">
        <v>27000</v>
      </c>
      <c r="H1438" s="3" t="s">
        <v>54</v>
      </c>
      <c r="I1438" s="3" t="s">
        <v>59</v>
      </c>
      <c r="K1438" s="3" t="s">
        <v>73</v>
      </c>
      <c r="L1438" s="3" t="s">
        <v>73</v>
      </c>
      <c r="M1438" s="3">
        <v>45971.419293981482</v>
      </c>
      <c r="Q1438" t="s">
        <v>54</v>
      </c>
      <c r="R1438">
        <v>0</v>
      </c>
      <c r="T1438" t="s">
        <v>54</v>
      </c>
      <c r="U1438" t="s">
        <v>54</v>
      </c>
      <c r="V1438">
        <v>7810</v>
      </c>
      <c r="W1438" t="s">
        <v>55</v>
      </c>
      <c r="X1438" s="4"/>
      <c r="Z1438" s="3"/>
      <c r="AB1438" s="3"/>
      <c r="AE1438" s="3"/>
      <c r="AK1438" s="5"/>
    </row>
    <row r="1439" spans="1:37" x14ac:dyDescent="0.25">
      <c r="A1439" t="s">
        <v>47</v>
      </c>
      <c r="B1439" s="1">
        <v>38229</v>
      </c>
      <c r="C1439" t="s">
        <v>48</v>
      </c>
      <c r="D1439" t="s">
        <v>49</v>
      </c>
      <c r="E1439" s="2">
        <v>45971</v>
      </c>
      <c r="F1439" t="s">
        <v>393</v>
      </c>
      <c r="G1439" t="s">
        <v>51</v>
      </c>
      <c r="H1439" s="3">
        <v>26970</v>
      </c>
      <c r="I1439" s="3">
        <v>26970</v>
      </c>
      <c r="J1439">
        <v>0</v>
      </c>
      <c r="K1439" s="3">
        <v>30351</v>
      </c>
      <c r="L1439" s="3">
        <v>4348</v>
      </c>
      <c r="M1439" s="3">
        <v>1695.72</v>
      </c>
      <c r="N1439" t="s">
        <v>52</v>
      </c>
      <c r="O1439" t="s">
        <v>53</v>
      </c>
      <c r="P1439" t="s">
        <v>53</v>
      </c>
      <c r="Q1439" t="s">
        <v>53</v>
      </c>
      <c r="R1439" t="s">
        <v>54</v>
      </c>
      <c r="S1439" t="s">
        <v>54</v>
      </c>
      <c r="T1439" t="s">
        <v>55</v>
      </c>
      <c r="U1439">
        <v>126</v>
      </c>
      <c r="V1439" t="s">
        <v>56</v>
      </c>
      <c r="W1439" t="s">
        <v>164</v>
      </c>
      <c r="X1439" s="4">
        <v>0</v>
      </c>
      <c r="Y1439" t="s">
        <v>62</v>
      </c>
    </row>
    <row r="1440" spans="1:37" x14ac:dyDescent="0.25">
      <c r="A1440" t="s">
        <v>63</v>
      </c>
      <c r="B1440" s="1">
        <v>4348</v>
      </c>
      <c r="C1440">
        <v>0</v>
      </c>
      <c r="D1440">
        <v>0</v>
      </c>
      <c r="E1440" s="2">
        <v>0</v>
      </c>
      <c r="F1440">
        <v>0</v>
      </c>
      <c r="G1440" s="3">
        <v>10003</v>
      </c>
      <c r="H1440" s="3" t="s">
        <v>54</v>
      </c>
      <c r="I1440" s="3" t="s">
        <v>59</v>
      </c>
      <c r="K1440" s="3" t="s">
        <v>60</v>
      </c>
      <c r="L1440" t="s">
        <v>73</v>
      </c>
      <c r="M1440" s="3">
        <v>45994.637013888889</v>
      </c>
      <c r="Q1440" t="s">
        <v>54</v>
      </c>
      <c r="R1440">
        <v>0</v>
      </c>
      <c r="T1440" t="s">
        <v>54</v>
      </c>
      <c r="U1440" t="s">
        <v>54</v>
      </c>
      <c r="V1440">
        <v>8333</v>
      </c>
      <c r="W1440" t="s">
        <v>55</v>
      </c>
      <c r="X1440" s="4"/>
    </row>
    <row r="1441" spans="1:47" x14ac:dyDescent="0.25">
      <c r="A1441" t="s">
        <v>47</v>
      </c>
      <c r="B1441" s="1">
        <v>38230</v>
      </c>
      <c r="C1441" t="s">
        <v>48</v>
      </c>
      <c r="D1441" t="s">
        <v>49</v>
      </c>
      <c r="E1441" s="2">
        <v>45971</v>
      </c>
      <c r="F1441" t="s">
        <v>206</v>
      </c>
      <c r="G1441" t="s">
        <v>124</v>
      </c>
      <c r="H1441" s="3">
        <v>15936.39</v>
      </c>
      <c r="I1441" s="3">
        <v>15936.39</v>
      </c>
      <c r="J1441">
        <v>0</v>
      </c>
      <c r="K1441" s="3">
        <v>18326.849999999999</v>
      </c>
      <c r="L1441" s="3">
        <v>1928.16</v>
      </c>
      <c r="M1441" s="3">
        <v>1178.53</v>
      </c>
      <c r="N1441" t="s">
        <v>75</v>
      </c>
      <c r="O1441" t="s">
        <v>53</v>
      </c>
      <c r="P1441" t="s">
        <v>53</v>
      </c>
      <c r="Q1441" t="s">
        <v>53</v>
      </c>
      <c r="R1441" t="s">
        <v>54</v>
      </c>
      <c r="S1441" t="s">
        <v>54</v>
      </c>
      <c r="T1441" t="s">
        <v>55</v>
      </c>
      <c r="U1441">
        <v>43</v>
      </c>
      <c r="W1441" t="s">
        <v>72</v>
      </c>
      <c r="X1441" s="4">
        <v>0</v>
      </c>
      <c r="Y1441" t="s">
        <v>58</v>
      </c>
      <c r="Z1441">
        <v>0</v>
      </c>
      <c r="AA1441">
        <v>0</v>
      </c>
      <c r="AB1441" s="3">
        <v>1928.16</v>
      </c>
      <c r="AC1441">
        <v>0</v>
      </c>
      <c r="AD1441">
        <v>0</v>
      </c>
      <c r="AE1441" s="3">
        <v>1587</v>
      </c>
      <c r="AF1441" t="s">
        <v>54</v>
      </c>
      <c r="AG1441" t="s">
        <v>59</v>
      </c>
      <c r="AI1441" t="s">
        <v>73</v>
      </c>
      <c r="AJ1441" t="s">
        <v>73</v>
      </c>
      <c r="AK1441" s="5">
        <v>45971.559120370373</v>
      </c>
      <c r="AO1441" t="s">
        <v>54</v>
      </c>
      <c r="AP1441">
        <v>0</v>
      </c>
      <c r="AR1441" t="s">
        <v>54</v>
      </c>
      <c r="AS1441" t="s">
        <v>54</v>
      </c>
      <c r="AT1441">
        <v>4694</v>
      </c>
      <c r="AU1441" t="s">
        <v>55</v>
      </c>
    </row>
    <row r="1442" spans="1:47" x14ac:dyDescent="0.25">
      <c r="A1442" t="s">
        <v>47</v>
      </c>
      <c r="B1442" s="1">
        <v>38231</v>
      </c>
      <c r="C1442" t="s">
        <v>48</v>
      </c>
      <c r="D1442" t="s">
        <v>49</v>
      </c>
      <c r="E1442" s="2">
        <v>45971</v>
      </c>
      <c r="F1442" t="s">
        <v>206</v>
      </c>
      <c r="G1442" t="s">
        <v>124</v>
      </c>
      <c r="H1442" s="3">
        <v>14460</v>
      </c>
      <c r="I1442" s="3">
        <v>14460</v>
      </c>
      <c r="J1442">
        <v>0</v>
      </c>
      <c r="K1442" s="3">
        <v>16629</v>
      </c>
      <c r="L1442" s="3">
        <v>1782</v>
      </c>
      <c r="M1442" s="3">
        <v>1069.2</v>
      </c>
      <c r="N1442" t="s">
        <v>75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43</v>
      </c>
      <c r="W1442" t="s">
        <v>72</v>
      </c>
      <c r="X1442" s="4">
        <v>0</v>
      </c>
      <c r="Y1442" t="s">
        <v>58</v>
      </c>
      <c r="Z1442">
        <v>0</v>
      </c>
      <c r="AA1442">
        <v>0</v>
      </c>
      <c r="AB1442" s="3">
        <v>1782</v>
      </c>
      <c r="AC1442">
        <v>0</v>
      </c>
      <c r="AD1442">
        <v>0</v>
      </c>
      <c r="AE1442" s="3">
        <v>1500</v>
      </c>
      <c r="AF1442" t="s">
        <v>54</v>
      </c>
      <c r="AG1442" t="s">
        <v>59</v>
      </c>
      <c r="AI1442" t="s">
        <v>73</v>
      </c>
      <c r="AJ1442" t="s">
        <v>73</v>
      </c>
      <c r="AK1442" s="5">
        <v>45971.573425925926</v>
      </c>
      <c r="AO1442" t="s">
        <v>54</v>
      </c>
      <c r="AP1442">
        <v>0</v>
      </c>
      <c r="AR1442" t="s">
        <v>54</v>
      </c>
      <c r="AS1442" t="s">
        <v>54</v>
      </c>
      <c r="AT1442">
        <v>4694</v>
      </c>
      <c r="AU1442" t="s">
        <v>55</v>
      </c>
    </row>
    <row r="1443" spans="1:47" x14ac:dyDescent="0.25">
      <c r="A1443" t="s">
        <v>81</v>
      </c>
      <c r="B1443" s="3">
        <v>38232</v>
      </c>
      <c r="C1443" t="s">
        <v>48</v>
      </c>
      <c r="D1443" t="s">
        <v>49</v>
      </c>
      <c r="E1443" s="2">
        <v>45971</v>
      </c>
      <c r="F1443" t="s">
        <v>132</v>
      </c>
      <c r="G1443" s="3" t="s">
        <v>87</v>
      </c>
      <c r="H1443" s="3">
        <v>9340</v>
      </c>
      <c r="I1443" s="3">
        <v>9340</v>
      </c>
      <c r="J1443">
        <v>0</v>
      </c>
      <c r="K1443" s="3">
        <v>9340</v>
      </c>
      <c r="L1443" s="3">
        <v>1638</v>
      </c>
      <c r="M1443" s="3">
        <v>941.85</v>
      </c>
      <c r="N1443" t="s">
        <v>77</v>
      </c>
      <c r="O1443" t="s">
        <v>53</v>
      </c>
      <c r="P1443" t="s">
        <v>53</v>
      </c>
      <c r="Q1443" t="s">
        <v>53</v>
      </c>
      <c r="R1443" t="s">
        <v>54</v>
      </c>
      <c r="S1443" t="s">
        <v>54</v>
      </c>
      <c r="T1443" t="s">
        <v>55</v>
      </c>
      <c r="U1443">
        <v>83</v>
      </c>
      <c r="V1443" t="s">
        <v>56</v>
      </c>
      <c r="W1443" t="s">
        <v>114</v>
      </c>
      <c r="X1443" s="4">
        <v>0</v>
      </c>
      <c r="Y1443" t="s">
        <v>58</v>
      </c>
      <c r="Z1443">
        <v>0</v>
      </c>
      <c r="AA1443">
        <v>0</v>
      </c>
      <c r="AB1443" s="3">
        <v>1638</v>
      </c>
      <c r="AC1443">
        <v>0</v>
      </c>
      <c r="AD1443">
        <v>0</v>
      </c>
      <c r="AE1443" s="3">
        <v>1000</v>
      </c>
      <c r="AF1443" t="s">
        <v>54</v>
      </c>
      <c r="AG1443" t="s">
        <v>59</v>
      </c>
      <c r="AI1443" t="s">
        <v>80</v>
      </c>
      <c r="AJ1443" t="s">
        <v>73</v>
      </c>
      <c r="AK1443" s="5">
        <v>45971.678333333337</v>
      </c>
      <c r="AO1443" t="s">
        <v>54</v>
      </c>
      <c r="AP1443">
        <v>0</v>
      </c>
      <c r="AR1443" t="s">
        <v>54</v>
      </c>
      <c r="AS1443" t="s">
        <v>54</v>
      </c>
      <c r="AT1443">
        <v>5289</v>
      </c>
      <c r="AU1443" t="s">
        <v>55</v>
      </c>
    </row>
    <row r="1444" spans="1:47" x14ac:dyDescent="0.25">
      <c r="A1444" t="s">
        <v>81</v>
      </c>
      <c r="B1444" s="1">
        <v>38233</v>
      </c>
      <c r="C1444" t="s">
        <v>48</v>
      </c>
      <c r="D1444" t="s">
        <v>49</v>
      </c>
      <c r="E1444" s="2">
        <v>45971</v>
      </c>
      <c r="F1444" t="s">
        <v>132</v>
      </c>
      <c r="G1444" t="s">
        <v>87</v>
      </c>
      <c r="H1444" s="3">
        <v>9340</v>
      </c>
      <c r="I1444" s="3">
        <v>9340</v>
      </c>
      <c r="J1444">
        <v>0</v>
      </c>
      <c r="K1444" s="3">
        <v>9340</v>
      </c>
      <c r="L1444" s="3">
        <v>1638</v>
      </c>
      <c r="M1444" s="3">
        <v>941.85</v>
      </c>
      <c r="N1444" t="s">
        <v>77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83</v>
      </c>
      <c r="V1444" t="s">
        <v>56</v>
      </c>
      <c r="W1444" t="s">
        <v>114</v>
      </c>
      <c r="X1444" s="4">
        <v>0</v>
      </c>
      <c r="Y1444" t="s">
        <v>58</v>
      </c>
      <c r="Z1444">
        <v>0</v>
      </c>
      <c r="AA1444">
        <v>0</v>
      </c>
      <c r="AB1444" s="3">
        <v>1638</v>
      </c>
      <c r="AC1444">
        <v>0</v>
      </c>
      <c r="AD1444">
        <v>0</v>
      </c>
      <c r="AE1444" s="3">
        <v>1000</v>
      </c>
      <c r="AF1444" t="s">
        <v>54</v>
      </c>
      <c r="AG1444" t="s">
        <v>59</v>
      </c>
      <c r="AI1444" t="s">
        <v>80</v>
      </c>
      <c r="AJ1444" t="s">
        <v>73</v>
      </c>
      <c r="AK1444" s="5">
        <v>45971.678530092591</v>
      </c>
      <c r="AO1444" t="s">
        <v>54</v>
      </c>
      <c r="AP1444">
        <v>0</v>
      </c>
      <c r="AR1444" t="s">
        <v>54</v>
      </c>
      <c r="AS1444" t="s">
        <v>54</v>
      </c>
      <c r="AT1444">
        <v>5289</v>
      </c>
      <c r="AU1444" t="s">
        <v>55</v>
      </c>
    </row>
    <row r="1445" spans="1:47" x14ac:dyDescent="0.25">
      <c r="A1445" t="s">
        <v>47</v>
      </c>
      <c r="B1445" s="3">
        <v>38235</v>
      </c>
      <c r="C1445" t="s">
        <v>48</v>
      </c>
      <c r="D1445" t="s">
        <v>49</v>
      </c>
      <c r="E1445" s="2">
        <v>45972</v>
      </c>
      <c r="F1445" t="s">
        <v>133</v>
      </c>
      <c r="G1445" s="3" t="s">
        <v>89</v>
      </c>
      <c r="H1445" s="3">
        <v>10630</v>
      </c>
      <c r="I1445" s="3">
        <v>10630</v>
      </c>
      <c r="J1445">
        <v>0</v>
      </c>
      <c r="K1445" s="3">
        <v>12224.5</v>
      </c>
      <c r="L1445" s="3">
        <v>1685</v>
      </c>
      <c r="M1445" s="3">
        <v>876.2</v>
      </c>
      <c r="N1445" t="s">
        <v>52</v>
      </c>
      <c r="O1445" t="s">
        <v>53</v>
      </c>
      <c r="P1445" t="s">
        <v>53</v>
      </c>
      <c r="Q1445" t="s">
        <v>53</v>
      </c>
      <c r="R1445" t="s">
        <v>54</v>
      </c>
      <c r="S1445" t="s">
        <v>54</v>
      </c>
      <c r="T1445" t="s">
        <v>55</v>
      </c>
      <c r="U1445">
        <v>126</v>
      </c>
      <c r="V1445" t="s">
        <v>56</v>
      </c>
      <c r="W1445" t="s">
        <v>134</v>
      </c>
      <c r="X1445" s="4">
        <v>0</v>
      </c>
      <c r="Y1445" t="s">
        <v>58</v>
      </c>
      <c r="Z1445">
        <v>0</v>
      </c>
      <c r="AA1445" s="3">
        <v>0</v>
      </c>
      <c r="AB1445">
        <v>0</v>
      </c>
      <c r="AC1445">
        <v>0</v>
      </c>
      <c r="AD1445" s="3">
        <v>1685</v>
      </c>
      <c r="AE1445" s="3">
        <v>1000</v>
      </c>
      <c r="AF1445" t="s">
        <v>54</v>
      </c>
      <c r="AG1445" t="s">
        <v>59</v>
      </c>
      <c r="AI1445" t="s">
        <v>92</v>
      </c>
      <c r="AJ1445" t="s">
        <v>92</v>
      </c>
      <c r="AK1445" s="5">
        <v>45972.591249999998</v>
      </c>
      <c r="AO1445" t="s">
        <v>54</v>
      </c>
      <c r="AP1445">
        <v>0</v>
      </c>
      <c r="AR1445" t="s">
        <v>54</v>
      </c>
      <c r="AS1445" t="s">
        <v>54</v>
      </c>
      <c r="AT1445">
        <v>6130</v>
      </c>
      <c r="AU1445" t="s">
        <v>55</v>
      </c>
    </row>
    <row r="1446" spans="1:47" x14ac:dyDescent="0.25">
      <c r="A1446" t="s">
        <v>96</v>
      </c>
      <c r="B1446" s="1">
        <v>38236</v>
      </c>
      <c r="C1446" t="s">
        <v>48</v>
      </c>
      <c r="D1446" t="s">
        <v>49</v>
      </c>
      <c r="E1446" s="2">
        <v>45972</v>
      </c>
      <c r="F1446" t="s">
        <v>285</v>
      </c>
      <c r="G1446" t="s">
        <v>217</v>
      </c>
      <c r="H1446" s="3">
        <v>10536</v>
      </c>
      <c r="I1446" s="3">
        <v>10536</v>
      </c>
      <c r="J1446">
        <v>0</v>
      </c>
      <c r="K1446" s="3">
        <v>10536</v>
      </c>
      <c r="L1446" s="3">
        <v>2190</v>
      </c>
      <c r="M1446" s="3">
        <v>854.1</v>
      </c>
      <c r="N1446" t="s">
        <v>98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167</v>
      </c>
      <c r="V1446" t="s">
        <v>146</v>
      </c>
      <c r="W1446" t="s">
        <v>286</v>
      </c>
      <c r="X1446" s="4">
        <v>0</v>
      </c>
      <c r="Y1446" t="s">
        <v>58</v>
      </c>
      <c r="Z1446" s="3">
        <v>2190</v>
      </c>
      <c r="AA1446">
        <v>0</v>
      </c>
      <c r="AB1446" s="3">
        <v>0</v>
      </c>
      <c r="AC1446">
        <v>0</v>
      </c>
      <c r="AD1446">
        <v>0</v>
      </c>
      <c r="AE1446" s="3">
        <v>6000</v>
      </c>
      <c r="AF1446" t="s">
        <v>54</v>
      </c>
      <c r="AG1446" t="s">
        <v>59</v>
      </c>
      <c r="AI1446" t="s">
        <v>92</v>
      </c>
      <c r="AJ1446" t="s">
        <v>92</v>
      </c>
      <c r="AK1446" s="5">
        <v>45972.601574074077</v>
      </c>
      <c r="AO1446" t="s">
        <v>54</v>
      </c>
      <c r="AP1446">
        <v>0</v>
      </c>
      <c r="AR1446" t="s">
        <v>54</v>
      </c>
      <c r="AS1446" t="s">
        <v>54</v>
      </c>
      <c r="AT1446">
        <v>5017</v>
      </c>
      <c r="AU1446" t="s">
        <v>55</v>
      </c>
    </row>
    <row r="1447" spans="1:47" x14ac:dyDescent="0.25">
      <c r="A1447" t="s">
        <v>47</v>
      </c>
      <c r="B1447" s="1">
        <v>38237</v>
      </c>
      <c r="C1447" t="s">
        <v>48</v>
      </c>
      <c r="D1447" t="s">
        <v>49</v>
      </c>
      <c r="E1447" s="2">
        <v>45972</v>
      </c>
      <c r="F1447" t="s">
        <v>280</v>
      </c>
      <c r="G1447" t="s">
        <v>51</v>
      </c>
      <c r="H1447" s="3">
        <v>7490</v>
      </c>
      <c r="I1447" s="3">
        <v>7490</v>
      </c>
      <c r="J1447">
        <v>0</v>
      </c>
      <c r="K1447" s="3">
        <v>7490</v>
      </c>
      <c r="L1447" s="3">
        <v>882</v>
      </c>
      <c r="M1447" s="3">
        <v>659.74</v>
      </c>
      <c r="N1447" t="s">
        <v>52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126</v>
      </c>
      <c r="V1447" t="s">
        <v>56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882</v>
      </c>
      <c r="AC1447">
        <v>0</v>
      </c>
      <c r="AD1447">
        <v>0</v>
      </c>
      <c r="AE1447" s="3">
        <v>1000</v>
      </c>
      <c r="AF1447" t="s">
        <v>54</v>
      </c>
      <c r="AG1447" t="s">
        <v>59</v>
      </c>
      <c r="AI1447" t="s">
        <v>60</v>
      </c>
      <c r="AJ1447" t="s">
        <v>60</v>
      </c>
      <c r="AK1447" s="5">
        <v>45982.697696759256</v>
      </c>
      <c r="AO1447" t="s">
        <v>54</v>
      </c>
      <c r="AP1447">
        <v>0</v>
      </c>
      <c r="AR1447" t="s">
        <v>54</v>
      </c>
      <c r="AS1447" t="s">
        <v>54</v>
      </c>
      <c r="AT1447">
        <v>6418</v>
      </c>
      <c r="AU1447" t="s">
        <v>55</v>
      </c>
    </row>
    <row r="1448" spans="1:47" x14ac:dyDescent="0.25">
      <c r="A1448" t="s">
        <v>47</v>
      </c>
      <c r="B1448" s="1">
        <v>38238</v>
      </c>
      <c r="C1448" t="s">
        <v>48</v>
      </c>
      <c r="D1448" t="s">
        <v>49</v>
      </c>
      <c r="E1448" s="2">
        <v>45973</v>
      </c>
      <c r="F1448" t="s">
        <v>74</v>
      </c>
      <c r="G1448" t="s">
        <v>51</v>
      </c>
      <c r="H1448" s="3">
        <v>9907</v>
      </c>
      <c r="I1448" s="3">
        <v>9907</v>
      </c>
      <c r="J1448">
        <v>0</v>
      </c>
      <c r="K1448" s="3">
        <v>11393.05</v>
      </c>
      <c r="L1448" s="3">
        <v>1065.2</v>
      </c>
      <c r="M1448" s="3">
        <v>660.42</v>
      </c>
      <c r="N1448" t="s">
        <v>75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43</v>
      </c>
      <c r="W1448" t="s">
        <v>72</v>
      </c>
      <c r="X1448" s="4">
        <v>0</v>
      </c>
      <c r="Y1448" t="s">
        <v>394</v>
      </c>
      <c r="AB1448" s="3"/>
      <c r="AD1448" s="3"/>
      <c r="AE1448" s="3"/>
      <c r="AK1448" s="5"/>
    </row>
    <row r="1449" spans="1:47" x14ac:dyDescent="0.25">
      <c r="A1449" t="s">
        <v>201</v>
      </c>
      <c r="B1449" s="1">
        <v>0</v>
      </c>
      <c r="C1449">
        <v>0</v>
      </c>
      <c r="D1449" s="3">
        <v>1065.2</v>
      </c>
      <c r="E1449" s="2">
        <v>0</v>
      </c>
      <c r="F1449">
        <v>0</v>
      </c>
      <c r="G1449">
        <v>700</v>
      </c>
      <c r="H1449" s="3" t="s">
        <v>54</v>
      </c>
      <c r="I1449" s="3" t="s">
        <v>59</v>
      </c>
      <c r="K1449" s="3" t="s">
        <v>92</v>
      </c>
      <c r="L1449" s="3" t="s">
        <v>92</v>
      </c>
      <c r="M1449" s="3">
        <v>45973.387546296297</v>
      </c>
      <c r="Q1449" t="s">
        <v>54</v>
      </c>
      <c r="R1449">
        <v>0</v>
      </c>
      <c r="T1449" t="s">
        <v>54</v>
      </c>
      <c r="U1449" t="s">
        <v>54</v>
      </c>
      <c r="V1449">
        <v>8469</v>
      </c>
      <c r="W1449" t="s">
        <v>55</v>
      </c>
      <c r="X1449" s="4"/>
      <c r="AB1449" s="3"/>
      <c r="AD1449" s="3"/>
      <c r="AE1449" s="3"/>
      <c r="AK1449" s="5"/>
    </row>
    <row r="1450" spans="1:47" x14ac:dyDescent="0.25">
      <c r="A1450" t="s">
        <v>81</v>
      </c>
      <c r="B1450" s="1">
        <v>38239</v>
      </c>
      <c r="C1450" t="s">
        <v>48</v>
      </c>
      <c r="D1450" t="s">
        <v>49</v>
      </c>
      <c r="E1450" s="2">
        <v>45973</v>
      </c>
      <c r="F1450" s="3" t="s">
        <v>132</v>
      </c>
      <c r="G1450" s="3" t="s">
        <v>87</v>
      </c>
      <c r="H1450" s="3">
        <v>9340</v>
      </c>
      <c r="I1450" s="3">
        <v>9340</v>
      </c>
      <c r="J1450">
        <v>0</v>
      </c>
      <c r="K1450" s="3">
        <v>9340</v>
      </c>
      <c r="L1450" s="3">
        <v>1638</v>
      </c>
      <c r="M1450" s="3">
        <v>941.85</v>
      </c>
      <c r="N1450" t="s">
        <v>77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83</v>
      </c>
      <c r="V1450" t="s">
        <v>56</v>
      </c>
      <c r="W1450" t="s">
        <v>114</v>
      </c>
      <c r="X1450" s="4">
        <v>0</v>
      </c>
      <c r="Y1450" t="s">
        <v>58</v>
      </c>
      <c r="Z1450">
        <v>0</v>
      </c>
      <c r="AA1450">
        <v>0</v>
      </c>
      <c r="AB1450" s="3">
        <v>1638</v>
      </c>
      <c r="AC1450">
        <v>0</v>
      </c>
      <c r="AD1450" s="3">
        <v>0</v>
      </c>
      <c r="AE1450" s="3">
        <v>1000</v>
      </c>
      <c r="AF1450" t="s">
        <v>54</v>
      </c>
      <c r="AG1450" t="s">
        <v>59</v>
      </c>
      <c r="AI1450" t="s">
        <v>80</v>
      </c>
      <c r="AJ1450" t="s">
        <v>73</v>
      </c>
      <c r="AK1450" s="5">
        <v>45973.441041666665</v>
      </c>
      <c r="AO1450" t="s">
        <v>54</v>
      </c>
      <c r="AP1450">
        <v>0</v>
      </c>
      <c r="AR1450" t="s">
        <v>54</v>
      </c>
      <c r="AS1450" t="s">
        <v>54</v>
      </c>
      <c r="AT1450">
        <v>5289</v>
      </c>
      <c r="AU1450" t="s">
        <v>55</v>
      </c>
    </row>
    <row r="1451" spans="1:47" x14ac:dyDescent="0.25">
      <c r="A1451" t="s">
        <v>47</v>
      </c>
      <c r="B1451" s="1">
        <v>38240</v>
      </c>
      <c r="C1451" t="s">
        <v>48</v>
      </c>
      <c r="D1451" s="3" t="s">
        <v>49</v>
      </c>
      <c r="E1451" s="2">
        <v>45973</v>
      </c>
      <c r="F1451" t="s">
        <v>252</v>
      </c>
      <c r="G1451" s="3" t="s">
        <v>69</v>
      </c>
      <c r="H1451" s="3">
        <v>8980</v>
      </c>
      <c r="I1451" s="3">
        <v>8980</v>
      </c>
      <c r="J1451">
        <v>0</v>
      </c>
      <c r="K1451" s="3">
        <v>10327</v>
      </c>
      <c r="L1451" s="3">
        <v>1590</v>
      </c>
      <c r="M1451" s="3">
        <v>732.99</v>
      </c>
      <c r="N1451" t="s">
        <v>84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9</v>
      </c>
      <c r="V1451" t="s">
        <v>71</v>
      </c>
      <c r="W1451" t="s">
        <v>95</v>
      </c>
      <c r="X1451" s="4">
        <v>0</v>
      </c>
      <c r="Y1451" t="s">
        <v>58</v>
      </c>
      <c r="Z1451" s="3">
        <v>0</v>
      </c>
      <c r="AA1451" s="3">
        <v>1590</v>
      </c>
      <c r="AB1451">
        <v>0</v>
      </c>
      <c r="AC1451">
        <v>0</v>
      </c>
      <c r="AD1451">
        <v>0</v>
      </c>
      <c r="AE1451" s="3">
        <v>2000</v>
      </c>
      <c r="AF1451" t="s">
        <v>54</v>
      </c>
      <c r="AG1451" t="s">
        <v>59</v>
      </c>
      <c r="AI1451" t="s">
        <v>73</v>
      </c>
      <c r="AJ1451" t="s">
        <v>73</v>
      </c>
      <c r="AK1451" s="5">
        <v>45973.543888888889</v>
      </c>
      <c r="AO1451" t="s">
        <v>54</v>
      </c>
      <c r="AP1451">
        <v>0</v>
      </c>
      <c r="AR1451" t="s">
        <v>54</v>
      </c>
      <c r="AS1451" t="s">
        <v>54</v>
      </c>
      <c r="AT1451">
        <v>3723</v>
      </c>
      <c r="AU1451" t="s">
        <v>55</v>
      </c>
    </row>
    <row r="1452" spans="1:47" x14ac:dyDescent="0.25">
      <c r="A1452" t="s">
        <v>81</v>
      </c>
      <c r="B1452" s="1">
        <v>38241</v>
      </c>
      <c r="C1452" t="s">
        <v>48</v>
      </c>
      <c r="D1452" t="s">
        <v>49</v>
      </c>
      <c r="E1452" s="2">
        <v>45973</v>
      </c>
      <c r="F1452" t="s">
        <v>132</v>
      </c>
      <c r="G1452" s="3" t="s">
        <v>87</v>
      </c>
      <c r="H1452" s="3">
        <v>7530</v>
      </c>
      <c r="I1452" s="3">
        <v>7530</v>
      </c>
      <c r="J1452">
        <v>0</v>
      </c>
      <c r="K1452" s="3">
        <v>7530</v>
      </c>
      <c r="L1452" s="3">
        <v>1322</v>
      </c>
      <c r="M1452" s="3">
        <v>760.15</v>
      </c>
      <c r="N1452" t="s">
        <v>77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83</v>
      </c>
      <c r="V1452" t="s">
        <v>56</v>
      </c>
      <c r="W1452" t="s">
        <v>114</v>
      </c>
      <c r="X1452" s="4">
        <v>0</v>
      </c>
      <c r="Y1452" t="s">
        <v>58</v>
      </c>
      <c r="Z1452">
        <v>0</v>
      </c>
      <c r="AA1452">
        <v>0</v>
      </c>
      <c r="AB1452" s="3">
        <v>1322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80</v>
      </c>
      <c r="AJ1452" t="s">
        <v>73</v>
      </c>
      <c r="AK1452" s="5">
        <v>45973.441192129627</v>
      </c>
      <c r="AO1452" t="s">
        <v>54</v>
      </c>
      <c r="AP1452">
        <v>0</v>
      </c>
      <c r="AR1452" t="s">
        <v>54</v>
      </c>
      <c r="AS1452" t="s">
        <v>54</v>
      </c>
      <c r="AT1452">
        <v>5289</v>
      </c>
      <c r="AU1452" t="s">
        <v>55</v>
      </c>
    </row>
    <row r="1453" spans="1:47" x14ac:dyDescent="0.25">
      <c r="A1453" t="s">
        <v>47</v>
      </c>
      <c r="B1453" s="1">
        <v>38242</v>
      </c>
      <c r="C1453" t="s">
        <v>48</v>
      </c>
      <c r="D1453" t="s">
        <v>49</v>
      </c>
      <c r="E1453" s="2">
        <v>45973</v>
      </c>
      <c r="F1453" t="s">
        <v>179</v>
      </c>
      <c r="G1453" t="s">
        <v>94</v>
      </c>
      <c r="H1453" s="3">
        <v>2612</v>
      </c>
      <c r="I1453" s="3">
        <v>2612</v>
      </c>
      <c r="J1453">
        <v>0</v>
      </c>
      <c r="K1453" s="3">
        <v>3003.8</v>
      </c>
      <c r="L1453" s="3">
        <v>223.3</v>
      </c>
      <c r="M1453" s="3">
        <v>138.44999999999999</v>
      </c>
      <c r="N1453" t="s">
        <v>98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167</v>
      </c>
      <c r="V1453" t="s">
        <v>99</v>
      </c>
      <c r="W1453" t="s">
        <v>107</v>
      </c>
      <c r="X1453" s="4">
        <v>0</v>
      </c>
      <c r="Y1453" t="s">
        <v>62</v>
      </c>
    </row>
    <row r="1454" spans="1:47" x14ac:dyDescent="0.25">
      <c r="A1454" t="s">
        <v>63</v>
      </c>
      <c r="B1454" s="1">
        <v>0</v>
      </c>
      <c r="C1454">
        <v>0</v>
      </c>
      <c r="D1454" s="3">
        <v>223.3</v>
      </c>
      <c r="E1454" s="2">
        <v>0</v>
      </c>
      <c r="F1454" s="3">
        <v>0</v>
      </c>
      <c r="G1454">
        <v>100</v>
      </c>
      <c r="H1454" s="3" t="s">
        <v>54</v>
      </c>
      <c r="I1454" s="3" t="s">
        <v>59</v>
      </c>
      <c r="J1454" t="s">
        <v>144</v>
      </c>
      <c r="K1454" s="3" t="s">
        <v>73</v>
      </c>
      <c r="L1454" s="3" t="s">
        <v>73</v>
      </c>
      <c r="M1454" s="3">
        <v>45973.439166666663</v>
      </c>
      <c r="Q1454" t="s">
        <v>54</v>
      </c>
      <c r="R1454">
        <v>0</v>
      </c>
      <c r="T1454" t="s">
        <v>54</v>
      </c>
      <c r="U1454" t="s">
        <v>54</v>
      </c>
      <c r="V1454">
        <v>5509</v>
      </c>
      <c r="W1454" t="s">
        <v>55</v>
      </c>
      <c r="X1454" s="4"/>
      <c r="Z1454" s="3"/>
      <c r="AE1454" s="3"/>
      <c r="AK1454" s="5"/>
    </row>
    <row r="1455" spans="1:47" x14ac:dyDescent="0.25">
      <c r="A1455" t="s">
        <v>47</v>
      </c>
      <c r="B1455" s="1">
        <v>38244</v>
      </c>
      <c r="C1455" t="s">
        <v>48</v>
      </c>
      <c r="D1455" t="s">
        <v>49</v>
      </c>
      <c r="E1455" s="2">
        <v>45973</v>
      </c>
      <c r="F1455" t="s">
        <v>395</v>
      </c>
      <c r="G1455" t="s">
        <v>94</v>
      </c>
      <c r="H1455" s="3">
        <v>296.60000000000002</v>
      </c>
      <c r="I1455" s="3">
        <v>296.60000000000002</v>
      </c>
      <c r="J1455">
        <v>0</v>
      </c>
      <c r="K1455" s="3">
        <v>341.09</v>
      </c>
      <c r="L1455" s="3">
        <v>26.74</v>
      </c>
      <c r="M1455" s="3">
        <v>9.81</v>
      </c>
      <c r="N1455" t="s">
        <v>98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167</v>
      </c>
      <c r="V1455" t="s">
        <v>146</v>
      </c>
      <c r="W1455" t="s">
        <v>114</v>
      </c>
      <c r="X1455" s="4">
        <v>0</v>
      </c>
      <c r="Y1455" t="s">
        <v>62</v>
      </c>
      <c r="AB1455" s="3"/>
      <c r="AE1455" s="3"/>
      <c r="AK1455" s="5"/>
    </row>
    <row r="1456" spans="1:47" x14ac:dyDescent="0.25">
      <c r="A1456" t="s">
        <v>63</v>
      </c>
      <c r="B1456" s="1">
        <v>26.74</v>
      </c>
      <c r="C1456">
        <v>0</v>
      </c>
      <c r="D1456">
        <v>0</v>
      </c>
      <c r="E1456" s="2">
        <v>0</v>
      </c>
      <c r="F1456">
        <v>0</v>
      </c>
      <c r="G1456" s="3">
        <v>100</v>
      </c>
      <c r="H1456" s="3" t="s">
        <v>54</v>
      </c>
      <c r="I1456" s="3" t="s">
        <v>59</v>
      </c>
      <c r="K1456" s="3" t="s">
        <v>73</v>
      </c>
      <c r="L1456" s="3" t="s">
        <v>73</v>
      </c>
      <c r="M1456" s="3">
        <v>45973.456712962965</v>
      </c>
      <c r="Q1456" t="s">
        <v>54</v>
      </c>
      <c r="R1456">
        <v>0</v>
      </c>
      <c r="T1456" t="s">
        <v>54</v>
      </c>
      <c r="U1456" t="s">
        <v>54</v>
      </c>
      <c r="V1456">
        <v>8629</v>
      </c>
      <c r="W1456" t="s">
        <v>55</v>
      </c>
      <c r="X1456" s="4"/>
      <c r="AA1456" s="3"/>
      <c r="AE1456" s="3"/>
      <c r="AK1456" s="5"/>
    </row>
    <row r="1457" spans="1:47" x14ac:dyDescent="0.25">
      <c r="A1457" t="s">
        <v>81</v>
      </c>
      <c r="B1457" s="1">
        <v>38247</v>
      </c>
      <c r="C1457" t="s">
        <v>48</v>
      </c>
      <c r="D1457" t="s">
        <v>49</v>
      </c>
      <c r="E1457" s="2">
        <v>45973</v>
      </c>
      <c r="F1457" t="s">
        <v>156</v>
      </c>
      <c r="G1457" t="s">
        <v>157</v>
      </c>
      <c r="H1457" s="3">
        <v>10878</v>
      </c>
      <c r="I1457" s="3">
        <v>10878</v>
      </c>
      <c r="J1457">
        <v>0</v>
      </c>
      <c r="K1457" s="3">
        <v>10878</v>
      </c>
      <c r="L1457" s="3">
        <v>2248.15</v>
      </c>
      <c r="M1457" s="3">
        <v>876.78</v>
      </c>
      <c r="N1457" t="s">
        <v>98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167</v>
      </c>
      <c r="V1457" t="s">
        <v>99</v>
      </c>
      <c r="W1457" t="s">
        <v>134</v>
      </c>
      <c r="X1457" s="4">
        <v>0</v>
      </c>
      <c r="Y1457" t="s">
        <v>201</v>
      </c>
      <c r="Z1457" s="3">
        <v>2248.15</v>
      </c>
      <c r="AA1457">
        <v>0</v>
      </c>
      <c r="AB1457" s="3">
        <v>0</v>
      </c>
      <c r="AC1457">
        <v>0</v>
      </c>
      <c r="AD1457">
        <v>0</v>
      </c>
      <c r="AE1457" s="3">
        <v>1050</v>
      </c>
      <c r="AF1457" t="s">
        <v>54</v>
      </c>
      <c r="AG1457" t="s">
        <v>59</v>
      </c>
      <c r="AI1457" t="s">
        <v>73</v>
      </c>
      <c r="AJ1457" t="s">
        <v>92</v>
      </c>
      <c r="AK1457" s="5">
        <v>45978.357592592591</v>
      </c>
      <c r="AO1457" t="s">
        <v>54</v>
      </c>
      <c r="AP1457">
        <v>0</v>
      </c>
      <c r="AR1457" t="s">
        <v>54</v>
      </c>
      <c r="AS1457" t="s">
        <v>54</v>
      </c>
      <c r="AT1457">
        <v>8561</v>
      </c>
      <c r="AU1457" t="s">
        <v>55</v>
      </c>
    </row>
    <row r="1458" spans="1:47" x14ac:dyDescent="0.25">
      <c r="A1458" t="s">
        <v>47</v>
      </c>
      <c r="B1458" s="1">
        <v>38248</v>
      </c>
      <c r="C1458" t="s">
        <v>48</v>
      </c>
      <c r="D1458" t="s">
        <v>49</v>
      </c>
      <c r="E1458" s="2">
        <v>45973</v>
      </c>
      <c r="F1458" t="s">
        <v>108</v>
      </c>
      <c r="G1458" s="3" t="s">
        <v>109</v>
      </c>
      <c r="H1458" s="3">
        <v>101870</v>
      </c>
      <c r="I1458" s="3">
        <v>101870</v>
      </c>
      <c r="J1458">
        <v>0</v>
      </c>
      <c r="K1458" s="3">
        <v>101870</v>
      </c>
      <c r="L1458" s="3">
        <v>12437</v>
      </c>
      <c r="M1458" s="3">
        <v>7536.82</v>
      </c>
      <c r="N1458" t="s">
        <v>84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9</v>
      </c>
      <c r="V1458" t="s">
        <v>56</v>
      </c>
      <c r="W1458" t="s">
        <v>110</v>
      </c>
      <c r="X1458" s="4">
        <v>0</v>
      </c>
      <c r="Y1458" t="s">
        <v>58</v>
      </c>
      <c r="Z1458" s="3">
        <v>0</v>
      </c>
      <c r="AA1458">
        <v>0</v>
      </c>
      <c r="AB1458" s="3">
        <v>12437</v>
      </c>
      <c r="AC1458">
        <v>0</v>
      </c>
      <c r="AD1458">
        <v>0</v>
      </c>
      <c r="AE1458" s="3">
        <v>11000</v>
      </c>
      <c r="AF1458" t="s">
        <v>54</v>
      </c>
      <c r="AG1458" t="s">
        <v>59</v>
      </c>
      <c r="AI1458" t="s">
        <v>92</v>
      </c>
      <c r="AJ1458" t="s">
        <v>92</v>
      </c>
      <c r="AK1458" s="5">
        <v>45973.493263888886</v>
      </c>
      <c r="AO1458" t="s">
        <v>54</v>
      </c>
      <c r="AP1458">
        <v>0</v>
      </c>
      <c r="AR1458" t="s">
        <v>54</v>
      </c>
      <c r="AS1458" t="s">
        <v>54</v>
      </c>
      <c r="AT1458">
        <v>3124</v>
      </c>
      <c r="AU1458" t="s">
        <v>55</v>
      </c>
    </row>
    <row r="1459" spans="1:47" x14ac:dyDescent="0.25">
      <c r="A1459" t="s">
        <v>47</v>
      </c>
      <c r="B1459" s="1">
        <v>38249</v>
      </c>
      <c r="C1459" t="s">
        <v>48</v>
      </c>
      <c r="D1459" s="3" t="s">
        <v>49</v>
      </c>
      <c r="E1459" s="2">
        <v>45973</v>
      </c>
      <c r="F1459" t="s">
        <v>227</v>
      </c>
      <c r="G1459" s="3" t="s">
        <v>89</v>
      </c>
      <c r="H1459" s="3">
        <v>4290</v>
      </c>
      <c r="I1459" s="3">
        <v>4290</v>
      </c>
      <c r="J1459">
        <v>0</v>
      </c>
      <c r="K1459" s="3">
        <v>4933.5</v>
      </c>
      <c r="L1459" s="3">
        <v>1200</v>
      </c>
      <c r="M1459" s="3">
        <v>390</v>
      </c>
      <c r="N1459" t="s">
        <v>52</v>
      </c>
      <c r="O1459" t="s">
        <v>53</v>
      </c>
      <c r="P1459" t="s">
        <v>53</v>
      </c>
      <c r="Q1459" t="s">
        <v>53</v>
      </c>
      <c r="R1459" t="s">
        <v>54</v>
      </c>
      <c r="S1459" t="s">
        <v>54</v>
      </c>
      <c r="T1459" t="s">
        <v>55</v>
      </c>
      <c r="U1459">
        <v>126</v>
      </c>
      <c r="V1459" t="s">
        <v>56</v>
      </c>
      <c r="W1459" t="s">
        <v>72</v>
      </c>
      <c r="X1459" s="4">
        <v>0</v>
      </c>
      <c r="Y1459" t="s">
        <v>62</v>
      </c>
      <c r="Z1459" s="3"/>
      <c r="AD1459" s="3"/>
      <c r="AE1459" s="3"/>
      <c r="AK1459" s="5"/>
    </row>
    <row r="1460" spans="1:47" x14ac:dyDescent="0.25">
      <c r="A1460" t="s">
        <v>63</v>
      </c>
      <c r="B1460" s="1">
        <v>1200</v>
      </c>
      <c r="C1460">
        <v>0</v>
      </c>
      <c r="D1460">
        <v>0</v>
      </c>
      <c r="E1460" s="2">
        <v>0</v>
      </c>
      <c r="F1460">
        <v>0</v>
      </c>
      <c r="G1460" s="3">
        <v>1000</v>
      </c>
      <c r="H1460" s="3" t="s">
        <v>54</v>
      </c>
      <c r="I1460" s="3" t="s">
        <v>59</v>
      </c>
      <c r="J1460" t="s">
        <v>149</v>
      </c>
      <c r="K1460" s="3" t="s">
        <v>60</v>
      </c>
      <c r="L1460" t="s">
        <v>60</v>
      </c>
      <c r="M1460" s="3">
        <v>45973.496342592596</v>
      </c>
      <c r="Q1460" t="s">
        <v>54</v>
      </c>
      <c r="R1460">
        <v>0</v>
      </c>
      <c r="T1460" t="s">
        <v>54</v>
      </c>
      <c r="U1460" t="s">
        <v>54</v>
      </c>
      <c r="V1460">
        <v>7833</v>
      </c>
      <c r="W1460" t="s">
        <v>55</v>
      </c>
      <c r="X1460" s="4"/>
      <c r="AK1460" s="5"/>
    </row>
    <row r="1461" spans="1:47" x14ac:dyDescent="0.25">
      <c r="A1461" t="s">
        <v>47</v>
      </c>
      <c r="B1461" s="1">
        <v>38250</v>
      </c>
      <c r="C1461" t="s">
        <v>48</v>
      </c>
      <c r="D1461" t="s">
        <v>49</v>
      </c>
      <c r="E1461" s="2">
        <v>45973</v>
      </c>
      <c r="F1461" t="s">
        <v>396</v>
      </c>
      <c r="G1461" t="s">
        <v>89</v>
      </c>
      <c r="H1461" s="3">
        <v>11920</v>
      </c>
      <c r="I1461" s="3">
        <v>11920</v>
      </c>
      <c r="J1461">
        <v>0</v>
      </c>
      <c r="K1461" s="3">
        <v>11920</v>
      </c>
      <c r="L1461" s="3">
        <v>2468</v>
      </c>
      <c r="M1461" s="3">
        <v>962.52</v>
      </c>
      <c r="N1461" t="s">
        <v>52</v>
      </c>
      <c r="O1461" t="s">
        <v>53</v>
      </c>
      <c r="P1461" t="s">
        <v>53</v>
      </c>
      <c r="Q1461" t="s">
        <v>53</v>
      </c>
      <c r="R1461" t="s">
        <v>54</v>
      </c>
      <c r="S1461" t="s">
        <v>54</v>
      </c>
      <c r="T1461" t="s">
        <v>55</v>
      </c>
      <c r="U1461">
        <v>126</v>
      </c>
      <c r="V1461" t="s">
        <v>56</v>
      </c>
      <c r="W1461" t="s">
        <v>336</v>
      </c>
      <c r="X1461" s="4">
        <v>0</v>
      </c>
      <c r="Y1461" t="s">
        <v>62</v>
      </c>
    </row>
    <row r="1462" spans="1:47" x14ac:dyDescent="0.25">
      <c r="A1462" t="s">
        <v>63</v>
      </c>
      <c r="B1462" s="1">
        <v>2468</v>
      </c>
      <c r="C1462">
        <v>0</v>
      </c>
      <c r="D1462">
        <v>0</v>
      </c>
      <c r="E1462" s="2">
        <v>0</v>
      </c>
      <c r="F1462">
        <v>0</v>
      </c>
      <c r="G1462" s="3">
        <v>4000</v>
      </c>
      <c r="H1462" s="3" t="s">
        <v>54</v>
      </c>
      <c r="I1462" s="3" t="s">
        <v>59</v>
      </c>
      <c r="K1462" s="3" t="s">
        <v>60</v>
      </c>
      <c r="L1462" s="3" t="s">
        <v>60</v>
      </c>
      <c r="M1462" s="3">
        <v>45973.502268518518</v>
      </c>
      <c r="Q1462" t="s">
        <v>54</v>
      </c>
      <c r="R1462">
        <v>0</v>
      </c>
      <c r="T1462" t="s">
        <v>54</v>
      </c>
      <c r="U1462" t="s">
        <v>54</v>
      </c>
      <c r="V1462">
        <v>1111</v>
      </c>
      <c r="W1462" t="s">
        <v>55</v>
      </c>
      <c r="X1462" s="4"/>
      <c r="Z1462" s="3"/>
      <c r="AE1462" s="3"/>
      <c r="AK1462" s="5"/>
    </row>
    <row r="1463" spans="1:47" x14ac:dyDescent="0.25">
      <c r="A1463" t="s">
        <v>47</v>
      </c>
      <c r="B1463" s="1">
        <v>38251</v>
      </c>
      <c r="C1463" t="s">
        <v>48</v>
      </c>
      <c r="D1463" t="s">
        <v>49</v>
      </c>
      <c r="E1463" s="2">
        <v>45973</v>
      </c>
      <c r="F1463" s="3" t="s">
        <v>397</v>
      </c>
      <c r="G1463" s="3" t="s">
        <v>69</v>
      </c>
      <c r="H1463" s="3">
        <v>15295.1</v>
      </c>
      <c r="I1463" s="3">
        <v>15295.1</v>
      </c>
      <c r="J1463">
        <v>0</v>
      </c>
      <c r="K1463" s="3">
        <v>17589.37</v>
      </c>
      <c r="L1463" s="3">
        <v>2229.16</v>
      </c>
      <c r="M1463" s="3">
        <v>1213.4100000000001</v>
      </c>
      <c r="N1463" t="s">
        <v>77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83</v>
      </c>
      <c r="W1463" t="s">
        <v>398</v>
      </c>
      <c r="X1463" s="4">
        <v>0</v>
      </c>
      <c r="Y1463" t="s">
        <v>62</v>
      </c>
      <c r="AB1463" s="3"/>
      <c r="AE1463" s="3"/>
      <c r="AK1463" s="5"/>
    </row>
    <row r="1464" spans="1:47" x14ac:dyDescent="0.25">
      <c r="A1464" t="s">
        <v>63</v>
      </c>
      <c r="B1464" s="1">
        <v>0</v>
      </c>
      <c r="C1464">
        <v>0</v>
      </c>
      <c r="D1464" s="3">
        <v>1578.16</v>
      </c>
      <c r="E1464" s="2">
        <v>0</v>
      </c>
      <c r="F1464">
        <v>651</v>
      </c>
      <c r="G1464" s="3">
        <v>2950</v>
      </c>
      <c r="H1464" s="3" t="s">
        <v>54</v>
      </c>
      <c r="I1464" s="3" t="s">
        <v>59</v>
      </c>
      <c r="J1464" t="s">
        <v>79</v>
      </c>
      <c r="K1464" s="3" t="s">
        <v>80</v>
      </c>
      <c r="L1464" s="3" t="s">
        <v>73</v>
      </c>
      <c r="M1464" s="3">
        <v>45973.670740740738</v>
      </c>
      <c r="Q1464" t="s">
        <v>54</v>
      </c>
      <c r="R1464">
        <v>0</v>
      </c>
      <c r="T1464" t="s">
        <v>54</v>
      </c>
      <c r="U1464" t="s">
        <v>54</v>
      </c>
      <c r="V1464">
        <v>8725</v>
      </c>
      <c r="W1464" t="s">
        <v>55</v>
      </c>
      <c r="X1464" s="4"/>
    </row>
    <row r="1465" spans="1:47" x14ac:dyDescent="0.25">
      <c r="A1465" t="s">
        <v>47</v>
      </c>
      <c r="B1465" s="3">
        <v>38252</v>
      </c>
      <c r="C1465" t="s">
        <v>48</v>
      </c>
      <c r="D1465" t="s">
        <v>49</v>
      </c>
      <c r="E1465" s="2">
        <v>45973</v>
      </c>
      <c r="F1465" s="3" t="s">
        <v>148</v>
      </c>
      <c r="G1465" s="3" t="s">
        <v>89</v>
      </c>
      <c r="H1465" s="3">
        <v>33350</v>
      </c>
      <c r="I1465" s="3">
        <v>33350</v>
      </c>
      <c r="J1465">
        <v>0</v>
      </c>
      <c r="K1465" s="3">
        <v>38352.5</v>
      </c>
      <c r="L1465" s="3">
        <v>5057.5</v>
      </c>
      <c r="M1465" s="3">
        <v>3135.65</v>
      </c>
      <c r="N1465" t="s">
        <v>52</v>
      </c>
      <c r="O1465" t="s">
        <v>53</v>
      </c>
      <c r="P1465" t="s">
        <v>53</v>
      </c>
      <c r="Q1465" t="s">
        <v>53</v>
      </c>
      <c r="R1465" t="s">
        <v>54</v>
      </c>
      <c r="S1465" t="s">
        <v>54</v>
      </c>
      <c r="T1465" t="s">
        <v>55</v>
      </c>
      <c r="U1465">
        <v>126</v>
      </c>
      <c r="V1465" t="s">
        <v>56</v>
      </c>
      <c r="W1465" t="s">
        <v>95</v>
      </c>
      <c r="X1465" s="4">
        <v>0</v>
      </c>
      <c r="Y1465" t="s">
        <v>62</v>
      </c>
      <c r="AE1465" s="3"/>
      <c r="AK1465" s="5"/>
    </row>
    <row r="1466" spans="1:47" x14ac:dyDescent="0.25">
      <c r="A1466" t="s">
        <v>63</v>
      </c>
      <c r="B1466" s="1">
        <v>0</v>
      </c>
      <c r="C1466">
        <v>0</v>
      </c>
      <c r="D1466" s="3">
        <v>5057.5</v>
      </c>
      <c r="E1466" s="2">
        <v>0</v>
      </c>
      <c r="F1466">
        <v>0</v>
      </c>
      <c r="G1466" s="3">
        <v>2500</v>
      </c>
      <c r="H1466" s="3" t="s">
        <v>54</v>
      </c>
      <c r="I1466" s="3" t="s">
        <v>59</v>
      </c>
      <c r="K1466" s="3" t="s">
        <v>60</v>
      </c>
      <c r="L1466" s="3" t="s">
        <v>60</v>
      </c>
      <c r="M1466" s="3">
        <v>45979.611076388886</v>
      </c>
      <c r="Q1466" t="s">
        <v>54</v>
      </c>
      <c r="R1466">
        <v>0</v>
      </c>
      <c r="T1466" t="s">
        <v>54</v>
      </c>
      <c r="U1466" t="s">
        <v>54</v>
      </c>
      <c r="V1466">
        <v>8478</v>
      </c>
      <c r="W1466" t="s">
        <v>55</v>
      </c>
      <c r="X1466" s="4"/>
      <c r="AD1466" s="3"/>
      <c r="AE1466" s="3"/>
      <c r="AK1466" s="5"/>
    </row>
    <row r="1467" spans="1:47" x14ac:dyDescent="0.25">
      <c r="A1467" t="s">
        <v>47</v>
      </c>
      <c r="B1467" s="3">
        <v>38253</v>
      </c>
      <c r="C1467" t="s">
        <v>48</v>
      </c>
      <c r="D1467" t="s">
        <v>49</v>
      </c>
      <c r="E1467" s="2">
        <v>45974</v>
      </c>
      <c r="F1467" t="s">
        <v>101</v>
      </c>
      <c r="G1467" s="3" t="s">
        <v>94</v>
      </c>
      <c r="H1467" s="3">
        <v>79508</v>
      </c>
      <c r="I1467" s="3">
        <v>79508</v>
      </c>
      <c r="J1467">
        <v>0</v>
      </c>
      <c r="K1467" s="3">
        <v>91434.2</v>
      </c>
      <c r="L1467" s="3">
        <v>15134.2</v>
      </c>
      <c r="M1467" s="3">
        <v>6392.88</v>
      </c>
      <c r="N1467" t="s">
        <v>84</v>
      </c>
      <c r="O1467" t="s">
        <v>53</v>
      </c>
      <c r="P1467" t="s">
        <v>53</v>
      </c>
      <c r="Q1467" t="s">
        <v>53</v>
      </c>
      <c r="R1467" t="s">
        <v>54</v>
      </c>
      <c r="S1467" t="s">
        <v>54</v>
      </c>
      <c r="T1467" t="s">
        <v>55</v>
      </c>
      <c r="U1467">
        <v>9</v>
      </c>
      <c r="V1467" t="s">
        <v>71</v>
      </c>
      <c r="W1467" t="s">
        <v>102</v>
      </c>
      <c r="X1467" s="4">
        <v>0</v>
      </c>
      <c r="Y1467" t="s">
        <v>58</v>
      </c>
      <c r="Z1467" s="3">
        <v>11936</v>
      </c>
      <c r="AA1467">
        <v>0</v>
      </c>
      <c r="AB1467" s="3">
        <v>3198.2</v>
      </c>
      <c r="AC1467">
        <v>0</v>
      </c>
      <c r="AD1467" s="3">
        <v>0</v>
      </c>
      <c r="AE1467" s="3">
        <v>10200</v>
      </c>
      <c r="AF1467" t="s">
        <v>54</v>
      </c>
      <c r="AG1467" t="s">
        <v>59</v>
      </c>
      <c r="AH1467" t="s">
        <v>103</v>
      </c>
      <c r="AI1467" t="s">
        <v>73</v>
      </c>
      <c r="AJ1467" t="s">
        <v>73</v>
      </c>
      <c r="AK1467" s="5">
        <v>45974.402766203704</v>
      </c>
      <c r="AO1467" t="s">
        <v>54</v>
      </c>
      <c r="AP1467">
        <v>0</v>
      </c>
      <c r="AR1467" t="s">
        <v>54</v>
      </c>
      <c r="AS1467" t="s">
        <v>54</v>
      </c>
      <c r="AT1467">
        <v>161</v>
      </c>
      <c r="AU1467" t="s">
        <v>55</v>
      </c>
    </row>
    <row r="1468" spans="1:47" x14ac:dyDescent="0.25">
      <c r="A1468" t="s">
        <v>47</v>
      </c>
      <c r="B1468" s="1">
        <v>38254</v>
      </c>
      <c r="C1468" t="s">
        <v>48</v>
      </c>
      <c r="D1468" t="s">
        <v>49</v>
      </c>
      <c r="E1468" s="2">
        <v>45974</v>
      </c>
      <c r="F1468" t="s">
        <v>399</v>
      </c>
      <c r="G1468" t="s">
        <v>87</v>
      </c>
      <c r="H1468" s="3">
        <v>3422</v>
      </c>
      <c r="I1468" s="3">
        <v>3422</v>
      </c>
      <c r="J1468">
        <v>0</v>
      </c>
      <c r="K1468" s="3">
        <v>3935.3</v>
      </c>
      <c r="L1468" s="3">
        <v>216</v>
      </c>
      <c r="M1468" s="3">
        <v>123.87</v>
      </c>
      <c r="N1468" t="s">
        <v>52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126</v>
      </c>
      <c r="V1468" t="s">
        <v>56</v>
      </c>
      <c r="W1468" t="s">
        <v>72</v>
      </c>
      <c r="X1468" s="4">
        <v>0</v>
      </c>
      <c r="Y1468" t="s">
        <v>62</v>
      </c>
      <c r="AD1468" s="3"/>
      <c r="AE1468" s="3"/>
      <c r="AK1468" s="5"/>
    </row>
    <row r="1469" spans="1:47" x14ac:dyDescent="0.25">
      <c r="A1469" t="s">
        <v>63</v>
      </c>
      <c r="B1469" s="1">
        <v>20.399999999999999</v>
      </c>
      <c r="C1469">
        <v>0</v>
      </c>
      <c r="D1469" s="3">
        <v>195.6</v>
      </c>
      <c r="E1469" s="2">
        <v>0</v>
      </c>
      <c r="F1469">
        <v>0</v>
      </c>
      <c r="G1469" s="3">
        <v>300</v>
      </c>
      <c r="H1469" s="3" t="s">
        <v>54</v>
      </c>
      <c r="I1469" s="3" t="s">
        <v>59</v>
      </c>
      <c r="J1469" t="s">
        <v>400</v>
      </c>
      <c r="K1469" s="3" t="s">
        <v>60</v>
      </c>
      <c r="L1469" s="3" t="s">
        <v>60</v>
      </c>
      <c r="M1469" s="3">
        <v>45982.608900462961</v>
      </c>
      <c r="Q1469" t="s">
        <v>54</v>
      </c>
      <c r="R1469">
        <v>0</v>
      </c>
      <c r="T1469" t="s">
        <v>54</v>
      </c>
      <c r="U1469" t="s">
        <v>54</v>
      </c>
      <c r="V1469">
        <v>5827</v>
      </c>
      <c r="W1469" t="s">
        <v>55</v>
      </c>
      <c r="X1469" s="4"/>
      <c r="AD1469" s="3"/>
      <c r="AE1469" s="3"/>
      <c r="AK1469" s="5"/>
    </row>
    <row r="1470" spans="1:47" x14ac:dyDescent="0.25">
      <c r="A1470" t="s">
        <v>47</v>
      </c>
      <c r="B1470" s="1">
        <v>38255</v>
      </c>
      <c r="C1470" t="s">
        <v>48</v>
      </c>
      <c r="D1470" t="s">
        <v>49</v>
      </c>
      <c r="E1470" s="2">
        <v>45974</v>
      </c>
      <c r="F1470" t="s">
        <v>304</v>
      </c>
      <c r="G1470" t="s">
        <v>87</v>
      </c>
      <c r="H1470" s="3">
        <v>3816</v>
      </c>
      <c r="I1470" s="3">
        <v>3816</v>
      </c>
      <c r="J1470">
        <v>0</v>
      </c>
      <c r="K1470" s="3">
        <v>4388.3999999999996</v>
      </c>
      <c r="L1470" s="3">
        <v>522</v>
      </c>
      <c r="M1470" s="3">
        <v>323.64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178</v>
      </c>
      <c r="X1470" s="4">
        <v>0</v>
      </c>
      <c r="Y1470" t="s">
        <v>62</v>
      </c>
      <c r="AD1470" s="3"/>
      <c r="AE1470" s="3"/>
      <c r="AK1470" s="5"/>
    </row>
    <row r="1471" spans="1:47" x14ac:dyDescent="0.25">
      <c r="A1471" t="s">
        <v>63</v>
      </c>
      <c r="B1471" s="1">
        <v>0</v>
      </c>
      <c r="C1471">
        <v>0</v>
      </c>
      <c r="D1471" s="3">
        <v>522</v>
      </c>
      <c r="E1471" s="2">
        <v>0</v>
      </c>
      <c r="F1471">
        <v>0</v>
      </c>
      <c r="G1471" s="3">
        <v>300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45974.547303240739</v>
      </c>
      <c r="Q1471" t="s">
        <v>54</v>
      </c>
      <c r="R1471">
        <v>0</v>
      </c>
      <c r="T1471" t="s">
        <v>54</v>
      </c>
      <c r="U1471" t="s">
        <v>54</v>
      </c>
      <c r="V1471">
        <v>7376</v>
      </c>
      <c r="W1471" t="s">
        <v>55</v>
      </c>
      <c r="X1471" s="4"/>
      <c r="AD1471" s="3"/>
      <c r="AE1471" s="3"/>
      <c r="AK1471" s="5"/>
    </row>
    <row r="1472" spans="1:47" x14ac:dyDescent="0.25">
      <c r="A1472" t="s">
        <v>47</v>
      </c>
      <c r="B1472" s="1">
        <v>38256</v>
      </c>
      <c r="C1472" t="s">
        <v>48</v>
      </c>
      <c r="D1472" t="s">
        <v>49</v>
      </c>
      <c r="E1472" s="2">
        <v>45975</v>
      </c>
      <c r="F1472" t="s">
        <v>264</v>
      </c>
      <c r="G1472" s="3" t="s">
        <v>69</v>
      </c>
      <c r="H1472" s="3">
        <v>6132</v>
      </c>
      <c r="I1472" s="3">
        <v>6132</v>
      </c>
      <c r="J1472">
        <v>0</v>
      </c>
      <c r="K1472" s="3">
        <v>7051.8</v>
      </c>
      <c r="L1472" s="3">
        <v>993.6</v>
      </c>
      <c r="M1472" s="3">
        <v>458.05</v>
      </c>
      <c r="N1472" t="s">
        <v>84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72</v>
      </c>
      <c r="X1472" s="4">
        <v>0</v>
      </c>
      <c r="Y1472" t="s">
        <v>62</v>
      </c>
      <c r="Z1472" s="3"/>
      <c r="AB1472" s="3"/>
      <c r="AD1472" s="3"/>
      <c r="AE1472" s="3"/>
      <c r="AK1472" s="5"/>
    </row>
    <row r="1473" spans="1:47" x14ac:dyDescent="0.25">
      <c r="A1473" t="s">
        <v>63</v>
      </c>
      <c r="B1473" s="1">
        <v>0</v>
      </c>
      <c r="C1473">
        <v>993.6</v>
      </c>
      <c r="D1473">
        <v>0</v>
      </c>
      <c r="E1473" s="2">
        <v>0</v>
      </c>
      <c r="F1473">
        <v>0</v>
      </c>
      <c r="G1473" s="3">
        <v>1200</v>
      </c>
      <c r="H1473" s="3" t="s">
        <v>54</v>
      </c>
      <c r="I1473" s="3" t="s">
        <v>59</v>
      </c>
      <c r="K1473" s="3" t="s">
        <v>73</v>
      </c>
      <c r="L1473" s="3" t="s">
        <v>73</v>
      </c>
      <c r="M1473" s="3">
        <v>45978.41306712963</v>
      </c>
      <c r="Q1473" t="s">
        <v>54</v>
      </c>
      <c r="R1473">
        <v>0</v>
      </c>
      <c r="T1473" t="s">
        <v>54</v>
      </c>
      <c r="U1473" t="s">
        <v>54</v>
      </c>
      <c r="V1473">
        <v>4731</v>
      </c>
      <c r="W1473" t="s">
        <v>55</v>
      </c>
      <c r="X1473" s="4"/>
      <c r="AD1473" s="3"/>
      <c r="AE1473" s="3"/>
      <c r="AK1473" s="5"/>
    </row>
    <row r="1474" spans="1:47" x14ac:dyDescent="0.25">
      <c r="A1474" t="s">
        <v>47</v>
      </c>
      <c r="B1474" s="1">
        <v>38257</v>
      </c>
      <c r="C1474" t="s">
        <v>48</v>
      </c>
      <c r="D1474" t="s">
        <v>49</v>
      </c>
      <c r="E1474" s="2">
        <v>45975</v>
      </c>
      <c r="F1474" t="s">
        <v>193</v>
      </c>
      <c r="G1474" t="s">
        <v>194</v>
      </c>
      <c r="H1474" s="3">
        <v>4968</v>
      </c>
      <c r="I1474" s="3">
        <v>4968</v>
      </c>
      <c r="J1474">
        <v>0</v>
      </c>
      <c r="K1474" s="3">
        <v>4968</v>
      </c>
      <c r="L1474" s="3">
        <v>1024.2</v>
      </c>
      <c r="M1474" s="3">
        <v>375.88</v>
      </c>
      <c r="N1474" t="s">
        <v>52</v>
      </c>
      <c r="O1474" t="s">
        <v>53</v>
      </c>
      <c r="P1474" t="s">
        <v>53</v>
      </c>
      <c r="Q1474" t="s">
        <v>53</v>
      </c>
      <c r="R1474" t="s">
        <v>54</v>
      </c>
      <c r="S1474" t="s">
        <v>54</v>
      </c>
      <c r="T1474" t="s">
        <v>55</v>
      </c>
      <c r="U1474">
        <v>126</v>
      </c>
      <c r="W1474" t="s">
        <v>95</v>
      </c>
      <c r="X1474" s="4"/>
      <c r="Y1474" t="s">
        <v>62</v>
      </c>
      <c r="AD1474" s="3"/>
      <c r="AE1474" s="3"/>
      <c r="AK1474" s="5"/>
    </row>
    <row r="1475" spans="1:47" x14ac:dyDescent="0.25">
      <c r="A1475" t="s">
        <v>63</v>
      </c>
      <c r="B1475" s="1">
        <v>1024.2</v>
      </c>
      <c r="C1475">
        <v>0</v>
      </c>
      <c r="D1475">
        <v>0</v>
      </c>
      <c r="E1475" s="2">
        <v>0</v>
      </c>
      <c r="F1475">
        <v>0</v>
      </c>
      <c r="G1475" s="3">
        <v>1800</v>
      </c>
      <c r="H1475" s="3"/>
      <c r="I1475" s="3"/>
      <c r="K1475" s="3"/>
      <c r="L1475" s="3" t="s">
        <v>73</v>
      </c>
      <c r="M1475" s="3">
        <v>45975.634780092594</v>
      </c>
      <c r="Q1475" t="s">
        <v>54</v>
      </c>
      <c r="R1475">
        <v>0</v>
      </c>
      <c r="T1475" t="s">
        <v>54</v>
      </c>
      <c r="U1475" t="s">
        <v>54</v>
      </c>
      <c r="V1475">
        <v>8240</v>
      </c>
      <c r="W1475" t="s">
        <v>248</v>
      </c>
      <c r="X1475" s="4"/>
      <c r="AD1475" s="3"/>
      <c r="AE1475" s="3"/>
      <c r="AK1475" s="5"/>
    </row>
    <row r="1476" spans="1:47" x14ac:dyDescent="0.25">
      <c r="A1476" t="s">
        <v>47</v>
      </c>
      <c r="B1476" s="1">
        <v>38258</v>
      </c>
      <c r="C1476" t="s">
        <v>48</v>
      </c>
      <c r="D1476" t="s">
        <v>49</v>
      </c>
      <c r="E1476" s="2">
        <v>45978</v>
      </c>
      <c r="F1476" t="s">
        <v>50</v>
      </c>
      <c r="G1476" s="3" t="s">
        <v>51</v>
      </c>
      <c r="H1476" s="3">
        <v>5276</v>
      </c>
      <c r="I1476" s="3">
        <v>5276</v>
      </c>
      <c r="J1476">
        <v>0</v>
      </c>
      <c r="K1476" s="3">
        <v>6067.4</v>
      </c>
      <c r="L1476" s="3">
        <v>1029.5999999999999</v>
      </c>
      <c r="M1476" s="3">
        <v>401.54</v>
      </c>
      <c r="N1476" t="s">
        <v>52</v>
      </c>
      <c r="O1476" t="s">
        <v>53</v>
      </c>
      <c r="P1476" t="s">
        <v>53</v>
      </c>
      <c r="Q1476" t="s">
        <v>53</v>
      </c>
      <c r="R1476" t="s">
        <v>54</v>
      </c>
      <c r="S1476" t="s">
        <v>54</v>
      </c>
      <c r="T1476" t="s">
        <v>55</v>
      </c>
      <c r="U1476">
        <v>126</v>
      </c>
      <c r="V1476" t="s">
        <v>56</v>
      </c>
      <c r="W1476" t="s">
        <v>57</v>
      </c>
      <c r="X1476" s="4">
        <v>0</v>
      </c>
      <c r="Y1476" t="s">
        <v>58</v>
      </c>
      <c r="Z1476" s="3">
        <v>1029.5999999999999</v>
      </c>
      <c r="AA1476">
        <v>0</v>
      </c>
      <c r="AB1476">
        <v>0</v>
      </c>
      <c r="AC1476">
        <v>0</v>
      </c>
      <c r="AD1476" s="3">
        <v>0</v>
      </c>
      <c r="AE1476" s="3">
        <v>400</v>
      </c>
      <c r="AF1476" t="s">
        <v>54</v>
      </c>
      <c r="AG1476" t="s">
        <v>59</v>
      </c>
      <c r="AI1476" t="s">
        <v>73</v>
      </c>
      <c r="AJ1476" t="s">
        <v>73</v>
      </c>
      <c r="AK1476" s="5">
        <v>45978.641458333332</v>
      </c>
      <c r="AO1476" t="s">
        <v>54</v>
      </c>
      <c r="AP1476">
        <v>0</v>
      </c>
      <c r="AR1476" t="s">
        <v>54</v>
      </c>
      <c r="AS1476" t="s">
        <v>54</v>
      </c>
      <c r="AT1476">
        <v>6611</v>
      </c>
      <c r="AU1476" t="s">
        <v>55</v>
      </c>
    </row>
    <row r="1477" spans="1:47" x14ac:dyDescent="0.25">
      <c r="A1477" t="s">
        <v>47</v>
      </c>
      <c r="B1477" s="1">
        <v>38259</v>
      </c>
      <c r="C1477" t="s">
        <v>48</v>
      </c>
      <c r="D1477" t="s">
        <v>49</v>
      </c>
      <c r="E1477" s="2">
        <v>45978</v>
      </c>
      <c r="F1477" t="s">
        <v>161</v>
      </c>
      <c r="G1477" t="s">
        <v>109</v>
      </c>
      <c r="H1477" s="3">
        <v>25999</v>
      </c>
      <c r="I1477" s="3">
        <v>25999</v>
      </c>
      <c r="J1477">
        <v>0</v>
      </c>
      <c r="K1477" s="3">
        <v>29898.85</v>
      </c>
      <c r="L1477" s="3">
        <v>3846.8</v>
      </c>
      <c r="M1477" s="3">
        <v>1903</v>
      </c>
      <c r="N1477" t="s">
        <v>77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83</v>
      </c>
      <c r="W1477" t="s">
        <v>162</v>
      </c>
      <c r="X1477" s="4">
        <v>0</v>
      </c>
      <c r="Y1477" t="s">
        <v>58</v>
      </c>
      <c r="Z1477">
        <v>0</v>
      </c>
      <c r="AA1477">
        <v>0</v>
      </c>
      <c r="AB1477">
        <v>904.8</v>
      </c>
      <c r="AC1477">
        <v>0</v>
      </c>
      <c r="AD1477" s="3">
        <v>2942</v>
      </c>
      <c r="AE1477" s="3">
        <v>6100</v>
      </c>
      <c r="AF1477" t="s">
        <v>54</v>
      </c>
      <c r="AG1477" t="s">
        <v>59</v>
      </c>
      <c r="AI1477" t="s">
        <v>80</v>
      </c>
      <c r="AJ1477" t="s">
        <v>73</v>
      </c>
      <c r="AK1477" s="5">
        <v>45978.645960648151</v>
      </c>
      <c r="AO1477" t="s">
        <v>54</v>
      </c>
      <c r="AP1477">
        <v>0</v>
      </c>
      <c r="AR1477" t="s">
        <v>54</v>
      </c>
      <c r="AS1477" t="s">
        <v>54</v>
      </c>
      <c r="AT1477">
        <v>4386</v>
      </c>
      <c r="AU1477" t="s">
        <v>55</v>
      </c>
    </row>
    <row r="1478" spans="1:47" x14ac:dyDescent="0.25">
      <c r="A1478" t="s">
        <v>47</v>
      </c>
      <c r="B1478" s="1">
        <v>38260</v>
      </c>
      <c r="C1478" t="s">
        <v>48</v>
      </c>
      <c r="D1478" t="s">
        <v>49</v>
      </c>
      <c r="E1478" s="2">
        <v>45978</v>
      </c>
      <c r="F1478" t="s">
        <v>61</v>
      </c>
      <c r="G1478" s="3" t="s">
        <v>51</v>
      </c>
      <c r="H1478" s="3">
        <v>17439.3</v>
      </c>
      <c r="I1478" s="3">
        <v>17439.3</v>
      </c>
      <c r="J1478">
        <v>0</v>
      </c>
      <c r="K1478" s="3">
        <v>20055.189999999999</v>
      </c>
      <c r="L1478" s="3">
        <v>2198.3000000000002</v>
      </c>
      <c r="M1478" s="3">
        <v>1264.51</v>
      </c>
      <c r="N1478" t="s">
        <v>52</v>
      </c>
      <c r="O1478" t="s">
        <v>53</v>
      </c>
      <c r="P1478" t="s">
        <v>53</v>
      </c>
      <c r="Q1478" t="s">
        <v>53</v>
      </c>
      <c r="R1478" t="s">
        <v>54</v>
      </c>
      <c r="S1478" t="s">
        <v>54</v>
      </c>
      <c r="T1478" t="s">
        <v>55</v>
      </c>
      <c r="U1478">
        <v>126</v>
      </c>
      <c r="V1478" t="s">
        <v>56</v>
      </c>
      <c r="W1478" t="s">
        <v>57</v>
      </c>
      <c r="X1478" s="4">
        <v>0</v>
      </c>
      <c r="Y1478" t="s">
        <v>62</v>
      </c>
      <c r="Z1478" s="3"/>
      <c r="AD1478" s="3"/>
      <c r="AE1478" s="3"/>
      <c r="AK1478" s="5"/>
    </row>
    <row r="1479" spans="1:47" x14ac:dyDescent="0.25">
      <c r="A1479" t="s">
        <v>63</v>
      </c>
      <c r="B1479" s="1">
        <v>447.4</v>
      </c>
      <c r="C1479">
        <v>0</v>
      </c>
      <c r="D1479" s="3">
        <v>1750.9</v>
      </c>
      <c r="E1479" s="2">
        <v>0</v>
      </c>
      <c r="F1479">
        <v>0</v>
      </c>
      <c r="G1479" s="3">
        <v>3400</v>
      </c>
      <c r="H1479" s="3" t="s">
        <v>54</v>
      </c>
      <c r="I1479" s="3" t="s">
        <v>59</v>
      </c>
      <c r="J1479" t="s">
        <v>64</v>
      </c>
      <c r="K1479" s="3" t="s">
        <v>73</v>
      </c>
      <c r="L1479" s="3" t="s">
        <v>73</v>
      </c>
      <c r="M1479" s="3">
        <v>45978.641608796293</v>
      </c>
      <c r="Q1479" t="s">
        <v>54</v>
      </c>
      <c r="R1479">
        <v>0</v>
      </c>
      <c r="T1479" t="s">
        <v>54</v>
      </c>
      <c r="U1479" t="s">
        <v>54</v>
      </c>
      <c r="V1479">
        <v>7006</v>
      </c>
      <c r="W1479" t="s">
        <v>55</v>
      </c>
      <c r="X1479" s="4"/>
      <c r="AK1479" s="5"/>
    </row>
    <row r="1480" spans="1:47" x14ac:dyDescent="0.25">
      <c r="A1480" t="s">
        <v>81</v>
      </c>
      <c r="B1480" s="1">
        <v>38261</v>
      </c>
      <c r="C1480" t="s">
        <v>48</v>
      </c>
      <c r="D1480" t="s">
        <v>49</v>
      </c>
      <c r="E1480" s="2">
        <v>45978</v>
      </c>
      <c r="F1480" t="s">
        <v>276</v>
      </c>
      <c r="G1480" s="3" t="s">
        <v>157</v>
      </c>
      <c r="H1480" s="3">
        <v>14900</v>
      </c>
      <c r="I1480" s="3">
        <v>14900</v>
      </c>
      <c r="J1480">
        <v>0</v>
      </c>
      <c r="K1480" s="3">
        <v>14900</v>
      </c>
      <c r="L1480" s="3">
        <v>3754</v>
      </c>
      <c r="M1480" s="3">
        <v>1088.6600000000001</v>
      </c>
      <c r="N1480" t="s">
        <v>98</v>
      </c>
      <c r="O1480" t="s">
        <v>53</v>
      </c>
      <c r="P1480" t="s">
        <v>53</v>
      </c>
      <c r="Q1480" t="s">
        <v>53</v>
      </c>
      <c r="R1480" t="s">
        <v>54</v>
      </c>
      <c r="S1480" t="s">
        <v>54</v>
      </c>
      <c r="T1480" t="s">
        <v>55</v>
      </c>
      <c r="U1480">
        <v>167</v>
      </c>
      <c r="V1480" t="s">
        <v>146</v>
      </c>
      <c r="W1480" t="s">
        <v>131</v>
      </c>
      <c r="X1480" s="4">
        <v>0</v>
      </c>
      <c r="Y1480" t="s">
        <v>62</v>
      </c>
      <c r="AE1480" s="3"/>
      <c r="AK1480" s="5"/>
    </row>
    <row r="1481" spans="1:47" x14ac:dyDescent="0.25">
      <c r="A1481" t="s">
        <v>63</v>
      </c>
      <c r="B1481" s="1">
        <v>3754</v>
      </c>
      <c r="C1481">
        <v>0</v>
      </c>
      <c r="D1481">
        <v>0</v>
      </c>
      <c r="E1481" s="2">
        <v>0</v>
      </c>
      <c r="F1481">
        <v>0</v>
      </c>
      <c r="G1481" s="3">
        <v>8000</v>
      </c>
      <c r="H1481" s="3" t="s">
        <v>54</v>
      </c>
      <c r="I1481" s="3" t="s">
        <v>59</v>
      </c>
      <c r="J1481" t="s">
        <v>237</v>
      </c>
      <c r="K1481" s="3" t="s">
        <v>73</v>
      </c>
      <c r="L1481" s="3" t="s">
        <v>73</v>
      </c>
      <c r="M1481" s="3">
        <v>45978.724618055552</v>
      </c>
      <c r="Q1481" t="s">
        <v>54</v>
      </c>
      <c r="R1481">
        <v>0</v>
      </c>
      <c r="T1481" t="s">
        <v>54</v>
      </c>
      <c r="U1481" t="s">
        <v>54</v>
      </c>
      <c r="V1481">
        <v>6012</v>
      </c>
      <c r="W1481" t="s">
        <v>55</v>
      </c>
      <c r="X1481" s="4"/>
      <c r="Z1481" s="3"/>
      <c r="AK1481" s="5"/>
    </row>
    <row r="1482" spans="1:47" x14ac:dyDescent="0.25">
      <c r="A1482" t="s">
        <v>81</v>
      </c>
      <c r="B1482" s="1">
        <v>38262</v>
      </c>
      <c r="C1482" t="s">
        <v>48</v>
      </c>
      <c r="D1482" t="s">
        <v>49</v>
      </c>
      <c r="E1482" s="2">
        <v>45978</v>
      </c>
      <c r="F1482" t="s">
        <v>276</v>
      </c>
      <c r="G1482" t="s">
        <v>157</v>
      </c>
      <c r="H1482" s="3">
        <v>20855</v>
      </c>
      <c r="I1482" s="3">
        <v>20855</v>
      </c>
      <c r="J1482">
        <v>0</v>
      </c>
      <c r="K1482" s="3">
        <v>20855</v>
      </c>
      <c r="L1482" s="3">
        <v>5253.5</v>
      </c>
      <c r="M1482" s="3">
        <v>1523.52</v>
      </c>
      <c r="N1482" t="s">
        <v>98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167</v>
      </c>
      <c r="V1482" t="s">
        <v>146</v>
      </c>
      <c r="W1482" t="s">
        <v>131</v>
      </c>
      <c r="X1482" s="4">
        <v>0</v>
      </c>
      <c r="Y1482" t="s">
        <v>62</v>
      </c>
      <c r="AD1482" s="3"/>
      <c r="AE1482" s="3"/>
      <c r="AK1482" s="5"/>
    </row>
    <row r="1483" spans="1:47" x14ac:dyDescent="0.25">
      <c r="A1483" t="s">
        <v>63</v>
      </c>
      <c r="B1483" s="1">
        <v>5253.5</v>
      </c>
      <c r="C1483">
        <v>0</v>
      </c>
      <c r="D1483">
        <v>0</v>
      </c>
      <c r="E1483" s="2">
        <v>0</v>
      </c>
      <c r="F1483">
        <v>0</v>
      </c>
      <c r="G1483" s="3">
        <v>11000</v>
      </c>
      <c r="H1483" s="3" t="s">
        <v>54</v>
      </c>
      <c r="I1483" s="3" t="s">
        <v>59</v>
      </c>
      <c r="J1483" t="s">
        <v>237</v>
      </c>
      <c r="K1483" s="3" t="s">
        <v>73</v>
      </c>
      <c r="L1483" s="3" t="s">
        <v>73</v>
      </c>
      <c r="M1483" s="3">
        <v>45978.724849537037</v>
      </c>
      <c r="Q1483" t="s">
        <v>54</v>
      </c>
      <c r="R1483">
        <v>0</v>
      </c>
      <c r="T1483" t="s">
        <v>54</v>
      </c>
      <c r="U1483" t="s">
        <v>54</v>
      </c>
      <c r="V1483">
        <v>6012</v>
      </c>
      <c r="W1483" t="s">
        <v>55</v>
      </c>
      <c r="X1483" s="4"/>
    </row>
    <row r="1484" spans="1:47" x14ac:dyDescent="0.25">
      <c r="A1484" t="s">
        <v>47</v>
      </c>
      <c r="B1484" s="1">
        <v>38263</v>
      </c>
      <c r="C1484" t="s">
        <v>48</v>
      </c>
      <c r="D1484" s="3" t="s">
        <v>49</v>
      </c>
      <c r="E1484" s="2">
        <v>45978</v>
      </c>
      <c r="F1484" t="s">
        <v>101</v>
      </c>
      <c r="G1484" s="3" t="s">
        <v>94</v>
      </c>
      <c r="H1484">
        <v>737</v>
      </c>
      <c r="I1484">
        <v>737</v>
      </c>
      <c r="J1484">
        <v>0</v>
      </c>
      <c r="K1484">
        <v>847.55</v>
      </c>
      <c r="L1484">
        <v>168.3</v>
      </c>
      <c r="M1484" s="3">
        <v>58.91</v>
      </c>
      <c r="N1484" t="s">
        <v>84</v>
      </c>
      <c r="O1484" t="s">
        <v>53</v>
      </c>
      <c r="P1484" t="s">
        <v>53</v>
      </c>
      <c r="Q1484" t="s">
        <v>53</v>
      </c>
      <c r="R1484" t="s">
        <v>54</v>
      </c>
      <c r="S1484" t="s">
        <v>54</v>
      </c>
      <c r="T1484" t="s">
        <v>55</v>
      </c>
      <c r="U1484">
        <v>9</v>
      </c>
      <c r="V1484" t="s">
        <v>71</v>
      </c>
      <c r="W1484" t="s">
        <v>102</v>
      </c>
      <c r="X1484" s="4">
        <v>0</v>
      </c>
      <c r="Y1484" t="s">
        <v>58</v>
      </c>
      <c r="Z1484">
        <v>168.3</v>
      </c>
      <c r="AA1484">
        <v>0</v>
      </c>
      <c r="AB1484">
        <v>0</v>
      </c>
      <c r="AC1484">
        <v>0</v>
      </c>
      <c r="AD1484">
        <v>0</v>
      </c>
      <c r="AE1484" s="3">
        <v>1100</v>
      </c>
      <c r="AF1484" t="s">
        <v>54</v>
      </c>
      <c r="AG1484" t="s">
        <v>59</v>
      </c>
      <c r="AH1484" t="s">
        <v>103</v>
      </c>
      <c r="AI1484" t="s">
        <v>73</v>
      </c>
      <c r="AJ1484" t="s">
        <v>73</v>
      </c>
      <c r="AK1484" s="5">
        <v>45978.724328703705</v>
      </c>
      <c r="AO1484" t="s">
        <v>54</v>
      </c>
      <c r="AP1484">
        <v>0</v>
      </c>
      <c r="AR1484" t="s">
        <v>54</v>
      </c>
      <c r="AS1484" t="s">
        <v>54</v>
      </c>
      <c r="AT1484">
        <v>161</v>
      </c>
      <c r="AU1484" t="s">
        <v>55</v>
      </c>
    </row>
    <row r="1485" spans="1:47" x14ac:dyDescent="0.25">
      <c r="A1485" t="s">
        <v>81</v>
      </c>
      <c r="B1485" s="1">
        <v>38264</v>
      </c>
      <c r="C1485" t="s">
        <v>48</v>
      </c>
      <c r="D1485" t="s">
        <v>49</v>
      </c>
      <c r="E1485" s="2">
        <v>45979</v>
      </c>
      <c r="F1485" t="s">
        <v>401</v>
      </c>
      <c r="G1485" t="s">
        <v>69</v>
      </c>
      <c r="H1485" s="3">
        <v>21200</v>
      </c>
      <c r="I1485" s="3">
        <v>21200</v>
      </c>
      <c r="J1485">
        <v>0</v>
      </c>
      <c r="K1485" s="3">
        <v>21200</v>
      </c>
      <c r="L1485" s="3">
        <v>3475</v>
      </c>
      <c r="M1485" s="3">
        <v>2067.63</v>
      </c>
      <c r="N1485" t="s">
        <v>52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126</v>
      </c>
      <c r="V1485" t="s">
        <v>56</v>
      </c>
      <c r="W1485" t="s">
        <v>114</v>
      </c>
      <c r="X1485" s="4">
        <v>0</v>
      </c>
      <c r="Y1485" t="s">
        <v>62</v>
      </c>
      <c r="AK1485" s="5"/>
    </row>
    <row r="1486" spans="1:47" x14ac:dyDescent="0.25">
      <c r="A1486" t="s">
        <v>63</v>
      </c>
      <c r="B1486" s="3">
        <v>0</v>
      </c>
      <c r="C1486">
        <v>0</v>
      </c>
      <c r="D1486" s="3">
        <v>3475</v>
      </c>
      <c r="E1486" s="2">
        <v>0</v>
      </c>
      <c r="F1486">
        <v>0</v>
      </c>
      <c r="G1486" s="3">
        <v>5000</v>
      </c>
      <c r="H1486" s="3" t="s">
        <v>54</v>
      </c>
      <c r="I1486" s="3" t="s">
        <v>59</v>
      </c>
      <c r="K1486" s="3" t="s">
        <v>60</v>
      </c>
      <c r="L1486" t="s">
        <v>60</v>
      </c>
      <c r="M1486" s="3">
        <v>45979.519884259258</v>
      </c>
      <c r="Q1486" t="s">
        <v>54</v>
      </c>
      <c r="R1486">
        <v>0</v>
      </c>
      <c r="T1486" t="s">
        <v>54</v>
      </c>
      <c r="U1486" t="s">
        <v>54</v>
      </c>
      <c r="V1486">
        <v>8701</v>
      </c>
      <c r="W1486" t="s">
        <v>55</v>
      </c>
      <c r="X1486" s="4"/>
      <c r="AK1486" s="5"/>
    </row>
    <row r="1487" spans="1:47" x14ac:dyDescent="0.25">
      <c r="A1487" t="s">
        <v>81</v>
      </c>
      <c r="B1487" s="1">
        <v>38265</v>
      </c>
      <c r="C1487" t="s">
        <v>48</v>
      </c>
      <c r="D1487" t="s">
        <v>49</v>
      </c>
      <c r="E1487" s="2">
        <v>45979</v>
      </c>
      <c r="F1487" t="s">
        <v>407</v>
      </c>
      <c r="G1487" t="s">
        <v>89</v>
      </c>
      <c r="H1487" s="3">
        <v>5150</v>
      </c>
      <c r="I1487" s="3">
        <v>5150</v>
      </c>
      <c r="J1487">
        <v>0</v>
      </c>
      <c r="K1487" s="3">
        <v>5150</v>
      </c>
      <c r="L1487" s="3">
        <v>802</v>
      </c>
      <c r="M1487" s="3">
        <v>481.2</v>
      </c>
      <c r="N1487" t="s">
        <v>52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126</v>
      </c>
      <c r="V1487" t="s">
        <v>56</v>
      </c>
      <c r="W1487" t="s">
        <v>408</v>
      </c>
      <c r="X1487" s="4">
        <v>0</v>
      </c>
      <c r="Y1487" t="s">
        <v>58</v>
      </c>
      <c r="Z1487">
        <v>0</v>
      </c>
      <c r="AA1487">
        <v>0</v>
      </c>
      <c r="AB1487">
        <v>802</v>
      </c>
      <c r="AC1487">
        <v>0</v>
      </c>
      <c r="AD1487" s="3">
        <v>0</v>
      </c>
      <c r="AE1487" s="3">
        <v>1000</v>
      </c>
      <c r="AF1487" t="s">
        <v>54</v>
      </c>
      <c r="AG1487" t="s">
        <v>59</v>
      </c>
      <c r="AH1487" t="s">
        <v>149</v>
      </c>
      <c r="AI1487" t="s">
        <v>60</v>
      </c>
      <c r="AJ1487" t="s">
        <v>60</v>
      </c>
      <c r="AK1487" s="5">
        <v>45982.705046296294</v>
      </c>
      <c r="AO1487" t="s">
        <v>54</v>
      </c>
      <c r="AP1487">
        <v>0</v>
      </c>
      <c r="AR1487" t="s">
        <v>54</v>
      </c>
      <c r="AS1487" t="s">
        <v>54</v>
      </c>
      <c r="AT1487">
        <v>5603</v>
      </c>
      <c r="AU1487" t="s">
        <v>55</v>
      </c>
    </row>
    <row r="1488" spans="1:47" x14ac:dyDescent="0.25">
      <c r="A1488" t="s">
        <v>81</v>
      </c>
      <c r="B1488" s="3">
        <v>38266</v>
      </c>
      <c r="C1488" t="s">
        <v>48</v>
      </c>
      <c r="D1488" t="s">
        <v>49</v>
      </c>
      <c r="E1488" s="2">
        <v>45979</v>
      </c>
      <c r="F1488" t="s">
        <v>407</v>
      </c>
      <c r="G1488" s="3" t="s">
        <v>89</v>
      </c>
      <c r="H1488" s="3">
        <v>5150</v>
      </c>
      <c r="I1488" s="3">
        <v>5150</v>
      </c>
      <c r="J1488">
        <v>0</v>
      </c>
      <c r="K1488" s="3">
        <v>5150</v>
      </c>
      <c r="L1488" s="3">
        <v>802</v>
      </c>
      <c r="M1488" s="3">
        <v>481.2</v>
      </c>
      <c r="N1488" t="s">
        <v>52</v>
      </c>
      <c r="O1488" t="s">
        <v>53</v>
      </c>
      <c r="P1488" t="s">
        <v>53</v>
      </c>
      <c r="Q1488" t="s">
        <v>53</v>
      </c>
      <c r="R1488" t="s">
        <v>54</v>
      </c>
      <c r="S1488" t="s">
        <v>54</v>
      </c>
      <c r="T1488" t="s">
        <v>55</v>
      </c>
      <c r="U1488">
        <v>126</v>
      </c>
      <c r="V1488" t="s">
        <v>56</v>
      </c>
      <c r="W1488" t="s">
        <v>408</v>
      </c>
      <c r="X1488" s="4">
        <v>0</v>
      </c>
      <c r="Y1488" t="s">
        <v>58</v>
      </c>
      <c r="Z1488" s="3">
        <v>0</v>
      </c>
      <c r="AA1488">
        <v>0</v>
      </c>
      <c r="AB1488">
        <v>802</v>
      </c>
      <c r="AC1488">
        <v>0</v>
      </c>
      <c r="AD1488">
        <v>0</v>
      </c>
      <c r="AE1488" s="3">
        <v>1000</v>
      </c>
      <c r="AF1488" t="s">
        <v>54</v>
      </c>
      <c r="AG1488" t="s">
        <v>59</v>
      </c>
      <c r="AH1488" t="s">
        <v>149</v>
      </c>
      <c r="AI1488" t="s">
        <v>60</v>
      </c>
      <c r="AJ1488" t="s">
        <v>60</v>
      </c>
      <c r="AK1488" s="5">
        <v>45982.705393518518</v>
      </c>
      <c r="AO1488" t="s">
        <v>54</v>
      </c>
      <c r="AP1488">
        <v>0</v>
      </c>
      <c r="AR1488" t="s">
        <v>54</v>
      </c>
      <c r="AS1488" t="s">
        <v>54</v>
      </c>
      <c r="AT1488">
        <v>5603</v>
      </c>
      <c r="AU1488" t="s">
        <v>55</v>
      </c>
    </row>
    <row r="1489" spans="1:47" x14ac:dyDescent="0.25">
      <c r="A1489" t="s">
        <v>47</v>
      </c>
      <c r="B1489" s="1">
        <v>38267</v>
      </c>
      <c r="C1489" t="s">
        <v>48</v>
      </c>
      <c r="D1489" t="s">
        <v>49</v>
      </c>
      <c r="E1489" s="2">
        <v>45979</v>
      </c>
      <c r="F1489" t="s">
        <v>148</v>
      </c>
      <c r="G1489" t="s">
        <v>89</v>
      </c>
      <c r="H1489" s="3">
        <v>33350</v>
      </c>
      <c r="I1489" s="3">
        <v>33350</v>
      </c>
      <c r="J1489">
        <v>0</v>
      </c>
      <c r="K1489" s="3">
        <v>38352.5</v>
      </c>
      <c r="L1489" s="3">
        <v>5057.5</v>
      </c>
      <c r="M1489" s="3">
        <v>3135.65</v>
      </c>
      <c r="N1489" t="s">
        <v>52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126</v>
      </c>
      <c r="V1489" t="s">
        <v>56</v>
      </c>
      <c r="W1489" t="s">
        <v>95</v>
      </c>
      <c r="X1489" s="4">
        <v>0</v>
      </c>
      <c r="Y1489" t="s">
        <v>62</v>
      </c>
      <c r="Z1489" s="3"/>
      <c r="AE1489" s="3"/>
      <c r="AK1489" s="5"/>
    </row>
    <row r="1490" spans="1:47" x14ac:dyDescent="0.25">
      <c r="A1490" t="s">
        <v>63</v>
      </c>
      <c r="B1490" s="1">
        <v>0</v>
      </c>
      <c r="C1490">
        <v>0</v>
      </c>
      <c r="D1490" s="3">
        <v>5057.5</v>
      </c>
      <c r="E1490" s="2">
        <v>0</v>
      </c>
      <c r="F1490">
        <v>0</v>
      </c>
      <c r="G1490" s="3">
        <v>2500</v>
      </c>
      <c r="H1490" s="3" t="s">
        <v>54</v>
      </c>
      <c r="I1490" s="3" t="s">
        <v>59</v>
      </c>
      <c r="J1490" t="s">
        <v>149</v>
      </c>
      <c r="K1490" s="3" t="s">
        <v>60</v>
      </c>
      <c r="L1490" s="3" t="s">
        <v>60</v>
      </c>
      <c r="M1490" s="3">
        <v>45979.60701388889</v>
      </c>
      <c r="Q1490" t="s">
        <v>54</v>
      </c>
      <c r="R1490">
        <v>0</v>
      </c>
      <c r="T1490" t="s">
        <v>54</v>
      </c>
      <c r="U1490" t="s">
        <v>54</v>
      </c>
      <c r="V1490">
        <v>8478</v>
      </c>
      <c r="W1490" t="s">
        <v>55</v>
      </c>
      <c r="X1490" s="4"/>
      <c r="AB1490" s="3"/>
      <c r="AE1490" s="3"/>
      <c r="AK1490" s="5"/>
    </row>
    <row r="1491" spans="1:47" x14ac:dyDescent="0.25">
      <c r="A1491" t="s">
        <v>47</v>
      </c>
      <c r="B1491" s="1">
        <v>38268</v>
      </c>
      <c r="C1491" t="s">
        <v>48</v>
      </c>
      <c r="D1491" s="3" t="s">
        <v>49</v>
      </c>
      <c r="E1491" s="2">
        <v>45979</v>
      </c>
      <c r="F1491" t="s">
        <v>148</v>
      </c>
      <c r="G1491" s="3" t="s">
        <v>89</v>
      </c>
      <c r="H1491" s="3">
        <v>33350</v>
      </c>
      <c r="I1491" s="3">
        <v>33350</v>
      </c>
      <c r="J1491">
        <v>0</v>
      </c>
      <c r="K1491" s="3">
        <v>38352.5</v>
      </c>
      <c r="L1491" s="3">
        <v>5077.5</v>
      </c>
      <c r="M1491" s="3">
        <v>3148.05</v>
      </c>
      <c r="N1491" t="s">
        <v>52</v>
      </c>
      <c r="O1491" t="s">
        <v>53</v>
      </c>
      <c r="P1491" t="s">
        <v>53</v>
      </c>
      <c r="Q1491" t="s">
        <v>53</v>
      </c>
      <c r="R1491" t="s">
        <v>54</v>
      </c>
      <c r="S1491" t="s">
        <v>54</v>
      </c>
      <c r="T1491" t="s">
        <v>55</v>
      </c>
      <c r="U1491">
        <v>126</v>
      </c>
      <c r="V1491" t="s">
        <v>56</v>
      </c>
      <c r="W1491" t="s">
        <v>95</v>
      </c>
      <c r="X1491" s="4">
        <v>0</v>
      </c>
      <c r="Y1491" t="s">
        <v>62</v>
      </c>
      <c r="AK1491" s="5"/>
    </row>
    <row r="1492" spans="1:47" x14ac:dyDescent="0.25">
      <c r="A1492" t="s">
        <v>63</v>
      </c>
      <c r="B1492" s="1">
        <v>0</v>
      </c>
      <c r="C1492">
        <v>0</v>
      </c>
      <c r="D1492" s="3">
        <v>5077.5</v>
      </c>
      <c r="E1492" s="2">
        <v>0</v>
      </c>
      <c r="F1492">
        <v>0</v>
      </c>
      <c r="G1492" s="3">
        <v>2500</v>
      </c>
      <c r="H1492" s="3" t="s">
        <v>54</v>
      </c>
      <c r="I1492" s="3" t="s">
        <v>59</v>
      </c>
      <c r="J1492" t="s">
        <v>149</v>
      </c>
      <c r="K1492" s="3" t="s">
        <v>60</v>
      </c>
      <c r="L1492" t="s">
        <v>60</v>
      </c>
      <c r="M1492" s="3">
        <v>45979.613078703704</v>
      </c>
      <c r="Q1492" t="s">
        <v>54</v>
      </c>
      <c r="R1492">
        <v>0</v>
      </c>
      <c r="T1492" t="s">
        <v>54</v>
      </c>
      <c r="U1492" t="s">
        <v>54</v>
      </c>
      <c r="V1492">
        <v>8478</v>
      </c>
      <c r="W1492" t="s">
        <v>55</v>
      </c>
      <c r="X1492" s="4"/>
      <c r="AE1492" s="3"/>
      <c r="AK1492" s="5"/>
    </row>
    <row r="1493" spans="1:47" x14ac:dyDescent="0.25">
      <c r="A1493" t="s">
        <v>47</v>
      </c>
      <c r="B1493" s="1">
        <v>38269</v>
      </c>
      <c r="C1493" t="s">
        <v>48</v>
      </c>
      <c r="D1493" t="s">
        <v>49</v>
      </c>
      <c r="E1493" s="2">
        <v>45979</v>
      </c>
      <c r="F1493" t="s">
        <v>148</v>
      </c>
      <c r="G1493" t="s">
        <v>89</v>
      </c>
      <c r="H1493" s="3">
        <v>33350</v>
      </c>
      <c r="I1493" s="3">
        <v>33350</v>
      </c>
      <c r="J1493">
        <v>0</v>
      </c>
      <c r="K1493" s="3">
        <v>38352.5</v>
      </c>
      <c r="L1493" s="3">
        <v>5057.5</v>
      </c>
      <c r="M1493" s="3">
        <v>3135.65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95</v>
      </c>
      <c r="X1493" s="4">
        <v>0</v>
      </c>
      <c r="Y1493" t="s">
        <v>62</v>
      </c>
      <c r="AE1493" s="3"/>
      <c r="AK1493" s="5"/>
    </row>
    <row r="1494" spans="1:47" x14ac:dyDescent="0.25">
      <c r="A1494" t="s">
        <v>63</v>
      </c>
      <c r="B1494" s="1">
        <v>0</v>
      </c>
      <c r="C1494">
        <v>0</v>
      </c>
      <c r="D1494" s="3">
        <v>5057.5</v>
      </c>
      <c r="E1494" s="2">
        <v>0</v>
      </c>
      <c r="F1494">
        <v>0</v>
      </c>
      <c r="G1494" s="3">
        <v>2500</v>
      </c>
      <c r="H1494" s="3" t="s">
        <v>54</v>
      </c>
      <c r="I1494" s="3" t="s">
        <v>59</v>
      </c>
      <c r="J1494" t="s">
        <v>149</v>
      </c>
      <c r="K1494" s="3" t="s">
        <v>60</v>
      </c>
      <c r="L1494" s="3" t="s">
        <v>60</v>
      </c>
      <c r="M1494" s="3">
        <v>45979.61519675926</v>
      </c>
      <c r="Q1494" t="s">
        <v>54</v>
      </c>
      <c r="R1494">
        <v>0</v>
      </c>
      <c r="T1494" t="s">
        <v>54</v>
      </c>
      <c r="U1494" t="s">
        <v>54</v>
      </c>
      <c r="V1494">
        <v>8478</v>
      </c>
      <c r="W1494" t="s">
        <v>55</v>
      </c>
      <c r="X1494" s="4"/>
      <c r="Z1494" s="3"/>
      <c r="AE1494" s="3"/>
      <c r="AK1494" s="5"/>
    </row>
    <row r="1495" spans="1:47" x14ac:dyDescent="0.25">
      <c r="A1495" t="s">
        <v>47</v>
      </c>
      <c r="B1495" s="1">
        <v>38270</v>
      </c>
      <c r="C1495" t="s">
        <v>48</v>
      </c>
      <c r="D1495" s="3" t="s">
        <v>49</v>
      </c>
      <c r="E1495" s="2">
        <v>45980</v>
      </c>
      <c r="F1495" t="s">
        <v>111</v>
      </c>
      <c r="G1495" s="3" t="s">
        <v>69</v>
      </c>
      <c r="H1495" s="3">
        <v>15300</v>
      </c>
      <c r="I1495" s="3">
        <v>15300</v>
      </c>
      <c r="J1495">
        <v>0</v>
      </c>
      <c r="K1495" s="3">
        <v>17595</v>
      </c>
      <c r="L1495" s="3">
        <v>3492</v>
      </c>
      <c r="M1495" s="3">
        <v>1361.88</v>
      </c>
      <c r="N1495" t="s">
        <v>52</v>
      </c>
      <c r="O1495" t="s">
        <v>53</v>
      </c>
      <c r="P1495" t="s">
        <v>53</v>
      </c>
      <c r="Q1495" t="s">
        <v>53</v>
      </c>
      <c r="R1495" t="s">
        <v>54</v>
      </c>
      <c r="S1495" t="s">
        <v>54</v>
      </c>
      <c r="T1495" t="s">
        <v>55</v>
      </c>
      <c r="U1495">
        <v>126</v>
      </c>
      <c r="V1495" t="s">
        <v>56</v>
      </c>
      <c r="W1495" t="s">
        <v>95</v>
      </c>
      <c r="X1495" s="4">
        <v>0</v>
      </c>
      <c r="Y1495" t="s">
        <v>58</v>
      </c>
      <c r="Z1495" s="3">
        <v>3492</v>
      </c>
      <c r="AA1495">
        <v>0</v>
      </c>
      <c r="AB1495">
        <v>0</v>
      </c>
      <c r="AC1495">
        <v>0</v>
      </c>
      <c r="AD1495">
        <v>0</v>
      </c>
      <c r="AE1495" s="3">
        <v>3000</v>
      </c>
      <c r="AF1495" t="s">
        <v>54</v>
      </c>
      <c r="AG1495" t="s">
        <v>59</v>
      </c>
      <c r="AI1495" t="s">
        <v>60</v>
      </c>
      <c r="AJ1495" t="s">
        <v>60</v>
      </c>
      <c r="AK1495" s="5">
        <v>45980.5546875</v>
      </c>
      <c r="AO1495" t="s">
        <v>54</v>
      </c>
      <c r="AP1495">
        <v>0</v>
      </c>
      <c r="AR1495" t="s">
        <v>54</v>
      </c>
      <c r="AS1495" t="s">
        <v>54</v>
      </c>
      <c r="AT1495">
        <v>1877</v>
      </c>
      <c r="AU1495" t="s">
        <v>55</v>
      </c>
    </row>
    <row r="1496" spans="1:47" x14ac:dyDescent="0.25">
      <c r="A1496" t="s">
        <v>47</v>
      </c>
      <c r="B1496" s="1">
        <v>38271</v>
      </c>
      <c r="C1496" t="s">
        <v>48</v>
      </c>
      <c r="D1496" t="s">
        <v>49</v>
      </c>
      <c r="E1496" s="2">
        <v>45980</v>
      </c>
      <c r="F1496" t="s">
        <v>111</v>
      </c>
      <c r="G1496" s="3" t="s">
        <v>69</v>
      </c>
      <c r="H1496" s="3">
        <v>5100</v>
      </c>
      <c r="I1496" s="3">
        <v>5100</v>
      </c>
      <c r="J1496">
        <v>0</v>
      </c>
      <c r="K1496" s="3">
        <v>5865</v>
      </c>
      <c r="L1496" s="3">
        <v>1164</v>
      </c>
      <c r="M1496" s="3">
        <v>453.96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95</v>
      </c>
      <c r="X1496" s="4">
        <v>0</v>
      </c>
      <c r="Y1496" t="s">
        <v>58</v>
      </c>
      <c r="Z1496" s="3">
        <v>1164</v>
      </c>
      <c r="AA1496">
        <v>0</v>
      </c>
      <c r="AB1496">
        <v>0</v>
      </c>
      <c r="AC1496">
        <v>0</v>
      </c>
      <c r="AD1496">
        <v>0</v>
      </c>
      <c r="AE1496" s="3">
        <v>1000</v>
      </c>
      <c r="AF1496" t="s">
        <v>54</v>
      </c>
      <c r="AG1496" t="s">
        <v>59</v>
      </c>
      <c r="AI1496" t="s">
        <v>60</v>
      </c>
      <c r="AJ1496" t="s">
        <v>92</v>
      </c>
      <c r="AK1496" s="5">
        <v>45985.324143518519</v>
      </c>
      <c r="AO1496" t="s">
        <v>54</v>
      </c>
      <c r="AP1496">
        <v>0</v>
      </c>
      <c r="AR1496" t="s">
        <v>54</v>
      </c>
      <c r="AS1496" t="s">
        <v>54</v>
      </c>
      <c r="AT1496">
        <v>1877</v>
      </c>
      <c r="AU1496" t="s">
        <v>55</v>
      </c>
    </row>
    <row r="1497" spans="1:47" x14ac:dyDescent="0.25">
      <c r="A1497" t="s">
        <v>47</v>
      </c>
      <c r="B1497" s="1">
        <v>38272</v>
      </c>
      <c r="C1497" t="s">
        <v>48</v>
      </c>
      <c r="D1497" s="3" t="s">
        <v>49</v>
      </c>
      <c r="E1497" s="2">
        <v>45980</v>
      </c>
      <c r="F1497" t="s">
        <v>304</v>
      </c>
      <c r="G1497" s="3" t="s">
        <v>87</v>
      </c>
      <c r="H1497" s="3">
        <v>6600</v>
      </c>
      <c r="I1497" s="3">
        <v>6600</v>
      </c>
      <c r="J1497">
        <v>0</v>
      </c>
      <c r="K1497" s="3">
        <v>7590</v>
      </c>
      <c r="L1497" s="3">
        <v>903</v>
      </c>
      <c r="M1497" s="3">
        <v>559.86</v>
      </c>
      <c r="N1497" t="s">
        <v>52</v>
      </c>
      <c r="O1497" t="s">
        <v>53</v>
      </c>
      <c r="P1497" t="s">
        <v>53</v>
      </c>
      <c r="Q1497" t="s">
        <v>53</v>
      </c>
      <c r="R1497" t="s">
        <v>54</v>
      </c>
      <c r="S1497" t="s">
        <v>54</v>
      </c>
      <c r="T1497" t="s">
        <v>55</v>
      </c>
      <c r="U1497">
        <v>126</v>
      </c>
      <c r="V1497" t="s">
        <v>56</v>
      </c>
      <c r="W1497" t="s">
        <v>178</v>
      </c>
      <c r="X1497" s="4">
        <v>0</v>
      </c>
      <c r="Y1497" t="s">
        <v>62</v>
      </c>
    </row>
    <row r="1498" spans="1:47" x14ac:dyDescent="0.25">
      <c r="A1498" t="s">
        <v>63</v>
      </c>
      <c r="B1498" s="1">
        <v>0</v>
      </c>
      <c r="C1498">
        <v>0</v>
      </c>
      <c r="D1498">
        <v>903</v>
      </c>
      <c r="E1498" s="2">
        <v>0</v>
      </c>
      <c r="F1498">
        <v>0</v>
      </c>
      <c r="G1498" s="3">
        <v>600</v>
      </c>
      <c r="H1498" s="3" t="s">
        <v>54</v>
      </c>
      <c r="I1498" s="3" t="s">
        <v>59</v>
      </c>
      <c r="K1498" s="3" t="s">
        <v>60</v>
      </c>
      <c r="L1498" s="3" t="s">
        <v>60</v>
      </c>
      <c r="M1498" s="3">
        <v>45982.474780092591</v>
      </c>
      <c r="Q1498" t="s">
        <v>54</v>
      </c>
      <c r="R1498">
        <v>0</v>
      </c>
      <c r="T1498" t="s">
        <v>54</v>
      </c>
      <c r="U1498" t="s">
        <v>54</v>
      </c>
      <c r="V1498">
        <v>7376</v>
      </c>
      <c r="W1498" t="s">
        <v>55</v>
      </c>
      <c r="X1498" s="4"/>
    </row>
    <row r="1499" spans="1:47" x14ac:dyDescent="0.25">
      <c r="A1499" t="s">
        <v>81</v>
      </c>
      <c r="B1499" s="1">
        <v>38275</v>
      </c>
      <c r="C1499" t="s">
        <v>48</v>
      </c>
      <c r="D1499" s="3" t="s">
        <v>49</v>
      </c>
      <c r="E1499" s="2">
        <v>45980</v>
      </c>
      <c r="F1499" t="s">
        <v>335</v>
      </c>
      <c r="G1499" s="3" t="s">
        <v>69</v>
      </c>
      <c r="H1499" s="3">
        <v>3763.2</v>
      </c>
      <c r="I1499" s="3">
        <v>3763.2</v>
      </c>
      <c r="J1499">
        <v>0</v>
      </c>
      <c r="K1499" s="3">
        <v>3763.2</v>
      </c>
      <c r="L1499" s="3">
        <v>638.4</v>
      </c>
      <c r="M1499" s="3">
        <v>300.05</v>
      </c>
      <c r="N1499" t="s">
        <v>77</v>
      </c>
      <c r="O1499" t="s">
        <v>53</v>
      </c>
      <c r="P1499" t="s">
        <v>53</v>
      </c>
      <c r="Q1499" t="s">
        <v>53</v>
      </c>
      <c r="R1499" t="s">
        <v>54</v>
      </c>
      <c r="S1499" t="s">
        <v>54</v>
      </c>
      <c r="T1499" t="s">
        <v>55</v>
      </c>
      <c r="U1499">
        <v>83</v>
      </c>
      <c r="W1499" t="s">
        <v>134</v>
      </c>
      <c r="X1499" s="4">
        <v>0</v>
      </c>
      <c r="Y1499" t="s">
        <v>58</v>
      </c>
      <c r="Z1499">
        <v>0</v>
      </c>
      <c r="AA1499">
        <v>0</v>
      </c>
      <c r="AB1499">
        <v>0</v>
      </c>
      <c r="AC1499">
        <v>0</v>
      </c>
      <c r="AD1499">
        <v>638.4</v>
      </c>
      <c r="AE1499" s="3">
        <v>1680</v>
      </c>
      <c r="AF1499" t="s">
        <v>54</v>
      </c>
      <c r="AG1499" t="s">
        <v>59</v>
      </c>
      <c r="AI1499" t="s">
        <v>80</v>
      </c>
      <c r="AJ1499" t="s">
        <v>73</v>
      </c>
      <c r="AK1499" s="5">
        <v>45980.620925925927</v>
      </c>
      <c r="AO1499" t="s">
        <v>54</v>
      </c>
      <c r="AP1499">
        <v>0</v>
      </c>
      <c r="AR1499" t="s">
        <v>54</v>
      </c>
      <c r="AS1499" t="s">
        <v>54</v>
      </c>
      <c r="AT1499">
        <v>4097</v>
      </c>
      <c r="AU1499" t="s">
        <v>55</v>
      </c>
    </row>
    <row r="1500" spans="1:47" x14ac:dyDescent="0.25">
      <c r="A1500" t="s">
        <v>96</v>
      </c>
      <c r="B1500" s="1">
        <v>38276</v>
      </c>
      <c r="C1500" t="s">
        <v>48</v>
      </c>
      <c r="D1500" t="s">
        <v>49</v>
      </c>
      <c r="E1500" s="2">
        <v>45980</v>
      </c>
      <c r="F1500" t="s">
        <v>163</v>
      </c>
      <c r="G1500" s="3" t="s">
        <v>66</v>
      </c>
      <c r="H1500" s="3">
        <v>135.1</v>
      </c>
      <c r="I1500" s="3">
        <v>135.1</v>
      </c>
      <c r="J1500">
        <v>0</v>
      </c>
      <c r="K1500" s="3">
        <v>135.1</v>
      </c>
      <c r="L1500" s="3">
        <v>37.1</v>
      </c>
      <c r="M1500" s="3">
        <v>10.76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164</v>
      </c>
      <c r="X1500" s="4">
        <v>0</v>
      </c>
      <c r="Z1500" s="3">
        <v>37.1</v>
      </c>
      <c r="AA1500">
        <v>0</v>
      </c>
      <c r="AB1500">
        <v>0</v>
      </c>
      <c r="AC1500">
        <v>0</v>
      </c>
      <c r="AD1500">
        <v>0</v>
      </c>
      <c r="AE1500" s="3">
        <v>350</v>
      </c>
      <c r="AF1500" t="s">
        <v>54</v>
      </c>
      <c r="AG1500" t="s">
        <v>59</v>
      </c>
      <c r="AI1500" t="s">
        <v>92</v>
      </c>
      <c r="AJ1500" t="s">
        <v>92</v>
      </c>
      <c r="AK1500" s="5">
        <v>45980.635798611111</v>
      </c>
      <c r="AO1500" t="s">
        <v>54</v>
      </c>
      <c r="AP1500">
        <v>0</v>
      </c>
      <c r="AR1500" t="s">
        <v>54</v>
      </c>
      <c r="AS1500" t="s">
        <v>54</v>
      </c>
      <c r="AT1500">
        <v>5486</v>
      </c>
      <c r="AU1500" t="s">
        <v>55</v>
      </c>
    </row>
    <row r="1501" spans="1:47" x14ac:dyDescent="0.25">
      <c r="A1501" t="s">
        <v>47</v>
      </c>
      <c r="B1501" s="1">
        <v>38277</v>
      </c>
      <c r="C1501" t="s">
        <v>48</v>
      </c>
      <c r="D1501" t="s">
        <v>49</v>
      </c>
      <c r="E1501" s="2">
        <v>45980</v>
      </c>
      <c r="F1501" t="s">
        <v>161</v>
      </c>
      <c r="G1501" s="3" t="s">
        <v>109</v>
      </c>
      <c r="H1501" s="3">
        <v>206176</v>
      </c>
      <c r="I1501" s="3">
        <v>206176</v>
      </c>
      <c r="J1501">
        <v>0</v>
      </c>
      <c r="K1501" s="3">
        <v>237102.4</v>
      </c>
      <c r="L1501" s="3">
        <v>28120.1</v>
      </c>
      <c r="M1501" s="3">
        <v>16864</v>
      </c>
      <c r="N1501" t="s">
        <v>77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83</v>
      </c>
      <c r="W1501" t="s">
        <v>162</v>
      </c>
      <c r="X1501" s="4">
        <v>0</v>
      </c>
      <c r="Y1501" t="s">
        <v>58</v>
      </c>
      <c r="Z1501" s="3">
        <v>0</v>
      </c>
      <c r="AA1501">
        <v>0</v>
      </c>
      <c r="AB1501" s="3">
        <v>28058.1</v>
      </c>
      <c r="AC1501">
        <v>0</v>
      </c>
      <c r="AD1501">
        <v>62</v>
      </c>
      <c r="AE1501" s="3">
        <v>9750</v>
      </c>
      <c r="AF1501" t="s">
        <v>54</v>
      </c>
      <c r="AG1501" t="s">
        <v>59</v>
      </c>
      <c r="AI1501" t="s">
        <v>80</v>
      </c>
      <c r="AJ1501" t="s">
        <v>92</v>
      </c>
      <c r="AK1501" s="5">
        <v>45982.324884259258</v>
      </c>
      <c r="AO1501" t="s">
        <v>54</v>
      </c>
      <c r="AP1501">
        <v>0</v>
      </c>
      <c r="AR1501" t="s">
        <v>54</v>
      </c>
      <c r="AS1501" t="s">
        <v>54</v>
      </c>
      <c r="AT1501">
        <v>4386</v>
      </c>
      <c r="AU1501" t="s">
        <v>55</v>
      </c>
    </row>
    <row r="1502" spans="1:47" x14ac:dyDescent="0.25">
      <c r="A1502" t="s">
        <v>81</v>
      </c>
      <c r="B1502" s="1">
        <v>38278</v>
      </c>
      <c r="C1502" t="s">
        <v>48</v>
      </c>
      <c r="D1502" t="s">
        <v>49</v>
      </c>
      <c r="E1502" s="2">
        <v>45981</v>
      </c>
      <c r="F1502" t="s">
        <v>163</v>
      </c>
      <c r="G1502" s="3" t="s">
        <v>66</v>
      </c>
      <c r="H1502" s="3">
        <v>16762</v>
      </c>
      <c r="I1502" s="3">
        <v>16762</v>
      </c>
      <c r="J1502">
        <v>0</v>
      </c>
      <c r="K1502" s="3">
        <v>16762</v>
      </c>
      <c r="L1502" s="3">
        <v>4685.55</v>
      </c>
      <c r="M1502" s="3">
        <v>1358.82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153</v>
      </c>
      <c r="X1502" s="4">
        <v>0</v>
      </c>
      <c r="Z1502" s="3">
        <v>4685.55</v>
      </c>
      <c r="AA1502">
        <v>0</v>
      </c>
      <c r="AB1502" s="3">
        <v>0</v>
      </c>
      <c r="AC1502">
        <v>0</v>
      </c>
      <c r="AD1502">
        <v>0</v>
      </c>
      <c r="AE1502" s="3">
        <v>28150</v>
      </c>
      <c r="AF1502" t="s">
        <v>54</v>
      </c>
      <c r="AG1502" t="s">
        <v>59</v>
      </c>
      <c r="AI1502" t="s">
        <v>60</v>
      </c>
      <c r="AJ1502" t="s">
        <v>92</v>
      </c>
      <c r="AK1502" s="5">
        <v>45982.323599537034</v>
      </c>
      <c r="AO1502" t="s">
        <v>54</v>
      </c>
      <c r="AP1502">
        <v>0</v>
      </c>
      <c r="AR1502" t="s">
        <v>54</v>
      </c>
      <c r="AS1502" t="s">
        <v>54</v>
      </c>
      <c r="AT1502">
        <v>5486</v>
      </c>
      <c r="AU1502" t="s">
        <v>55</v>
      </c>
    </row>
    <row r="1503" spans="1:47" x14ac:dyDescent="0.25">
      <c r="A1503" t="s">
        <v>47</v>
      </c>
      <c r="B1503" s="1">
        <v>38279</v>
      </c>
      <c r="C1503" t="s">
        <v>48</v>
      </c>
      <c r="D1503" t="s">
        <v>49</v>
      </c>
      <c r="E1503" s="2">
        <v>45982</v>
      </c>
      <c r="F1503" t="s">
        <v>206</v>
      </c>
      <c r="G1503" t="s">
        <v>124</v>
      </c>
      <c r="H1503" s="3">
        <v>4723.2</v>
      </c>
      <c r="I1503" s="3">
        <v>4723.2</v>
      </c>
      <c r="J1503">
        <v>0</v>
      </c>
      <c r="K1503" s="3">
        <v>5431.68</v>
      </c>
      <c r="L1503" s="3">
        <v>403.2</v>
      </c>
      <c r="M1503" s="3">
        <v>331.83</v>
      </c>
      <c r="N1503" t="s">
        <v>75</v>
      </c>
      <c r="O1503" t="s">
        <v>53</v>
      </c>
      <c r="P1503" t="s">
        <v>53</v>
      </c>
      <c r="Q1503" t="s">
        <v>53</v>
      </c>
      <c r="R1503" t="s">
        <v>54</v>
      </c>
      <c r="S1503" t="s">
        <v>54</v>
      </c>
      <c r="T1503" t="s">
        <v>55</v>
      </c>
      <c r="U1503">
        <v>43</v>
      </c>
      <c r="W1503" t="s">
        <v>72</v>
      </c>
      <c r="X1503" s="4">
        <v>0</v>
      </c>
      <c r="Y1503" t="s">
        <v>58</v>
      </c>
      <c r="Z1503">
        <v>0</v>
      </c>
      <c r="AA1503">
        <v>0</v>
      </c>
      <c r="AB1503">
        <v>403.2</v>
      </c>
      <c r="AC1503">
        <v>0</v>
      </c>
      <c r="AD1503">
        <v>0</v>
      </c>
      <c r="AE1503">
        <v>120</v>
      </c>
      <c r="AF1503" t="s">
        <v>54</v>
      </c>
      <c r="AG1503" t="s">
        <v>59</v>
      </c>
      <c r="AI1503" t="s">
        <v>92</v>
      </c>
      <c r="AJ1503" t="s">
        <v>92</v>
      </c>
      <c r="AK1503" s="5">
        <v>45982.322708333333</v>
      </c>
      <c r="AO1503" t="s">
        <v>54</v>
      </c>
      <c r="AP1503">
        <v>0</v>
      </c>
      <c r="AR1503" t="s">
        <v>54</v>
      </c>
      <c r="AS1503" t="s">
        <v>54</v>
      </c>
      <c r="AT1503">
        <v>4694</v>
      </c>
      <c r="AU1503" t="s">
        <v>55</v>
      </c>
    </row>
    <row r="1504" spans="1:47" x14ac:dyDescent="0.25">
      <c r="A1504" t="s">
        <v>47</v>
      </c>
      <c r="B1504" s="1">
        <v>38280</v>
      </c>
      <c r="C1504" t="s">
        <v>48</v>
      </c>
      <c r="D1504" t="s">
        <v>49</v>
      </c>
      <c r="E1504" s="2">
        <v>45982</v>
      </c>
      <c r="F1504" t="s">
        <v>126</v>
      </c>
      <c r="G1504" s="3" t="s">
        <v>89</v>
      </c>
      <c r="H1504" s="3">
        <v>310</v>
      </c>
      <c r="I1504" s="3">
        <v>310</v>
      </c>
      <c r="J1504">
        <v>0</v>
      </c>
      <c r="K1504" s="3">
        <v>356.5</v>
      </c>
      <c r="L1504">
        <v>77.5</v>
      </c>
      <c r="M1504" s="3">
        <v>25.58</v>
      </c>
      <c r="N1504" t="s">
        <v>84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9</v>
      </c>
      <c r="V1504" t="s">
        <v>71</v>
      </c>
      <c r="W1504" t="s">
        <v>95</v>
      </c>
      <c r="X1504" s="4">
        <v>0</v>
      </c>
      <c r="Y1504" t="s">
        <v>58</v>
      </c>
      <c r="Z1504">
        <v>0</v>
      </c>
      <c r="AA1504">
        <v>77.5</v>
      </c>
      <c r="AB1504">
        <v>0</v>
      </c>
      <c r="AC1504">
        <v>0</v>
      </c>
      <c r="AD1504">
        <v>0</v>
      </c>
      <c r="AE1504">
        <v>500</v>
      </c>
      <c r="AF1504" t="s">
        <v>54</v>
      </c>
      <c r="AG1504" t="s">
        <v>59</v>
      </c>
      <c r="AI1504" t="s">
        <v>73</v>
      </c>
      <c r="AJ1504" t="s">
        <v>73</v>
      </c>
      <c r="AK1504" s="5">
        <v>45982.360775462963</v>
      </c>
      <c r="AO1504" t="s">
        <v>54</v>
      </c>
      <c r="AP1504">
        <v>0</v>
      </c>
      <c r="AR1504" t="s">
        <v>54</v>
      </c>
      <c r="AS1504" t="s">
        <v>54</v>
      </c>
      <c r="AT1504">
        <v>3204</v>
      </c>
      <c r="AU1504" t="s">
        <v>55</v>
      </c>
    </row>
    <row r="1505" spans="1:47" x14ac:dyDescent="0.25">
      <c r="A1505" t="s">
        <v>47</v>
      </c>
      <c r="B1505" s="1">
        <v>38281</v>
      </c>
      <c r="C1505" t="s">
        <v>48</v>
      </c>
      <c r="D1505" t="s">
        <v>49</v>
      </c>
      <c r="E1505" s="2">
        <v>45982</v>
      </c>
      <c r="F1505" t="s">
        <v>101</v>
      </c>
      <c r="G1505" s="3" t="s">
        <v>94</v>
      </c>
      <c r="H1505" s="3">
        <v>2410</v>
      </c>
      <c r="I1505" s="3">
        <v>2410</v>
      </c>
      <c r="J1505">
        <v>0</v>
      </c>
      <c r="K1505" s="3">
        <v>2771.5</v>
      </c>
      <c r="L1505" s="3">
        <v>599</v>
      </c>
      <c r="M1505" s="3">
        <v>203.66</v>
      </c>
      <c r="N1505" t="s">
        <v>84</v>
      </c>
      <c r="O1505" t="s">
        <v>53</v>
      </c>
      <c r="P1505" t="s">
        <v>53</v>
      </c>
      <c r="Q1505" t="s">
        <v>53</v>
      </c>
      <c r="R1505" t="s">
        <v>54</v>
      </c>
      <c r="S1505" t="s">
        <v>54</v>
      </c>
      <c r="T1505" t="s">
        <v>55</v>
      </c>
      <c r="U1505">
        <v>9</v>
      </c>
      <c r="V1505" t="s">
        <v>71</v>
      </c>
      <c r="W1505" t="s">
        <v>102</v>
      </c>
      <c r="X1505" s="4">
        <v>0</v>
      </c>
      <c r="Y1505" t="s">
        <v>58</v>
      </c>
      <c r="Z1505">
        <v>599</v>
      </c>
      <c r="AA1505">
        <v>0</v>
      </c>
      <c r="AB1505">
        <v>0</v>
      </c>
      <c r="AC1505">
        <v>0</v>
      </c>
      <c r="AD1505">
        <v>0</v>
      </c>
      <c r="AE1505" s="3">
        <v>1000</v>
      </c>
      <c r="AF1505" t="s">
        <v>54</v>
      </c>
      <c r="AG1505" t="s">
        <v>59</v>
      </c>
      <c r="AH1505" t="s">
        <v>103</v>
      </c>
      <c r="AI1505" t="s">
        <v>73</v>
      </c>
      <c r="AJ1505" t="s">
        <v>73</v>
      </c>
      <c r="AK1505" s="5">
        <v>45982.399641203701</v>
      </c>
      <c r="AO1505" t="s">
        <v>54</v>
      </c>
      <c r="AP1505">
        <v>0</v>
      </c>
      <c r="AR1505" t="s">
        <v>54</v>
      </c>
      <c r="AS1505" t="s">
        <v>54</v>
      </c>
      <c r="AT1505">
        <v>161</v>
      </c>
      <c r="AU1505" t="s">
        <v>55</v>
      </c>
    </row>
    <row r="1506" spans="1:47" x14ac:dyDescent="0.25">
      <c r="A1506" t="s">
        <v>47</v>
      </c>
      <c r="B1506" s="1">
        <v>38283</v>
      </c>
      <c r="C1506" t="s">
        <v>48</v>
      </c>
      <c r="D1506" s="3" t="s">
        <v>49</v>
      </c>
      <c r="E1506" s="2">
        <v>45985</v>
      </c>
      <c r="F1506" t="s">
        <v>206</v>
      </c>
      <c r="G1506" s="3" t="s">
        <v>124</v>
      </c>
      <c r="H1506" s="3">
        <v>2031.3</v>
      </c>
      <c r="I1506" s="3">
        <v>2031.3</v>
      </c>
      <c r="J1506">
        <v>0</v>
      </c>
      <c r="K1506" s="3">
        <v>2335.9899999999998</v>
      </c>
      <c r="L1506">
        <v>185.76</v>
      </c>
      <c r="M1506" s="3">
        <v>138.94999999999999</v>
      </c>
      <c r="N1506" t="s">
        <v>75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43</v>
      </c>
      <c r="W1506" t="s">
        <v>72</v>
      </c>
      <c r="X1506" s="4">
        <v>0</v>
      </c>
      <c r="Y1506" t="s">
        <v>58</v>
      </c>
      <c r="Z1506">
        <v>0</v>
      </c>
      <c r="AA1506">
        <v>0</v>
      </c>
      <c r="AB1506">
        <v>185.76</v>
      </c>
      <c r="AC1506">
        <v>0</v>
      </c>
      <c r="AD1506">
        <v>0</v>
      </c>
      <c r="AE1506" s="3">
        <v>90</v>
      </c>
      <c r="AF1506" t="s">
        <v>54</v>
      </c>
      <c r="AG1506" t="s">
        <v>59</v>
      </c>
      <c r="AI1506" t="s">
        <v>73</v>
      </c>
      <c r="AJ1506" t="s">
        <v>73</v>
      </c>
      <c r="AK1506" s="5">
        <v>45985.478437500002</v>
      </c>
      <c r="AO1506" t="s">
        <v>54</v>
      </c>
      <c r="AP1506">
        <v>0</v>
      </c>
      <c r="AR1506" t="s">
        <v>54</v>
      </c>
      <c r="AS1506" t="s">
        <v>54</v>
      </c>
      <c r="AT1506">
        <v>4694</v>
      </c>
      <c r="AU1506" t="s">
        <v>55</v>
      </c>
    </row>
    <row r="1507" spans="1:47" x14ac:dyDescent="0.25">
      <c r="A1507" t="s">
        <v>47</v>
      </c>
      <c r="B1507" s="1">
        <v>38284</v>
      </c>
      <c r="C1507" t="s">
        <v>48</v>
      </c>
      <c r="D1507" t="s">
        <v>49</v>
      </c>
      <c r="E1507" s="2">
        <v>45985</v>
      </c>
      <c r="F1507" t="s">
        <v>241</v>
      </c>
      <c r="G1507" t="s">
        <v>242</v>
      </c>
      <c r="H1507" s="3">
        <v>14917</v>
      </c>
      <c r="I1507" s="3">
        <v>14917</v>
      </c>
      <c r="J1507">
        <v>0</v>
      </c>
      <c r="K1507" s="3">
        <v>14917</v>
      </c>
      <c r="L1507" s="3">
        <v>2851</v>
      </c>
      <c r="M1507" s="3">
        <v>1153.02</v>
      </c>
      <c r="N1507" t="s">
        <v>84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9</v>
      </c>
      <c r="V1507" t="s">
        <v>71</v>
      </c>
      <c r="W1507">
        <v>0</v>
      </c>
      <c r="X1507" s="4">
        <v>0</v>
      </c>
      <c r="Y1507" t="s">
        <v>62</v>
      </c>
      <c r="AE1507" s="3"/>
      <c r="AK1507" s="5"/>
    </row>
    <row r="1508" spans="1:47" x14ac:dyDescent="0.25">
      <c r="A1508" t="s">
        <v>58</v>
      </c>
      <c r="B1508" s="1">
        <v>1558</v>
      </c>
      <c r="C1508">
        <v>0</v>
      </c>
      <c r="D1508">
        <v>0</v>
      </c>
      <c r="E1508" s="2">
        <v>0</v>
      </c>
      <c r="F1508" s="3">
        <v>1293</v>
      </c>
      <c r="G1508" s="3">
        <v>6500</v>
      </c>
      <c r="H1508" s="3" t="s">
        <v>54</v>
      </c>
      <c r="I1508" s="3" t="s">
        <v>59</v>
      </c>
      <c r="K1508" s="3" t="s">
        <v>73</v>
      </c>
      <c r="L1508" s="3" t="s">
        <v>92</v>
      </c>
      <c r="M1508" s="3">
        <v>45986.632847222223</v>
      </c>
      <c r="Q1508" t="s">
        <v>54</v>
      </c>
      <c r="R1508">
        <v>0</v>
      </c>
      <c r="T1508" t="s">
        <v>54</v>
      </c>
      <c r="U1508" t="s">
        <v>54</v>
      </c>
      <c r="V1508">
        <v>2581</v>
      </c>
      <c r="W1508" t="s">
        <v>55</v>
      </c>
      <c r="X1508" s="4"/>
      <c r="AB1508" s="3"/>
      <c r="AE1508" s="3"/>
      <c r="AK1508" s="5"/>
    </row>
    <row r="1509" spans="1:47" x14ac:dyDescent="0.25">
      <c r="A1509" t="s">
        <v>47</v>
      </c>
      <c r="B1509" s="1">
        <v>38285</v>
      </c>
      <c r="C1509" t="s">
        <v>48</v>
      </c>
      <c r="D1509" t="s">
        <v>49</v>
      </c>
      <c r="E1509" s="2">
        <v>45985</v>
      </c>
      <c r="F1509" t="s">
        <v>129</v>
      </c>
      <c r="G1509" t="s">
        <v>130</v>
      </c>
      <c r="H1509" s="3">
        <v>5625.56</v>
      </c>
      <c r="I1509" s="3">
        <v>5625.56</v>
      </c>
      <c r="J1509">
        <v>0</v>
      </c>
      <c r="K1509" s="3">
        <v>6469.39</v>
      </c>
      <c r="L1509" s="3">
        <v>1218.81</v>
      </c>
      <c r="M1509" s="3">
        <v>462.56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143</v>
      </c>
      <c r="X1509" s="4">
        <v>0</v>
      </c>
      <c r="Y1509" t="s">
        <v>62</v>
      </c>
      <c r="Z1509" s="3"/>
      <c r="AE1509" s="3"/>
      <c r="AK1509" s="5"/>
    </row>
    <row r="1510" spans="1:47" x14ac:dyDescent="0.25">
      <c r="A1510" t="s">
        <v>63</v>
      </c>
      <c r="B1510" s="1">
        <v>1081.19</v>
      </c>
      <c r="C1510">
        <v>0</v>
      </c>
      <c r="D1510">
        <v>0</v>
      </c>
      <c r="E1510" s="2">
        <v>0</v>
      </c>
      <c r="F1510">
        <v>137.62</v>
      </c>
      <c r="G1510" s="3">
        <v>2638</v>
      </c>
      <c r="H1510" s="3" t="s">
        <v>54</v>
      </c>
      <c r="I1510" s="3" t="s">
        <v>59</v>
      </c>
      <c r="K1510" s="3" t="s">
        <v>60</v>
      </c>
      <c r="L1510" t="s">
        <v>60</v>
      </c>
      <c r="M1510" s="3">
        <v>45985.640416666669</v>
      </c>
      <c r="Q1510" t="s">
        <v>54</v>
      </c>
      <c r="R1510">
        <v>0</v>
      </c>
      <c r="T1510" t="s">
        <v>54</v>
      </c>
      <c r="U1510" t="s">
        <v>54</v>
      </c>
      <c r="V1510">
        <v>6379</v>
      </c>
      <c r="W1510" t="s">
        <v>55</v>
      </c>
      <c r="X1510" s="4"/>
      <c r="AK1510" s="5"/>
    </row>
    <row r="1511" spans="1:47" x14ac:dyDescent="0.25">
      <c r="A1511" t="s">
        <v>47</v>
      </c>
      <c r="B1511" s="1">
        <v>38286</v>
      </c>
      <c r="C1511" t="s">
        <v>48</v>
      </c>
      <c r="D1511" t="s">
        <v>49</v>
      </c>
      <c r="E1511" s="2">
        <v>45985</v>
      </c>
      <c r="F1511" t="s">
        <v>129</v>
      </c>
      <c r="G1511" t="s">
        <v>130</v>
      </c>
      <c r="H1511" s="3">
        <v>18898.88</v>
      </c>
      <c r="I1511" s="3">
        <v>18898.88</v>
      </c>
      <c r="J1511">
        <v>0</v>
      </c>
      <c r="K1511" s="3">
        <v>21733.71</v>
      </c>
      <c r="L1511" s="3">
        <v>3827.19</v>
      </c>
      <c r="M1511" s="3">
        <v>1516</v>
      </c>
      <c r="N1511" t="s">
        <v>52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126</v>
      </c>
      <c r="V1511" t="s">
        <v>56</v>
      </c>
      <c r="W1511" t="s">
        <v>143</v>
      </c>
      <c r="X1511" s="4">
        <v>0</v>
      </c>
      <c r="Y1511" t="s">
        <v>62</v>
      </c>
      <c r="AK1511" s="5"/>
    </row>
    <row r="1512" spans="1:47" x14ac:dyDescent="0.25">
      <c r="A1512" t="s">
        <v>63</v>
      </c>
      <c r="B1512" s="1">
        <v>3720.81</v>
      </c>
      <c r="C1512">
        <v>0</v>
      </c>
      <c r="D1512">
        <v>0</v>
      </c>
      <c r="E1512" s="2">
        <v>0</v>
      </c>
      <c r="F1512">
        <v>106.38</v>
      </c>
      <c r="G1512" s="3">
        <v>6362</v>
      </c>
      <c r="H1512" s="3" t="s">
        <v>54</v>
      </c>
      <c r="I1512" s="3" t="s">
        <v>59</v>
      </c>
      <c r="K1512" s="3" t="s">
        <v>60</v>
      </c>
      <c r="L1512" s="3" t="s">
        <v>60</v>
      </c>
      <c r="M1512" s="3">
        <v>45985.643437500003</v>
      </c>
      <c r="Q1512" t="s">
        <v>54</v>
      </c>
      <c r="R1512">
        <v>0</v>
      </c>
      <c r="T1512" t="s">
        <v>54</v>
      </c>
      <c r="U1512" t="s">
        <v>54</v>
      </c>
      <c r="V1512">
        <v>6379</v>
      </c>
      <c r="W1512" t="s">
        <v>55</v>
      </c>
      <c r="X1512" s="4"/>
      <c r="AB1512" s="3"/>
      <c r="AE1512" s="3"/>
      <c r="AK1512" s="5"/>
    </row>
    <row r="1513" spans="1:47" x14ac:dyDescent="0.25">
      <c r="A1513" t="s">
        <v>81</v>
      </c>
      <c r="B1513" s="1">
        <v>38288</v>
      </c>
      <c r="C1513" t="s">
        <v>48</v>
      </c>
      <c r="D1513" t="s">
        <v>49</v>
      </c>
      <c r="E1513" s="2">
        <v>45985</v>
      </c>
      <c r="F1513" t="s">
        <v>293</v>
      </c>
      <c r="G1513" t="s">
        <v>217</v>
      </c>
      <c r="H1513" s="3">
        <v>10380</v>
      </c>
      <c r="I1513" s="3">
        <v>10380</v>
      </c>
      <c r="J1513">
        <v>0</v>
      </c>
      <c r="K1513" s="3">
        <v>10380</v>
      </c>
      <c r="L1513" s="3">
        <v>1833</v>
      </c>
      <c r="M1513" s="3">
        <v>861.51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90</v>
      </c>
      <c r="X1513" s="4">
        <v>0</v>
      </c>
      <c r="Y1513" t="s">
        <v>62</v>
      </c>
      <c r="AB1513" s="3"/>
      <c r="AE1513" s="3"/>
      <c r="AK1513" s="5"/>
    </row>
    <row r="1514" spans="1:47" x14ac:dyDescent="0.25">
      <c r="A1514" t="s">
        <v>63</v>
      </c>
      <c r="B1514" s="1">
        <v>0</v>
      </c>
      <c r="C1514">
        <v>0</v>
      </c>
      <c r="D1514">
        <v>0</v>
      </c>
      <c r="E1514" s="2">
        <v>0</v>
      </c>
      <c r="F1514" s="3">
        <v>1833</v>
      </c>
      <c r="G1514" s="3">
        <v>3000</v>
      </c>
      <c r="H1514" s="3" t="s">
        <v>54</v>
      </c>
      <c r="I1514" s="3" t="s">
        <v>59</v>
      </c>
      <c r="J1514" t="s">
        <v>294</v>
      </c>
      <c r="K1514" s="3" t="s">
        <v>60</v>
      </c>
      <c r="L1514" t="s">
        <v>60</v>
      </c>
      <c r="M1514" s="3">
        <v>45985.67291666667</v>
      </c>
      <c r="Q1514" t="s">
        <v>54</v>
      </c>
      <c r="R1514">
        <v>0</v>
      </c>
      <c r="T1514" t="s">
        <v>54</v>
      </c>
      <c r="U1514" t="s">
        <v>54</v>
      </c>
      <c r="V1514">
        <v>5293</v>
      </c>
      <c r="W1514" t="s">
        <v>55</v>
      </c>
      <c r="X1514" s="4"/>
      <c r="AK1514" s="5"/>
    </row>
    <row r="1515" spans="1:47" x14ac:dyDescent="0.25">
      <c r="A1515" t="s">
        <v>47</v>
      </c>
      <c r="B1515" s="1">
        <v>38289</v>
      </c>
      <c r="C1515" t="s">
        <v>48</v>
      </c>
      <c r="D1515" t="s">
        <v>49</v>
      </c>
      <c r="E1515" s="2">
        <v>45986</v>
      </c>
      <c r="F1515" t="s">
        <v>241</v>
      </c>
      <c r="G1515" t="s">
        <v>242</v>
      </c>
      <c r="H1515" s="3">
        <v>8055</v>
      </c>
      <c r="I1515" s="3">
        <v>8055</v>
      </c>
      <c r="J1515">
        <v>0</v>
      </c>
      <c r="K1515" s="3">
        <v>8055</v>
      </c>
      <c r="L1515" s="3">
        <v>1293</v>
      </c>
      <c r="M1515" s="3">
        <v>607.71</v>
      </c>
      <c r="N1515" t="s">
        <v>84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x14ac:dyDescent="0.25">
      <c r="A1516" t="s">
        <v>58</v>
      </c>
      <c r="B1516" s="3">
        <v>0</v>
      </c>
      <c r="C1516">
        <v>0</v>
      </c>
      <c r="D1516">
        <v>0</v>
      </c>
      <c r="E1516" s="2">
        <v>0</v>
      </c>
      <c r="F1516" s="3">
        <v>1293</v>
      </c>
      <c r="G1516" s="3">
        <v>1500</v>
      </c>
      <c r="H1516" t="s">
        <v>54</v>
      </c>
      <c r="I1516" t="s">
        <v>59</v>
      </c>
      <c r="K1516" t="s">
        <v>73</v>
      </c>
      <c r="L1516" t="s">
        <v>73</v>
      </c>
      <c r="M1516" s="3">
        <v>45986.428657407407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  <c r="X1516" s="4"/>
    </row>
    <row r="1517" spans="1:47" x14ac:dyDescent="0.25">
      <c r="A1517" t="s">
        <v>81</v>
      </c>
      <c r="B1517" s="1">
        <v>38290</v>
      </c>
      <c r="C1517" t="s">
        <v>48</v>
      </c>
      <c r="D1517" t="s">
        <v>49</v>
      </c>
      <c r="E1517" s="2">
        <v>45986</v>
      </c>
      <c r="F1517" t="s">
        <v>166</v>
      </c>
      <c r="G1517" t="s">
        <v>69</v>
      </c>
      <c r="H1517" s="3">
        <v>9160</v>
      </c>
      <c r="I1517" s="3">
        <v>9160</v>
      </c>
      <c r="J1517">
        <v>0</v>
      </c>
      <c r="K1517" s="3">
        <v>9160</v>
      </c>
      <c r="L1517" s="3">
        <v>1610</v>
      </c>
      <c r="M1517" s="3">
        <v>925.75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153</v>
      </c>
      <c r="X1517" s="4">
        <v>0</v>
      </c>
      <c r="Y1517" t="s">
        <v>58</v>
      </c>
      <c r="Z1517">
        <v>0</v>
      </c>
      <c r="AA1517">
        <v>0</v>
      </c>
      <c r="AB1517" s="3">
        <v>1610</v>
      </c>
      <c r="AC1517">
        <v>0</v>
      </c>
      <c r="AD1517">
        <v>0</v>
      </c>
      <c r="AE1517" s="3">
        <v>2000</v>
      </c>
      <c r="AF1517" t="s">
        <v>54</v>
      </c>
      <c r="AG1517" t="s">
        <v>59</v>
      </c>
      <c r="AI1517" t="s">
        <v>60</v>
      </c>
      <c r="AJ1517" t="s">
        <v>60</v>
      </c>
      <c r="AK1517" s="5">
        <v>45986.41337962963</v>
      </c>
      <c r="AO1517" t="s">
        <v>54</v>
      </c>
      <c r="AP1517">
        <v>0</v>
      </c>
      <c r="AR1517" t="s">
        <v>54</v>
      </c>
      <c r="AS1517" t="s">
        <v>54</v>
      </c>
      <c r="AT1517">
        <v>322</v>
      </c>
      <c r="AU1517" t="s">
        <v>55</v>
      </c>
    </row>
    <row r="1518" spans="1:47" x14ac:dyDescent="0.25">
      <c r="A1518" t="s">
        <v>47</v>
      </c>
      <c r="B1518" s="3">
        <v>38291</v>
      </c>
      <c r="C1518" t="s">
        <v>48</v>
      </c>
      <c r="D1518" t="s">
        <v>49</v>
      </c>
      <c r="E1518" s="2">
        <v>45986</v>
      </c>
      <c r="F1518" t="s">
        <v>148</v>
      </c>
      <c r="G1518" s="3" t="s">
        <v>89</v>
      </c>
      <c r="H1518" s="3">
        <v>33350</v>
      </c>
      <c r="I1518" s="3">
        <v>33350</v>
      </c>
      <c r="J1518">
        <v>0</v>
      </c>
      <c r="K1518" s="3">
        <v>38352.5</v>
      </c>
      <c r="L1518" s="3">
        <v>5057.5</v>
      </c>
      <c r="M1518" s="3">
        <v>3135.65</v>
      </c>
      <c r="N1518" t="s">
        <v>52</v>
      </c>
      <c r="O1518" t="s">
        <v>53</v>
      </c>
      <c r="P1518" t="s">
        <v>53</v>
      </c>
      <c r="Q1518" t="s">
        <v>53</v>
      </c>
      <c r="R1518" t="s">
        <v>54</v>
      </c>
      <c r="S1518" t="s">
        <v>54</v>
      </c>
      <c r="T1518" t="s">
        <v>55</v>
      </c>
      <c r="U1518">
        <v>126</v>
      </c>
      <c r="V1518" t="s">
        <v>56</v>
      </c>
      <c r="W1518" t="s">
        <v>95</v>
      </c>
      <c r="X1518" s="4">
        <v>0</v>
      </c>
      <c r="Y1518" t="s">
        <v>62</v>
      </c>
    </row>
    <row r="1519" spans="1:47" x14ac:dyDescent="0.25">
      <c r="A1519" t="s">
        <v>63</v>
      </c>
      <c r="B1519" s="1">
        <v>0</v>
      </c>
      <c r="C1519">
        <v>0</v>
      </c>
      <c r="D1519" s="3">
        <v>5057.5</v>
      </c>
      <c r="E1519" s="2">
        <v>0</v>
      </c>
      <c r="F1519">
        <v>0</v>
      </c>
      <c r="G1519" s="3">
        <v>2500</v>
      </c>
      <c r="H1519" s="3" t="s">
        <v>54</v>
      </c>
      <c r="I1519" s="3" t="s">
        <v>59</v>
      </c>
      <c r="J1519" t="s">
        <v>149</v>
      </c>
      <c r="K1519" s="3" t="s">
        <v>60</v>
      </c>
      <c r="L1519" s="3" t="s">
        <v>60</v>
      </c>
      <c r="M1519" s="3">
        <v>45986.419606481482</v>
      </c>
      <c r="Q1519" t="s">
        <v>54</v>
      </c>
      <c r="R1519">
        <v>0</v>
      </c>
      <c r="T1519" t="s">
        <v>54</v>
      </c>
      <c r="U1519" t="s">
        <v>54</v>
      </c>
      <c r="V1519">
        <v>8478</v>
      </c>
      <c r="W1519" t="s">
        <v>55</v>
      </c>
      <c r="X1519" s="4"/>
    </row>
    <row r="1520" spans="1:47" x14ac:dyDescent="0.25">
      <c r="A1520" t="s">
        <v>47</v>
      </c>
      <c r="B1520" s="3">
        <v>38292</v>
      </c>
      <c r="C1520" t="s">
        <v>48</v>
      </c>
      <c r="D1520" t="s">
        <v>49</v>
      </c>
      <c r="E1520" s="2">
        <v>45986</v>
      </c>
      <c r="F1520" t="s">
        <v>148</v>
      </c>
      <c r="G1520" s="3" t="s">
        <v>89</v>
      </c>
      <c r="H1520" s="3">
        <v>33350</v>
      </c>
      <c r="I1520" s="3">
        <v>33350</v>
      </c>
      <c r="J1520">
        <v>0</v>
      </c>
      <c r="K1520" s="3">
        <v>38352.5</v>
      </c>
      <c r="L1520" s="3">
        <v>5057.5</v>
      </c>
      <c r="M1520" s="3">
        <v>3135.65</v>
      </c>
      <c r="N1520" t="s">
        <v>52</v>
      </c>
      <c r="O1520" t="s">
        <v>53</v>
      </c>
      <c r="P1520" t="s">
        <v>53</v>
      </c>
      <c r="Q1520" t="s">
        <v>53</v>
      </c>
      <c r="R1520" t="s">
        <v>54</v>
      </c>
      <c r="S1520" t="s">
        <v>54</v>
      </c>
      <c r="T1520" t="s">
        <v>55</v>
      </c>
      <c r="U1520">
        <v>126</v>
      </c>
      <c r="V1520" t="s">
        <v>56</v>
      </c>
      <c r="W1520" t="s">
        <v>95</v>
      </c>
      <c r="X1520" s="4">
        <v>0</v>
      </c>
      <c r="Y1520" t="s">
        <v>62</v>
      </c>
      <c r="AB1520" s="3"/>
      <c r="AE1520" s="3"/>
      <c r="AK1520" s="5"/>
    </row>
    <row r="1521" spans="1:47" x14ac:dyDescent="0.25">
      <c r="A1521" t="s">
        <v>63</v>
      </c>
      <c r="B1521" s="1">
        <v>0</v>
      </c>
      <c r="C1521">
        <v>0</v>
      </c>
      <c r="D1521" s="3">
        <v>5057.5</v>
      </c>
      <c r="E1521" s="2">
        <v>0</v>
      </c>
      <c r="F1521">
        <v>0</v>
      </c>
      <c r="G1521" s="3">
        <v>2500</v>
      </c>
      <c r="H1521" s="3" t="s">
        <v>54</v>
      </c>
      <c r="I1521" s="3" t="s">
        <v>59</v>
      </c>
      <c r="J1521" t="s">
        <v>149</v>
      </c>
      <c r="K1521" s="3" t="s">
        <v>60</v>
      </c>
      <c r="L1521" s="3" t="s">
        <v>60</v>
      </c>
      <c r="M1521" s="3">
        <v>45986.421168981484</v>
      </c>
      <c r="Q1521" t="s">
        <v>54</v>
      </c>
      <c r="R1521">
        <v>0</v>
      </c>
      <c r="T1521" t="s">
        <v>54</v>
      </c>
      <c r="U1521" t="s">
        <v>54</v>
      </c>
      <c r="V1521">
        <v>8478</v>
      </c>
      <c r="W1521" t="s">
        <v>55</v>
      </c>
      <c r="X1521" s="4"/>
    </row>
    <row r="1522" spans="1:47" x14ac:dyDescent="0.25">
      <c r="A1522" t="s">
        <v>47</v>
      </c>
      <c r="B1522" s="1">
        <v>38293</v>
      </c>
      <c r="C1522" t="s">
        <v>48</v>
      </c>
      <c r="D1522" t="s">
        <v>49</v>
      </c>
      <c r="E1522" s="2">
        <v>45986</v>
      </c>
      <c r="F1522" s="3" t="s">
        <v>111</v>
      </c>
      <c r="G1522" s="3" t="s">
        <v>69</v>
      </c>
      <c r="H1522" s="3">
        <v>12195</v>
      </c>
      <c r="I1522" s="3">
        <v>12195</v>
      </c>
      <c r="J1522">
        <v>0</v>
      </c>
      <c r="K1522" s="3">
        <v>14024.25</v>
      </c>
      <c r="L1522" s="3">
        <v>2616</v>
      </c>
      <c r="M1522" s="3">
        <v>1013.62</v>
      </c>
      <c r="N1522" t="s">
        <v>52</v>
      </c>
      <c r="O1522" t="s">
        <v>53</v>
      </c>
      <c r="P1522" t="s">
        <v>53</v>
      </c>
      <c r="Q1522" t="s">
        <v>53</v>
      </c>
      <c r="R1522" t="s">
        <v>54</v>
      </c>
      <c r="S1522" t="s">
        <v>54</v>
      </c>
      <c r="T1522" t="s">
        <v>55</v>
      </c>
      <c r="U1522">
        <v>126</v>
      </c>
      <c r="V1522" t="s">
        <v>56</v>
      </c>
      <c r="W1522" t="s">
        <v>95</v>
      </c>
      <c r="X1522" s="4">
        <v>0</v>
      </c>
      <c r="Y1522" t="s">
        <v>58</v>
      </c>
      <c r="Z1522" s="3">
        <v>2616</v>
      </c>
      <c r="AA1522">
        <v>0</v>
      </c>
      <c r="AB1522">
        <v>0</v>
      </c>
      <c r="AC1522">
        <v>0</v>
      </c>
      <c r="AD1522">
        <v>0</v>
      </c>
      <c r="AE1522" s="3">
        <v>3500</v>
      </c>
      <c r="AF1522" t="s">
        <v>54</v>
      </c>
      <c r="AG1522" t="s">
        <v>59</v>
      </c>
      <c r="AI1522" t="s">
        <v>60</v>
      </c>
      <c r="AJ1522" t="s">
        <v>60</v>
      </c>
      <c r="AK1522" s="5">
        <v>45986.455659722225</v>
      </c>
      <c r="AO1522" t="s">
        <v>54</v>
      </c>
      <c r="AP1522">
        <v>0</v>
      </c>
      <c r="AR1522" t="s">
        <v>54</v>
      </c>
      <c r="AS1522" t="s">
        <v>54</v>
      </c>
      <c r="AT1522">
        <v>1877</v>
      </c>
      <c r="AU1522" t="s">
        <v>55</v>
      </c>
    </row>
    <row r="1523" spans="1:47" x14ac:dyDescent="0.25">
      <c r="A1523" t="s">
        <v>47</v>
      </c>
      <c r="B1523" s="1">
        <v>38294</v>
      </c>
      <c r="C1523" t="s">
        <v>48</v>
      </c>
      <c r="D1523" t="s">
        <v>49</v>
      </c>
      <c r="E1523" s="2">
        <v>45986</v>
      </c>
      <c r="F1523" t="s">
        <v>216</v>
      </c>
      <c r="G1523" s="3" t="s">
        <v>89</v>
      </c>
      <c r="H1523" s="3">
        <v>7085</v>
      </c>
      <c r="I1523" s="3">
        <v>7085</v>
      </c>
      <c r="J1523">
        <v>0</v>
      </c>
      <c r="K1523" s="3">
        <v>8147.75</v>
      </c>
      <c r="L1523" s="3">
        <v>1178.5</v>
      </c>
      <c r="M1523" s="3">
        <v>543.29</v>
      </c>
      <c r="N1523" t="s">
        <v>52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126</v>
      </c>
      <c r="V1523" t="s">
        <v>56</v>
      </c>
      <c r="W1523" t="s">
        <v>95</v>
      </c>
      <c r="X1523" s="4">
        <v>0</v>
      </c>
      <c r="Y1523" t="s">
        <v>58</v>
      </c>
      <c r="Z1523">
        <v>0</v>
      </c>
      <c r="AA1523" s="3">
        <v>1178.5</v>
      </c>
      <c r="AB1523">
        <v>0</v>
      </c>
      <c r="AC1523">
        <v>0</v>
      </c>
      <c r="AD1523">
        <v>0</v>
      </c>
      <c r="AE1523" s="3">
        <v>500</v>
      </c>
      <c r="AF1523" t="s">
        <v>54</v>
      </c>
      <c r="AG1523" t="s">
        <v>59</v>
      </c>
      <c r="AI1523" t="s">
        <v>60</v>
      </c>
      <c r="AJ1523" t="s">
        <v>60</v>
      </c>
      <c r="AK1523" s="5">
        <v>45986.461273148147</v>
      </c>
      <c r="AO1523" t="s">
        <v>54</v>
      </c>
      <c r="AP1523">
        <v>0</v>
      </c>
      <c r="AR1523" t="s">
        <v>54</v>
      </c>
      <c r="AS1523" t="s">
        <v>54</v>
      </c>
      <c r="AT1523">
        <v>6614</v>
      </c>
      <c r="AU1523" t="s">
        <v>55</v>
      </c>
    </row>
    <row r="1524" spans="1:47" x14ac:dyDescent="0.25">
      <c r="A1524" t="s">
        <v>96</v>
      </c>
      <c r="B1524" s="1">
        <v>38295</v>
      </c>
      <c r="C1524" t="s">
        <v>48</v>
      </c>
      <c r="D1524" t="s">
        <v>49</v>
      </c>
      <c r="E1524" s="2">
        <v>45986</v>
      </c>
      <c r="F1524" s="3" t="s">
        <v>309</v>
      </c>
      <c r="G1524" s="3" t="s">
        <v>94</v>
      </c>
      <c r="H1524" s="3">
        <v>4375</v>
      </c>
      <c r="I1524" s="3">
        <v>4375</v>
      </c>
      <c r="J1524">
        <v>0</v>
      </c>
      <c r="K1524" s="3">
        <v>4375</v>
      </c>
      <c r="L1524">
        <v>651.5</v>
      </c>
      <c r="M1524" s="3">
        <v>365.68</v>
      </c>
      <c r="N1524" t="s">
        <v>52</v>
      </c>
      <c r="O1524" t="s">
        <v>53</v>
      </c>
      <c r="P1524" t="s">
        <v>53</v>
      </c>
      <c r="Q1524" t="s">
        <v>53</v>
      </c>
      <c r="R1524" t="s">
        <v>54</v>
      </c>
      <c r="S1524" t="s">
        <v>54</v>
      </c>
      <c r="T1524" t="s">
        <v>55</v>
      </c>
      <c r="U1524">
        <v>126</v>
      </c>
      <c r="V1524" t="s">
        <v>56</v>
      </c>
      <c r="W1524" t="s">
        <v>72</v>
      </c>
      <c r="X1524" s="4">
        <v>0</v>
      </c>
      <c r="Y1524" t="s">
        <v>62</v>
      </c>
    </row>
    <row r="1525" spans="1:47" x14ac:dyDescent="0.25">
      <c r="A1525" t="s">
        <v>63</v>
      </c>
      <c r="B1525" s="1">
        <v>72</v>
      </c>
      <c r="C1525">
        <v>0</v>
      </c>
      <c r="D1525">
        <v>579.5</v>
      </c>
      <c r="E1525" s="2">
        <v>0</v>
      </c>
      <c r="F1525">
        <v>0</v>
      </c>
      <c r="G1525" s="3">
        <v>1000</v>
      </c>
      <c r="H1525" s="3" t="s">
        <v>54</v>
      </c>
      <c r="I1525" s="3" t="s">
        <v>59</v>
      </c>
      <c r="K1525" s="3" t="s">
        <v>60</v>
      </c>
      <c r="L1525" s="3" t="s">
        <v>60</v>
      </c>
      <c r="M1525" s="3">
        <v>45986.485729166663</v>
      </c>
      <c r="Q1525" t="s">
        <v>54</v>
      </c>
      <c r="R1525">
        <v>0</v>
      </c>
      <c r="T1525" t="s">
        <v>54</v>
      </c>
      <c r="U1525" t="s">
        <v>54</v>
      </c>
      <c r="V1525">
        <v>8463</v>
      </c>
      <c r="W1525" t="s">
        <v>55</v>
      </c>
      <c r="X1525" s="4"/>
      <c r="AB1525" s="3"/>
      <c r="AE1525" s="3"/>
      <c r="AK1525" s="5"/>
    </row>
    <row r="1526" spans="1:47" x14ac:dyDescent="0.25">
      <c r="A1526" t="s">
        <v>81</v>
      </c>
      <c r="B1526" s="1">
        <v>38296</v>
      </c>
      <c r="C1526" t="s">
        <v>48</v>
      </c>
      <c r="D1526" t="s">
        <v>49</v>
      </c>
      <c r="E1526" s="2">
        <v>45987</v>
      </c>
      <c r="F1526" t="s">
        <v>299</v>
      </c>
      <c r="G1526" s="3" t="s">
        <v>66</v>
      </c>
      <c r="H1526" s="3">
        <v>3537</v>
      </c>
      <c r="I1526" s="3">
        <v>3537</v>
      </c>
      <c r="J1526">
        <v>0</v>
      </c>
      <c r="K1526" s="3">
        <v>3537</v>
      </c>
      <c r="L1526" s="3">
        <v>624.6</v>
      </c>
      <c r="M1526" s="3">
        <v>279.82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289</v>
      </c>
      <c r="X1526" s="4">
        <v>0</v>
      </c>
      <c r="Y1526" t="s">
        <v>62</v>
      </c>
    </row>
    <row r="1527" spans="1:47" x14ac:dyDescent="0.25">
      <c r="A1527" t="s">
        <v>63</v>
      </c>
      <c r="B1527" s="1">
        <v>624.6</v>
      </c>
      <c r="C1527">
        <v>0</v>
      </c>
      <c r="D1527" s="3">
        <v>0</v>
      </c>
      <c r="E1527" s="2">
        <v>0</v>
      </c>
      <c r="F1527">
        <v>0</v>
      </c>
      <c r="G1527" s="3">
        <v>900</v>
      </c>
      <c r="H1527" s="3" t="s">
        <v>54</v>
      </c>
      <c r="I1527" s="3" t="s">
        <v>59</v>
      </c>
      <c r="K1527" s="3" t="s">
        <v>60</v>
      </c>
      <c r="L1527" s="3" t="s">
        <v>60</v>
      </c>
      <c r="M1527" s="3">
        <v>45987.652685185189</v>
      </c>
      <c r="Q1527" t="s">
        <v>54</v>
      </c>
      <c r="R1527">
        <v>0</v>
      </c>
      <c r="T1527" t="s">
        <v>54</v>
      </c>
      <c r="U1527" t="s">
        <v>54</v>
      </c>
      <c r="V1527">
        <v>1017</v>
      </c>
      <c r="W1527" t="s">
        <v>55</v>
      </c>
      <c r="X1527" s="4"/>
    </row>
    <row r="1528" spans="1:47" x14ac:dyDescent="0.25">
      <c r="A1528" t="s">
        <v>136</v>
      </c>
      <c r="B1528" s="1">
        <v>38297</v>
      </c>
      <c r="C1528" t="s">
        <v>48</v>
      </c>
      <c r="D1528" s="3" t="s">
        <v>49</v>
      </c>
      <c r="E1528" s="2">
        <v>45987</v>
      </c>
      <c r="F1528" t="s">
        <v>240</v>
      </c>
      <c r="G1528" s="3" t="s">
        <v>239</v>
      </c>
      <c r="H1528" s="3">
        <v>6495</v>
      </c>
      <c r="I1528" s="3">
        <v>6495</v>
      </c>
      <c r="J1528">
        <v>0</v>
      </c>
      <c r="K1528" s="3">
        <v>6495</v>
      </c>
      <c r="L1528" s="3">
        <v>1014</v>
      </c>
      <c r="M1528" s="3">
        <v>527.29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164</v>
      </c>
      <c r="X1528" s="4">
        <v>0</v>
      </c>
      <c r="Y1528" t="s">
        <v>58</v>
      </c>
      <c r="Z1528">
        <v>0</v>
      </c>
      <c r="AA1528" s="3">
        <v>1014</v>
      </c>
      <c r="AB1528">
        <v>0</v>
      </c>
      <c r="AC1528">
        <v>0</v>
      </c>
      <c r="AD1528">
        <v>0</v>
      </c>
      <c r="AE1528" s="3">
        <v>1500</v>
      </c>
      <c r="AF1528" t="s">
        <v>54</v>
      </c>
      <c r="AG1528" t="s">
        <v>59</v>
      </c>
      <c r="AI1528" t="s">
        <v>60</v>
      </c>
      <c r="AJ1528" t="s">
        <v>60</v>
      </c>
      <c r="AK1528" s="5">
        <v>45987.542395833334</v>
      </c>
      <c r="AO1528" t="s">
        <v>54</v>
      </c>
      <c r="AP1528">
        <v>0</v>
      </c>
      <c r="AR1528" t="s">
        <v>54</v>
      </c>
      <c r="AS1528" t="s">
        <v>54</v>
      </c>
      <c r="AT1528">
        <v>5418</v>
      </c>
      <c r="AU1528" t="s">
        <v>55</v>
      </c>
    </row>
    <row r="1529" spans="1:47" x14ac:dyDescent="0.25">
      <c r="A1529" t="s">
        <v>47</v>
      </c>
      <c r="B1529" s="1">
        <v>38299</v>
      </c>
      <c r="C1529" t="s">
        <v>48</v>
      </c>
      <c r="D1529" s="3" t="s">
        <v>49</v>
      </c>
      <c r="E1529" s="2">
        <v>45988</v>
      </c>
      <c r="F1529" t="s">
        <v>108</v>
      </c>
      <c r="G1529" s="3" t="s">
        <v>109</v>
      </c>
      <c r="H1529" s="3">
        <v>2690</v>
      </c>
      <c r="I1529" s="3">
        <v>2690</v>
      </c>
      <c r="J1529">
        <v>0</v>
      </c>
      <c r="K1529" s="3">
        <v>2690</v>
      </c>
      <c r="L1529" s="3">
        <v>339</v>
      </c>
      <c r="M1529" s="3">
        <v>210.18</v>
      </c>
      <c r="N1529" t="s">
        <v>84</v>
      </c>
      <c r="O1529" t="s">
        <v>53</v>
      </c>
      <c r="P1529" t="s">
        <v>53</v>
      </c>
      <c r="Q1529" t="s">
        <v>53</v>
      </c>
      <c r="R1529" t="s">
        <v>54</v>
      </c>
      <c r="S1529" t="s">
        <v>54</v>
      </c>
      <c r="T1529" t="s">
        <v>55</v>
      </c>
      <c r="U1529">
        <v>9</v>
      </c>
      <c r="V1529" t="s">
        <v>56</v>
      </c>
      <c r="W1529" t="s">
        <v>110</v>
      </c>
      <c r="X1529" s="4">
        <v>0</v>
      </c>
      <c r="Y1529" t="s">
        <v>58</v>
      </c>
      <c r="Z1529">
        <v>0</v>
      </c>
      <c r="AA1529">
        <v>0</v>
      </c>
      <c r="AB1529">
        <v>339</v>
      </c>
      <c r="AC1529">
        <v>0</v>
      </c>
      <c r="AD1529">
        <v>0</v>
      </c>
      <c r="AE1529" s="3">
        <v>1000</v>
      </c>
      <c r="AF1529" t="s">
        <v>54</v>
      </c>
      <c r="AG1529" t="s">
        <v>59</v>
      </c>
      <c r="AI1529" t="s">
        <v>92</v>
      </c>
      <c r="AJ1529" t="s">
        <v>92</v>
      </c>
      <c r="AK1529" s="5">
        <v>45988.387164351851</v>
      </c>
      <c r="AO1529" t="s">
        <v>54</v>
      </c>
      <c r="AP1529">
        <v>0</v>
      </c>
      <c r="AR1529" t="s">
        <v>54</v>
      </c>
      <c r="AS1529" t="s">
        <v>54</v>
      </c>
      <c r="AT1529">
        <v>3124</v>
      </c>
      <c r="AU1529" t="s">
        <v>55</v>
      </c>
    </row>
    <row r="1530" spans="1:47" x14ac:dyDescent="0.25">
      <c r="A1530" t="s">
        <v>47</v>
      </c>
      <c r="B1530" s="1">
        <v>38300</v>
      </c>
      <c r="C1530" t="s">
        <v>48</v>
      </c>
      <c r="D1530" t="s">
        <v>49</v>
      </c>
      <c r="E1530" s="2">
        <v>45988</v>
      </c>
      <c r="F1530" t="s">
        <v>108</v>
      </c>
      <c r="G1530" s="3" t="s">
        <v>109</v>
      </c>
      <c r="H1530" s="3">
        <v>8480</v>
      </c>
      <c r="I1530" s="3">
        <v>8480</v>
      </c>
      <c r="J1530">
        <v>0</v>
      </c>
      <c r="K1530" s="3">
        <v>8480</v>
      </c>
      <c r="L1530" s="3">
        <v>1092</v>
      </c>
      <c r="M1530" s="3">
        <v>677.04</v>
      </c>
      <c r="N1530" t="s">
        <v>84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9</v>
      </c>
      <c r="V1530" t="s">
        <v>56</v>
      </c>
      <c r="W1530" t="s">
        <v>110</v>
      </c>
      <c r="X1530" s="4">
        <v>0</v>
      </c>
      <c r="Y1530" t="s">
        <v>58</v>
      </c>
      <c r="Z1530" s="3">
        <v>0</v>
      </c>
      <c r="AA1530">
        <v>0</v>
      </c>
      <c r="AB1530" s="3">
        <v>1092</v>
      </c>
      <c r="AC1530">
        <v>0</v>
      </c>
      <c r="AD1530">
        <v>0</v>
      </c>
      <c r="AE1530" s="3">
        <v>1000</v>
      </c>
      <c r="AF1530" t="s">
        <v>54</v>
      </c>
      <c r="AG1530" t="s">
        <v>59</v>
      </c>
      <c r="AI1530" t="s">
        <v>92</v>
      </c>
      <c r="AJ1530" t="s">
        <v>92</v>
      </c>
      <c r="AK1530" s="5">
        <v>45988.388159722221</v>
      </c>
      <c r="AO1530" t="s">
        <v>54</v>
      </c>
      <c r="AP1530">
        <v>0</v>
      </c>
      <c r="AR1530" t="s">
        <v>54</v>
      </c>
      <c r="AS1530" t="s">
        <v>54</v>
      </c>
      <c r="AT1530">
        <v>3124</v>
      </c>
      <c r="AU1530" t="s">
        <v>55</v>
      </c>
    </row>
    <row r="1531" spans="1:47" x14ac:dyDescent="0.25">
      <c r="A1531" t="s">
        <v>47</v>
      </c>
      <c r="B1531" s="1">
        <v>38301</v>
      </c>
      <c r="C1531" t="s">
        <v>48</v>
      </c>
      <c r="D1531" t="s">
        <v>49</v>
      </c>
      <c r="E1531" s="2">
        <v>45988</v>
      </c>
      <c r="F1531" t="s">
        <v>101</v>
      </c>
      <c r="G1531" t="s">
        <v>94</v>
      </c>
      <c r="H1531" s="3">
        <v>31990</v>
      </c>
      <c r="I1531" s="3">
        <v>31990</v>
      </c>
      <c r="J1531">
        <v>0</v>
      </c>
      <c r="K1531" s="3">
        <v>36788.5</v>
      </c>
      <c r="L1531" s="3">
        <v>7194</v>
      </c>
      <c r="M1531" s="3">
        <v>2637.6</v>
      </c>
      <c r="N1531" t="s">
        <v>84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9</v>
      </c>
      <c r="V1531" t="s">
        <v>71</v>
      </c>
      <c r="W1531" t="s">
        <v>102</v>
      </c>
      <c r="X1531" s="4">
        <v>0</v>
      </c>
      <c r="Y1531" t="s">
        <v>58</v>
      </c>
      <c r="Z1531" s="3">
        <v>7194</v>
      </c>
      <c r="AA1531" s="3">
        <v>0</v>
      </c>
      <c r="AB1531">
        <v>0</v>
      </c>
      <c r="AC1531">
        <v>0</v>
      </c>
      <c r="AD1531">
        <v>0</v>
      </c>
      <c r="AE1531" s="3">
        <v>4000</v>
      </c>
      <c r="AF1531" t="s">
        <v>54</v>
      </c>
      <c r="AG1531" t="s">
        <v>59</v>
      </c>
      <c r="AH1531" t="s">
        <v>103</v>
      </c>
      <c r="AI1531" t="s">
        <v>73</v>
      </c>
      <c r="AJ1531" t="s">
        <v>73</v>
      </c>
      <c r="AK1531" s="5">
        <v>45988.392152777778</v>
      </c>
      <c r="AO1531" t="s">
        <v>54</v>
      </c>
      <c r="AP1531">
        <v>0</v>
      </c>
      <c r="AR1531" t="s">
        <v>54</v>
      </c>
      <c r="AS1531" t="s">
        <v>54</v>
      </c>
      <c r="AT1531">
        <v>161</v>
      </c>
      <c r="AU1531" t="s">
        <v>55</v>
      </c>
    </row>
    <row r="1532" spans="1:47" x14ac:dyDescent="0.25">
      <c r="A1532" t="s">
        <v>81</v>
      </c>
      <c r="B1532" s="1">
        <v>38302</v>
      </c>
      <c r="C1532" t="s">
        <v>48</v>
      </c>
      <c r="D1532" t="s">
        <v>49</v>
      </c>
      <c r="E1532" s="2">
        <v>45988</v>
      </c>
      <c r="F1532" t="s">
        <v>382</v>
      </c>
      <c r="G1532" s="3" t="s">
        <v>138</v>
      </c>
      <c r="H1532" s="3">
        <v>5179</v>
      </c>
      <c r="I1532" s="3">
        <v>5179</v>
      </c>
      <c r="J1532">
        <v>0</v>
      </c>
      <c r="K1532" s="3">
        <v>5179</v>
      </c>
      <c r="L1532" s="3">
        <v>657.4</v>
      </c>
      <c r="M1532" s="3">
        <v>458.78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W1532" t="s">
        <v>117</v>
      </c>
      <c r="X1532" s="4"/>
      <c r="Y1532" t="s">
        <v>62</v>
      </c>
    </row>
    <row r="1533" spans="1:47" x14ac:dyDescent="0.25">
      <c r="A1533" t="s">
        <v>63</v>
      </c>
      <c r="B1533" s="1">
        <v>0</v>
      </c>
      <c r="C1533">
        <v>0</v>
      </c>
      <c r="D1533">
        <v>657.4</v>
      </c>
      <c r="E1533" s="2">
        <v>0</v>
      </c>
      <c r="F1533">
        <v>0</v>
      </c>
      <c r="G1533" s="3">
        <v>1100</v>
      </c>
      <c r="H1533" s="3"/>
      <c r="I1533" s="3"/>
      <c r="K1533" s="3"/>
      <c r="L1533" t="s">
        <v>60</v>
      </c>
      <c r="M1533" s="3">
        <v>45989.436319444445</v>
      </c>
      <c r="Q1533" t="s">
        <v>54</v>
      </c>
      <c r="R1533">
        <v>0</v>
      </c>
      <c r="T1533" t="s">
        <v>54</v>
      </c>
      <c r="U1533" t="s">
        <v>54</v>
      </c>
      <c r="V1533">
        <v>7986</v>
      </c>
      <c r="W1533" t="s">
        <v>248</v>
      </c>
      <c r="X1533" s="4"/>
    </row>
    <row r="1534" spans="1:47" x14ac:dyDescent="0.25">
      <c r="A1534" t="s">
        <v>47</v>
      </c>
      <c r="B1534" s="1">
        <v>38303</v>
      </c>
      <c r="C1534" t="s">
        <v>48</v>
      </c>
      <c r="D1534" t="s">
        <v>49</v>
      </c>
      <c r="E1534" s="2">
        <v>45988</v>
      </c>
      <c r="F1534" t="s">
        <v>101</v>
      </c>
      <c r="G1534" s="3" t="s">
        <v>94</v>
      </c>
      <c r="H1534" s="3">
        <v>2410</v>
      </c>
      <c r="I1534" s="3">
        <v>2410</v>
      </c>
      <c r="J1534">
        <v>0</v>
      </c>
      <c r="K1534" s="3">
        <v>2771.5</v>
      </c>
      <c r="L1534" s="3">
        <v>599</v>
      </c>
      <c r="M1534" s="3">
        <v>203.66</v>
      </c>
      <c r="N1534" t="s">
        <v>84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9</v>
      </c>
      <c r="V1534" t="s">
        <v>71</v>
      </c>
      <c r="W1534" t="s">
        <v>102</v>
      </c>
      <c r="X1534" s="4">
        <v>0</v>
      </c>
      <c r="Y1534" t="s">
        <v>58</v>
      </c>
      <c r="Z1534">
        <v>599</v>
      </c>
      <c r="AA1534" s="3">
        <v>0</v>
      </c>
      <c r="AB1534">
        <v>0</v>
      </c>
      <c r="AC1534">
        <v>0</v>
      </c>
      <c r="AD1534">
        <v>0</v>
      </c>
      <c r="AE1534" s="3">
        <v>1000</v>
      </c>
      <c r="AF1534" t="s">
        <v>54</v>
      </c>
      <c r="AG1534" t="s">
        <v>59</v>
      </c>
      <c r="AH1534" t="s">
        <v>103</v>
      </c>
      <c r="AI1534" t="s">
        <v>92</v>
      </c>
      <c r="AJ1534" t="s">
        <v>92</v>
      </c>
      <c r="AK1534" s="5">
        <v>45988.575682870367</v>
      </c>
      <c r="AO1534" t="s">
        <v>54</v>
      </c>
      <c r="AP1534">
        <v>0</v>
      </c>
      <c r="AR1534" t="s">
        <v>54</v>
      </c>
      <c r="AS1534" t="s">
        <v>54</v>
      </c>
      <c r="AT1534">
        <v>161</v>
      </c>
      <c r="AU1534" t="s">
        <v>55</v>
      </c>
    </row>
    <row r="1535" spans="1:47" x14ac:dyDescent="0.25">
      <c r="A1535" t="s">
        <v>47</v>
      </c>
      <c r="B1535" s="1">
        <v>38304</v>
      </c>
      <c r="C1535" t="s">
        <v>48</v>
      </c>
      <c r="D1535" t="s">
        <v>49</v>
      </c>
      <c r="E1535" s="2">
        <v>45988</v>
      </c>
      <c r="F1535" t="s">
        <v>402</v>
      </c>
      <c r="G1535" t="s">
        <v>66</v>
      </c>
      <c r="H1535" s="3">
        <v>132</v>
      </c>
      <c r="I1535" s="3">
        <v>132</v>
      </c>
      <c r="J1535">
        <v>0</v>
      </c>
      <c r="K1535" s="3">
        <v>151.80000000000001</v>
      </c>
      <c r="L1535">
        <v>21.49</v>
      </c>
      <c r="M1535" s="3">
        <v>9.0299999999999994</v>
      </c>
      <c r="N1535" t="s">
        <v>98</v>
      </c>
      <c r="O1535" t="s">
        <v>53</v>
      </c>
      <c r="P1535" t="s">
        <v>53</v>
      </c>
      <c r="Q1535" t="s">
        <v>53</v>
      </c>
      <c r="R1535" t="s">
        <v>54</v>
      </c>
      <c r="S1535" t="s">
        <v>54</v>
      </c>
      <c r="T1535" t="s">
        <v>55</v>
      </c>
      <c r="U1535">
        <v>167</v>
      </c>
      <c r="V1535" t="s">
        <v>99</v>
      </c>
      <c r="W1535" t="s">
        <v>114</v>
      </c>
      <c r="X1535" s="4">
        <v>0</v>
      </c>
      <c r="Y1535" t="s">
        <v>62</v>
      </c>
      <c r="AK1535" s="5"/>
    </row>
    <row r="1536" spans="1:47" x14ac:dyDescent="0.25">
      <c r="A1536" t="s">
        <v>63</v>
      </c>
      <c r="B1536" s="1">
        <v>21.49</v>
      </c>
      <c r="C1536">
        <v>0</v>
      </c>
      <c r="D1536">
        <v>0</v>
      </c>
      <c r="E1536" s="2">
        <v>0</v>
      </c>
      <c r="F1536">
        <v>0</v>
      </c>
      <c r="G1536" s="3">
        <v>22</v>
      </c>
      <c r="H1536" s="3" t="s">
        <v>54</v>
      </c>
      <c r="I1536" s="3" t="s">
        <v>197</v>
      </c>
      <c r="J1536" t="s">
        <v>79</v>
      </c>
      <c r="K1536" s="3" t="s">
        <v>99</v>
      </c>
      <c r="L1536" s="3" t="s">
        <v>92</v>
      </c>
      <c r="M1536" s="3">
        <v>45988.611168981479</v>
      </c>
      <c r="P1536" t="s">
        <v>66</v>
      </c>
      <c r="Q1536" t="s">
        <v>54</v>
      </c>
      <c r="R1536">
        <v>0</v>
      </c>
      <c r="T1536" t="s">
        <v>54</v>
      </c>
      <c r="U1536" t="s">
        <v>54</v>
      </c>
      <c r="V1536">
        <v>8816</v>
      </c>
      <c r="W1536" t="s">
        <v>55</v>
      </c>
      <c r="X1536" s="4"/>
      <c r="Z1536" s="3"/>
      <c r="AA1536" s="3"/>
      <c r="AB1536" s="3"/>
      <c r="AE1536" s="3"/>
      <c r="AK1536" s="5"/>
    </row>
    <row r="1537" spans="1:47" x14ac:dyDescent="0.25">
      <c r="A1537" t="s">
        <v>81</v>
      </c>
      <c r="B1537" s="1">
        <v>38305</v>
      </c>
      <c r="C1537" t="s">
        <v>48</v>
      </c>
      <c r="D1537" t="s">
        <v>49</v>
      </c>
      <c r="E1537" s="2">
        <v>45988</v>
      </c>
      <c r="F1537" t="s">
        <v>145</v>
      </c>
      <c r="G1537" t="s">
        <v>66</v>
      </c>
      <c r="H1537" s="3">
        <v>22850</v>
      </c>
      <c r="I1537" s="3">
        <v>22850</v>
      </c>
      <c r="J1537">
        <v>0</v>
      </c>
      <c r="K1537" s="3">
        <v>22850</v>
      </c>
      <c r="L1537" s="3">
        <v>4268</v>
      </c>
      <c r="M1537" s="3">
        <v>2005.96</v>
      </c>
      <c r="N1537" t="s">
        <v>98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167</v>
      </c>
      <c r="V1537" t="s">
        <v>146</v>
      </c>
      <c r="W1537" t="s">
        <v>147</v>
      </c>
      <c r="X1537" s="4">
        <v>0</v>
      </c>
      <c r="Y1537" t="s">
        <v>58</v>
      </c>
      <c r="Z1537">
        <v>0</v>
      </c>
      <c r="AA1537">
        <v>0</v>
      </c>
      <c r="AB1537">
        <v>0</v>
      </c>
      <c r="AC1537">
        <v>0</v>
      </c>
      <c r="AD1537" s="3">
        <v>4268</v>
      </c>
      <c r="AE1537" s="3">
        <v>7000</v>
      </c>
      <c r="AF1537" t="s">
        <v>54</v>
      </c>
      <c r="AG1537" t="s">
        <v>59</v>
      </c>
      <c r="AI1537" t="s">
        <v>73</v>
      </c>
      <c r="AJ1537" t="s">
        <v>73</v>
      </c>
      <c r="AK1537" s="5">
        <v>45988.682824074072</v>
      </c>
      <c r="AO1537" t="s">
        <v>54</v>
      </c>
      <c r="AP1537">
        <v>0</v>
      </c>
      <c r="AR1537" t="s">
        <v>54</v>
      </c>
      <c r="AS1537" t="s">
        <v>54</v>
      </c>
      <c r="AT1537">
        <v>1301</v>
      </c>
      <c r="AU1537" t="s">
        <v>55</v>
      </c>
    </row>
    <row r="1538" spans="1:47" x14ac:dyDescent="0.25">
      <c r="A1538" t="s">
        <v>47</v>
      </c>
      <c r="B1538" s="1">
        <v>38306</v>
      </c>
      <c r="C1538" t="s">
        <v>48</v>
      </c>
      <c r="D1538" t="s">
        <v>49</v>
      </c>
      <c r="E1538" s="2">
        <v>45988</v>
      </c>
      <c r="F1538" t="s">
        <v>108</v>
      </c>
      <c r="G1538" s="3" t="s">
        <v>109</v>
      </c>
      <c r="H1538" s="3">
        <v>16960</v>
      </c>
      <c r="I1538" s="3">
        <v>16960</v>
      </c>
      <c r="J1538">
        <v>0</v>
      </c>
      <c r="K1538" s="3">
        <v>16960</v>
      </c>
      <c r="L1538" s="3">
        <v>2184</v>
      </c>
      <c r="M1538" s="3">
        <v>1354.08</v>
      </c>
      <c r="N1538" t="s">
        <v>84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110</v>
      </c>
      <c r="X1538" s="4">
        <v>0</v>
      </c>
      <c r="Y1538" t="s">
        <v>58</v>
      </c>
      <c r="Z1538">
        <v>0</v>
      </c>
      <c r="AA1538">
        <v>0</v>
      </c>
      <c r="AB1538" s="3">
        <v>2184</v>
      </c>
      <c r="AC1538">
        <v>0</v>
      </c>
      <c r="AD1538">
        <v>0</v>
      </c>
      <c r="AE1538" s="3">
        <v>2000</v>
      </c>
      <c r="AF1538" t="s">
        <v>54</v>
      </c>
      <c r="AG1538" t="s">
        <v>59</v>
      </c>
      <c r="AI1538" t="s">
        <v>92</v>
      </c>
      <c r="AJ1538" t="s">
        <v>92</v>
      </c>
      <c r="AK1538" s="5">
        <v>45988.750023148146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x14ac:dyDescent="0.25">
      <c r="A1539" t="s">
        <v>47</v>
      </c>
      <c r="B1539" s="1">
        <v>38307</v>
      </c>
      <c r="C1539" t="s">
        <v>48</v>
      </c>
      <c r="D1539" t="s">
        <v>49</v>
      </c>
      <c r="E1539" s="2">
        <v>45989</v>
      </c>
      <c r="F1539" t="s">
        <v>101</v>
      </c>
      <c r="G1539" t="s">
        <v>94</v>
      </c>
      <c r="H1539" s="3">
        <v>4919</v>
      </c>
      <c r="I1539" s="3">
        <v>4919</v>
      </c>
      <c r="J1539">
        <v>0</v>
      </c>
      <c r="K1539" s="3">
        <v>5656.85</v>
      </c>
      <c r="L1539" s="3">
        <v>881.1</v>
      </c>
      <c r="M1539" s="3">
        <v>465.14</v>
      </c>
      <c r="N1539" t="s">
        <v>84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102</v>
      </c>
      <c r="X1539" s="4">
        <v>0</v>
      </c>
      <c r="Y1539" t="s">
        <v>58</v>
      </c>
      <c r="Z1539" s="3">
        <v>199.5</v>
      </c>
      <c r="AA1539">
        <v>0</v>
      </c>
      <c r="AB1539">
        <v>681.6</v>
      </c>
      <c r="AC1539">
        <v>0</v>
      </c>
      <c r="AD1539">
        <v>0</v>
      </c>
      <c r="AE1539" s="3">
        <v>200</v>
      </c>
      <c r="AF1539" t="s">
        <v>54</v>
      </c>
      <c r="AG1539" t="s">
        <v>59</v>
      </c>
      <c r="AH1539" t="s">
        <v>103</v>
      </c>
      <c r="AI1539" t="s">
        <v>92</v>
      </c>
      <c r="AJ1539" t="s">
        <v>92</v>
      </c>
      <c r="AK1539" s="5">
        <v>45989.391956018517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x14ac:dyDescent="0.25">
      <c r="A1540" t="s">
        <v>81</v>
      </c>
      <c r="B1540" s="1">
        <v>38308</v>
      </c>
      <c r="C1540" t="s">
        <v>48</v>
      </c>
      <c r="D1540" t="s">
        <v>49</v>
      </c>
      <c r="E1540" s="2">
        <v>45989</v>
      </c>
      <c r="F1540" t="s">
        <v>333</v>
      </c>
      <c r="G1540" t="s">
        <v>138</v>
      </c>
      <c r="H1540" s="3">
        <v>9678</v>
      </c>
      <c r="I1540" s="3">
        <v>9678</v>
      </c>
      <c r="J1540">
        <v>0</v>
      </c>
      <c r="K1540" s="3">
        <v>9678</v>
      </c>
      <c r="L1540" s="3">
        <v>1836</v>
      </c>
      <c r="M1540" s="3">
        <v>673.82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V1540" t="s">
        <v>56</v>
      </c>
      <c r="W1540" t="s">
        <v>164</v>
      </c>
      <c r="X1540" s="4">
        <v>0</v>
      </c>
      <c r="Y1540" t="s">
        <v>58</v>
      </c>
      <c r="Z1540" s="3">
        <v>1836</v>
      </c>
      <c r="AA1540">
        <v>0</v>
      </c>
      <c r="AB1540">
        <v>0</v>
      </c>
      <c r="AC1540">
        <v>0</v>
      </c>
      <c r="AD1540">
        <v>0</v>
      </c>
      <c r="AE1540" s="3">
        <v>6000</v>
      </c>
      <c r="AF1540" t="s">
        <v>54</v>
      </c>
      <c r="AG1540" t="s">
        <v>59</v>
      </c>
      <c r="AH1540" t="s">
        <v>334</v>
      </c>
      <c r="AI1540" t="s">
        <v>60</v>
      </c>
      <c r="AJ1540" t="s">
        <v>60</v>
      </c>
      <c r="AK1540" s="5">
        <v>45989.524386574078</v>
      </c>
      <c r="AO1540" t="s">
        <v>54</v>
      </c>
      <c r="AP1540">
        <v>0</v>
      </c>
      <c r="AR1540" t="s">
        <v>54</v>
      </c>
      <c r="AS1540" t="s">
        <v>54</v>
      </c>
      <c r="AT1540">
        <v>5450</v>
      </c>
      <c r="AU1540" t="s">
        <v>55</v>
      </c>
    </row>
    <row r="1541" spans="1:47" x14ac:dyDescent="0.25">
      <c r="A1541" t="s">
        <v>47</v>
      </c>
      <c r="B1541" s="1">
        <v>38309</v>
      </c>
      <c r="C1541" t="s">
        <v>48</v>
      </c>
      <c r="D1541" t="s">
        <v>49</v>
      </c>
      <c r="E1541" s="2">
        <v>45989</v>
      </c>
      <c r="F1541" t="s">
        <v>101</v>
      </c>
      <c r="G1541" s="3" t="s">
        <v>94</v>
      </c>
      <c r="H1541" s="3">
        <v>9815</v>
      </c>
      <c r="I1541" s="3">
        <v>9815</v>
      </c>
      <c r="J1541">
        <v>0</v>
      </c>
      <c r="K1541" s="3">
        <v>11287.25</v>
      </c>
      <c r="L1541" s="3">
        <v>1874</v>
      </c>
      <c r="M1541" s="3">
        <v>724.67</v>
      </c>
      <c r="N1541" t="s">
        <v>84</v>
      </c>
      <c r="O1541" t="s">
        <v>53</v>
      </c>
      <c r="P1541" t="s">
        <v>53</v>
      </c>
      <c r="Q1541" t="s">
        <v>53</v>
      </c>
      <c r="R1541" t="s">
        <v>54</v>
      </c>
      <c r="S1541" t="s">
        <v>54</v>
      </c>
      <c r="T1541" t="s">
        <v>55</v>
      </c>
      <c r="U1541">
        <v>9</v>
      </c>
      <c r="V1541" t="s">
        <v>71</v>
      </c>
      <c r="W1541" t="s">
        <v>102</v>
      </c>
      <c r="X1541" s="4">
        <v>0</v>
      </c>
      <c r="Y1541" t="s">
        <v>58</v>
      </c>
      <c r="Z1541" s="3">
        <v>1874</v>
      </c>
      <c r="AA1541">
        <v>0</v>
      </c>
      <c r="AB1541" s="3">
        <v>0</v>
      </c>
      <c r="AC1541">
        <v>0</v>
      </c>
      <c r="AD1541">
        <v>0</v>
      </c>
      <c r="AE1541" s="3">
        <v>3500</v>
      </c>
      <c r="AF1541" t="s">
        <v>54</v>
      </c>
      <c r="AG1541" t="s">
        <v>59</v>
      </c>
      <c r="AH1541" t="s">
        <v>103</v>
      </c>
      <c r="AI1541" t="s">
        <v>92</v>
      </c>
      <c r="AJ1541" t="s">
        <v>92</v>
      </c>
      <c r="AK1541" s="5">
        <v>45989.444374999999</v>
      </c>
      <c r="AO1541" t="s">
        <v>54</v>
      </c>
      <c r="AP1541">
        <v>0</v>
      </c>
      <c r="AR1541" t="s">
        <v>54</v>
      </c>
      <c r="AS1541" t="s">
        <v>54</v>
      </c>
      <c r="AT1541">
        <v>161</v>
      </c>
      <c r="AU1541" t="s">
        <v>55</v>
      </c>
    </row>
    <row r="1542" spans="1:47" x14ac:dyDescent="0.25">
      <c r="A1542" t="s">
        <v>47</v>
      </c>
      <c r="B1542" s="1">
        <v>38310</v>
      </c>
      <c r="C1542" t="s">
        <v>48</v>
      </c>
      <c r="D1542" t="s">
        <v>49</v>
      </c>
      <c r="E1542" s="2">
        <v>45989</v>
      </c>
      <c r="F1542" t="s">
        <v>209</v>
      </c>
      <c r="G1542" t="s">
        <v>119</v>
      </c>
      <c r="H1542" s="3">
        <v>7196</v>
      </c>
      <c r="I1542" s="3">
        <v>7196</v>
      </c>
      <c r="J1542">
        <v>0</v>
      </c>
      <c r="K1542" s="3">
        <v>8275.4</v>
      </c>
      <c r="L1542" s="3">
        <v>1620.4</v>
      </c>
      <c r="M1542" s="3">
        <v>502.32</v>
      </c>
      <c r="N1542" t="s">
        <v>52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126</v>
      </c>
      <c r="V1542" t="s">
        <v>56</v>
      </c>
      <c r="W1542" t="s">
        <v>72</v>
      </c>
      <c r="X1542" s="4">
        <v>0</v>
      </c>
      <c r="Y1542" t="s">
        <v>58</v>
      </c>
      <c r="Z1542" s="3">
        <v>0</v>
      </c>
      <c r="AA1542">
        <v>0</v>
      </c>
      <c r="AB1542">
        <v>0</v>
      </c>
      <c r="AC1542">
        <v>0</v>
      </c>
      <c r="AD1542" s="3">
        <v>1620.4</v>
      </c>
      <c r="AE1542" s="3">
        <v>1200</v>
      </c>
      <c r="AF1542" t="s">
        <v>54</v>
      </c>
      <c r="AG1542" t="s">
        <v>59</v>
      </c>
      <c r="AH1542" t="s">
        <v>210</v>
      </c>
      <c r="AI1542" t="s">
        <v>60</v>
      </c>
      <c r="AJ1542" t="s">
        <v>60</v>
      </c>
      <c r="AK1542" s="5">
        <v>45989.450370370374</v>
      </c>
      <c r="AO1542" t="s">
        <v>54</v>
      </c>
      <c r="AP1542">
        <v>0</v>
      </c>
      <c r="AR1542" t="s">
        <v>54</v>
      </c>
      <c r="AS1542" t="s">
        <v>54</v>
      </c>
      <c r="AT1542">
        <v>6910</v>
      </c>
      <c r="AU1542" t="s">
        <v>55</v>
      </c>
    </row>
    <row r="1543" spans="1:47" x14ac:dyDescent="0.25">
      <c r="A1543" t="s">
        <v>81</v>
      </c>
      <c r="B1543" s="1">
        <v>38311</v>
      </c>
      <c r="C1543" t="s">
        <v>48</v>
      </c>
      <c r="D1543" t="s">
        <v>49</v>
      </c>
      <c r="E1543" s="2">
        <v>45989</v>
      </c>
      <c r="F1543" t="s">
        <v>415</v>
      </c>
      <c r="G1543" t="s">
        <v>124</v>
      </c>
      <c r="H1543" s="3">
        <v>18800</v>
      </c>
      <c r="I1543" s="3">
        <v>18800</v>
      </c>
      <c r="J1543">
        <v>0</v>
      </c>
      <c r="K1543" s="3">
        <v>18800</v>
      </c>
      <c r="L1543" s="3">
        <v>2747</v>
      </c>
      <c r="M1543" s="3">
        <v>1703.14</v>
      </c>
      <c r="N1543" t="s">
        <v>52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126</v>
      </c>
      <c r="V1543" t="s">
        <v>56</v>
      </c>
      <c r="W1543" t="s">
        <v>131</v>
      </c>
      <c r="X1543" s="4">
        <v>0</v>
      </c>
      <c r="Y1543" t="s">
        <v>62</v>
      </c>
      <c r="Z1543" s="3"/>
      <c r="AE1543" s="3"/>
      <c r="AK1543" s="5"/>
    </row>
    <row r="1544" spans="1:47" x14ac:dyDescent="0.25">
      <c r="A1544" t="s">
        <v>63</v>
      </c>
      <c r="B1544" s="1">
        <v>0</v>
      </c>
      <c r="C1544">
        <v>0</v>
      </c>
      <c r="D1544" s="3">
        <v>2747</v>
      </c>
      <c r="E1544" s="2">
        <v>0</v>
      </c>
      <c r="F1544">
        <v>0</v>
      </c>
      <c r="G1544" s="3">
        <v>3000</v>
      </c>
      <c r="H1544" s="3" t="s">
        <v>54</v>
      </c>
      <c r="I1544" s="3" t="s">
        <v>197</v>
      </c>
      <c r="K1544" s="3" t="s">
        <v>60</v>
      </c>
      <c r="L1544" s="3" t="s">
        <v>60</v>
      </c>
      <c r="M1544" s="3">
        <v>45989.52003472222</v>
      </c>
      <c r="Q1544" t="s">
        <v>54</v>
      </c>
      <c r="R1544">
        <v>0</v>
      </c>
      <c r="T1544" t="s">
        <v>54</v>
      </c>
      <c r="U1544" t="s">
        <v>54</v>
      </c>
      <c r="V1544">
        <v>5345</v>
      </c>
      <c r="W1544" t="s">
        <v>55</v>
      </c>
      <c r="X1544" s="4"/>
      <c r="AB1544" s="3"/>
      <c r="AE1544" s="3"/>
      <c r="AK1544" s="5"/>
    </row>
    <row r="1545" spans="1:47" x14ac:dyDescent="0.25">
      <c r="A1545" t="s">
        <v>81</v>
      </c>
      <c r="B1545" s="1">
        <v>38312</v>
      </c>
      <c r="C1545" t="s">
        <v>48</v>
      </c>
      <c r="D1545" t="s">
        <v>49</v>
      </c>
      <c r="E1545" s="2">
        <v>45989</v>
      </c>
      <c r="F1545" t="s">
        <v>301</v>
      </c>
      <c r="G1545" t="s">
        <v>167</v>
      </c>
      <c r="H1545" s="3">
        <v>7.96</v>
      </c>
      <c r="I1545" s="3">
        <v>7.96</v>
      </c>
      <c r="J1545">
        <v>0</v>
      </c>
      <c r="K1545" s="3">
        <v>7.96</v>
      </c>
      <c r="L1545" s="3">
        <v>1.35</v>
      </c>
      <c r="M1545" s="3">
        <v>0.84</v>
      </c>
      <c r="N1545" t="s">
        <v>106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145</v>
      </c>
      <c r="V1545" t="s">
        <v>146</v>
      </c>
      <c r="W1545" t="s">
        <v>223</v>
      </c>
      <c r="X1545" s="4">
        <v>0</v>
      </c>
      <c r="Y1545" t="s">
        <v>62</v>
      </c>
      <c r="Z1545" s="3"/>
      <c r="AD1545" s="3"/>
      <c r="AE1545" s="3"/>
      <c r="AK1545" s="5"/>
    </row>
    <row r="1546" spans="1:47" x14ac:dyDescent="0.25">
      <c r="A1546" t="s">
        <v>63</v>
      </c>
      <c r="B1546" s="1">
        <v>0</v>
      </c>
      <c r="C1546">
        <v>0</v>
      </c>
      <c r="D1546">
        <v>1.35</v>
      </c>
      <c r="E1546" s="2">
        <v>0</v>
      </c>
      <c r="F1546">
        <v>0</v>
      </c>
      <c r="G1546" s="3">
        <v>1</v>
      </c>
      <c r="H1546" s="3" t="s">
        <v>54</v>
      </c>
      <c r="I1546" s="3" t="s">
        <v>59</v>
      </c>
      <c r="K1546" s="3" t="s">
        <v>73</v>
      </c>
      <c r="L1546" s="3" t="s">
        <v>73</v>
      </c>
      <c r="M1546" s="3">
        <v>45989.473425925928</v>
      </c>
      <c r="Q1546" t="s">
        <v>54</v>
      </c>
      <c r="R1546">
        <v>0</v>
      </c>
      <c r="T1546" t="s">
        <v>54</v>
      </c>
      <c r="U1546" t="s">
        <v>54</v>
      </c>
      <c r="V1546">
        <v>7363</v>
      </c>
      <c r="W1546" t="s">
        <v>55</v>
      </c>
      <c r="X1546" s="4"/>
      <c r="Z1546" s="3"/>
      <c r="AB1546" s="3"/>
      <c r="AE1546" s="3"/>
      <c r="AK1546" s="5"/>
    </row>
    <row r="1547" spans="1:47" x14ac:dyDescent="0.25">
      <c r="A1547" t="s">
        <v>81</v>
      </c>
      <c r="B1547" s="1">
        <v>38313</v>
      </c>
      <c r="C1547" t="s">
        <v>48</v>
      </c>
      <c r="D1547" t="s">
        <v>49</v>
      </c>
      <c r="E1547" s="2">
        <v>45989</v>
      </c>
      <c r="F1547" t="s">
        <v>300</v>
      </c>
      <c r="G1547" t="s">
        <v>94</v>
      </c>
      <c r="H1547" s="3">
        <v>7.96</v>
      </c>
      <c r="I1547" s="3">
        <v>7.96</v>
      </c>
      <c r="J1547">
        <v>0</v>
      </c>
      <c r="K1547" s="3">
        <v>7.96</v>
      </c>
      <c r="L1547" s="3">
        <v>1.35</v>
      </c>
      <c r="M1547" s="3">
        <v>0.84</v>
      </c>
      <c r="N1547" t="s">
        <v>106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145</v>
      </c>
      <c r="W1547" t="s">
        <v>223</v>
      </c>
      <c r="X1547" s="4">
        <v>0</v>
      </c>
      <c r="Y1547" t="s">
        <v>62</v>
      </c>
      <c r="AK1547" s="5"/>
    </row>
    <row r="1548" spans="1:47" x14ac:dyDescent="0.25">
      <c r="A1548" t="s">
        <v>63</v>
      </c>
      <c r="B1548" s="1">
        <v>0</v>
      </c>
      <c r="C1548">
        <v>0</v>
      </c>
      <c r="D1548">
        <v>1.35</v>
      </c>
      <c r="E1548" s="2">
        <v>0</v>
      </c>
      <c r="F1548">
        <v>0</v>
      </c>
      <c r="G1548" s="3">
        <v>1</v>
      </c>
      <c r="H1548" s="3" t="s">
        <v>54</v>
      </c>
      <c r="I1548" s="3" t="s">
        <v>59</v>
      </c>
      <c r="K1548" s="3" t="s">
        <v>73</v>
      </c>
      <c r="L1548" s="3" t="s">
        <v>73</v>
      </c>
      <c r="M1548" s="3">
        <v>45989.472905092596</v>
      </c>
      <c r="Q1548" t="s">
        <v>54</v>
      </c>
      <c r="R1548">
        <v>0</v>
      </c>
      <c r="T1548" t="s">
        <v>54</v>
      </c>
      <c r="U1548" t="s">
        <v>54</v>
      </c>
      <c r="V1548">
        <v>7364</v>
      </c>
      <c r="W1548" t="s">
        <v>55</v>
      </c>
      <c r="X1548" s="4"/>
      <c r="Z1548" s="3"/>
      <c r="AE1548" s="3"/>
      <c r="AK1548" s="5"/>
    </row>
    <row r="1549" spans="1:47" x14ac:dyDescent="0.25">
      <c r="A1549" t="s">
        <v>81</v>
      </c>
      <c r="B1549" s="1">
        <v>38315</v>
      </c>
      <c r="C1549" t="s">
        <v>48</v>
      </c>
      <c r="D1549" t="s">
        <v>49</v>
      </c>
      <c r="E1549" s="2">
        <v>45989</v>
      </c>
      <c r="F1549" t="s">
        <v>105</v>
      </c>
      <c r="G1549" t="s">
        <v>94</v>
      </c>
      <c r="H1549" s="3">
        <v>3540</v>
      </c>
      <c r="I1549" s="3">
        <v>3540</v>
      </c>
      <c r="J1549">
        <v>0</v>
      </c>
      <c r="K1549" s="3">
        <v>3540</v>
      </c>
      <c r="L1549" s="3">
        <v>302.5</v>
      </c>
      <c r="M1549" s="3">
        <v>187.55</v>
      </c>
      <c r="N1549" t="s">
        <v>98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167</v>
      </c>
      <c r="W1549" t="s">
        <v>107</v>
      </c>
      <c r="X1549" s="4">
        <v>0</v>
      </c>
      <c r="Y1549" t="s">
        <v>62</v>
      </c>
      <c r="Z1549" s="3"/>
      <c r="AE1549" s="3"/>
      <c r="AK1549" s="5"/>
    </row>
    <row r="1550" spans="1:47" x14ac:dyDescent="0.25">
      <c r="A1550" t="s">
        <v>63</v>
      </c>
      <c r="B1550" s="1">
        <v>0</v>
      </c>
      <c r="C1550">
        <v>0</v>
      </c>
      <c r="D1550">
        <v>302.5</v>
      </c>
      <c r="E1550" s="2">
        <v>0</v>
      </c>
      <c r="F1550">
        <v>0</v>
      </c>
      <c r="G1550" s="3">
        <v>250</v>
      </c>
      <c r="H1550" s="3" t="s">
        <v>54</v>
      </c>
      <c r="I1550" s="3" t="s">
        <v>59</v>
      </c>
      <c r="K1550" s="3" t="s">
        <v>73</v>
      </c>
      <c r="L1550" s="3" t="s">
        <v>92</v>
      </c>
      <c r="M1550" s="3">
        <v>45992.544745370367</v>
      </c>
      <c r="Q1550" t="s">
        <v>54</v>
      </c>
      <c r="R1550">
        <v>0</v>
      </c>
      <c r="T1550" t="s">
        <v>54</v>
      </c>
      <c r="U1550" t="s">
        <v>54</v>
      </c>
      <c r="V1550">
        <v>8632</v>
      </c>
      <c r="W1550" t="s">
        <v>55</v>
      </c>
      <c r="X1550" s="4"/>
      <c r="AD1550" s="3"/>
      <c r="AE1550" s="3"/>
      <c r="AK1550" s="5"/>
    </row>
    <row r="1551" spans="1:47" x14ac:dyDescent="0.25">
      <c r="A1551" t="s">
        <v>47</v>
      </c>
      <c r="B1551" s="1">
        <v>38316</v>
      </c>
      <c r="C1551" t="s">
        <v>48</v>
      </c>
      <c r="D1551" t="s">
        <v>49</v>
      </c>
      <c r="E1551" s="2">
        <v>45989</v>
      </c>
      <c r="F1551" t="s">
        <v>108</v>
      </c>
      <c r="G1551" t="s">
        <v>109</v>
      </c>
      <c r="H1551" s="3">
        <v>26960</v>
      </c>
      <c r="I1551" s="3">
        <v>26960</v>
      </c>
      <c r="J1551">
        <v>0</v>
      </c>
      <c r="K1551" s="3">
        <v>26960</v>
      </c>
      <c r="L1551" s="3">
        <v>3452</v>
      </c>
      <c r="M1551" s="3">
        <v>2140.2399999999998</v>
      </c>
      <c r="N1551" t="s">
        <v>84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9</v>
      </c>
      <c r="V1551" t="s">
        <v>56</v>
      </c>
      <c r="W1551" t="s">
        <v>110</v>
      </c>
      <c r="X1551" s="4">
        <v>0</v>
      </c>
      <c r="Y1551" t="s">
        <v>58</v>
      </c>
      <c r="Z1551" s="3">
        <v>0</v>
      </c>
      <c r="AA1551">
        <v>0</v>
      </c>
      <c r="AB1551" s="3">
        <v>3452</v>
      </c>
      <c r="AC1551">
        <v>0</v>
      </c>
      <c r="AD1551">
        <v>0</v>
      </c>
      <c r="AE1551" s="3">
        <v>4000</v>
      </c>
      <c r="AF1551" t="s">
        <v>54</v>
      </c>
      <c r="AG1551" t="s">
        <v>59</v>
      </c>
      <c r="AI1551" t="s">
        <v>92</v>
      </c>
      <c r="AJ1551" t="s">
        <v>92</v>
      </c>
      <c r="AK1551" s="5">
        <v>45994.358495370368</v>
      </c>
      <c r="AO1551" t="s">
        <v>54</v>
      </c>
      <c r="AP1551">
        <v>0</v>
      </c>
      <c r="AR1551" t="s">
        <v>54</v>
      </c>
      <c r="AS1551" t="s">
        <v>54</v>
      </c>
      <c r="AT1551">
        <v>3124</v>
      </c>
      <c r="AU1551" t="s">
        <v>55</v>
      </c>
    </row>
    <row r="1552" spans="1:47" x14ac:dyDescent="0.25">
      <c r="A1552" t="s">
        <v>47</v>
      </c>
      <c r="B1552" s="1">
        <v>38318</v>
      </c>
      <c r="C1552" t="s">
        <v>48</v>
      </c>
      <c r="D1552" s="3" t="s">
        <v>49</v>
      </c>
      <c r="E1552" s="2">
        <v>45989</v>
      </c>
      <c r="F1552" t="s">
        <v>411</v>
      </c>
      <c r="G1552" s="3" t="s">
        <v>87</v>
      </c>
      <c r="H1552" s="3">
        <v>3374</v>
      </c>
      <c r="I1552" s="3">
        <v>3374</v>
      </c>
      <c r="J1552">
        <v>0</v>
      </c>
      <c r="K1552" s="3">
        <v>3880.1</v>
      </c>
      <c r="L1552" s="3">
        <v>256</v>
      </c>
      <c r="M1552" s="3">
        <v>147.21</v>
      </c>
      <c r="N1552" t="s">
        <v>98</v>
      </c>
      <c r="O1552" t="s">
        <v>53</v>
      </c>
      <c r="P1552" t="s">
        <v>53</v>
      </c>
      <c r="Q1552" t="s">
        <v>53</v>
      </c>
      <c r="R1552" t="s">
        <v>54</v>
      </c>
      <c r="S1552" t="s">
        <v>54</v>
      </c>
      <c r="T1552" t="s">
        <v>55</v>
      </c>
      <c r="U1552">
        <v>167</v>
      </c>
      <c r="V1552" t="s">
        <v>99</v>
      </c>
      <c r="W1552" t="s">
        <v>117</v>
      </c>
      <c r="X1552" s="4">
        <v>0</v>
      </c>
      <c r="Y1552" t="s">
        <v>62</v>
      </c>
      <c r="Z1552" s="3"/>
      <c r="AE1552" s="3"/>
    </row>
    <row r="1553" spans="1:47" x14ac:dyDescent="0.25">
      <c r="A1553" t="s">
        <v>63</v>
      </c>
      <c r="B1553" s="1">
        <v>0</v>
      </c>
      <c r="C1553">
        <v>0</v>
      </c>
      <c r="D1553">
        <v>256</v>
      </c>
      <c r="E1553" s="2">
        <v>0</v>
      </c>
      <c r="F1553">
        <v>0</v>
      </c>
      <c r="G1553" s="3">
        <v>500</v>
      </c>
      <c r="H1553" s="3" t="s">
        <v>54</v>
      </c>
      <c r="I1553" s="3" t="s">
        <v>59</v>
      </c>
      <c r="K1553" s="3" t="s">
        <v>73</v>
      </c>
      <c r="L1553" t="s">
        <v>73</v>
      </c>
      <c r="M1553" s="3">
        <v>45989.627766203703</v>
      </c>
      <c r="Q1553" t="s">
        <v>54</v>
      </c>
      <c r="R1553">
        <v>0</v>
      </c>
      <c r="T1553" t="s">
        <v>54</v>
      </c>
      <c r="U1553" t="s">
        <v>54</v>
      </c>
      <c r="V1553">
        <v>7320</v>
      </c>
      <c r="W1553" t="s">
        <v>55</v>
      </c>
      <c r="X1553" s="4"/>
      <c r="AK1553" s="5"/>
    </row>
    <row r="1554" spans="1:47" x14ac:dyDescent="0.25">
      <c r="A1554" t="s">
        <v>81</v>
      </c>
      <c r="B1554" s="1">
        <v>38319</v>
      </c>
      <c r="C1554" t="s">
        <v>48</v>
      </c>
      <c r="D1554" t="s">
        <v>49</v>
      </c>
      <c r="E1554" s="2">
        <v>45992</v>
      </c>
      <c r="F1554" t="s">
        <v>132</v>
      </c>
      <c r="G1554" t="s">
        <v>87</v>
      </c>
      <c r="H1554" s="3">
        <v>1875.9</v>
      </c>
      <c r="I1554" s="3">
        <v>1875.9</v>
      </c>
      <c r="J1554">
        <v>0</v>
      </c>
      <c r="K1554" s="3">
        <v>1875.9</v>
      </c>
      <c r="L1554" s="3">
        <v>328.56</v>
      </c>
      <c r="M1554" s="3">
        <v>188.92</v>
      </c>
      <c r="N1554" t="s">
        <v>77</v>
      </c>
      <c r="O1554" t="s">
        <v>53</v>
      </c>
      <c r="P1554" t="s">
        <v>53</v>
      </c>
      <c r="Q1554" t="s">
        <v>53</v>
      </c>
      <c r="R1554" t="s">
        <v>54</v>
      </c>
      <c r="S1554" t="s">
        <v>54</v>
      </c>
      <c r="T1554" t="s">
        <v>55</v>
      </c>
      <c r="U1554">
        <v>83</v>
      </c>
      <c r="V1554" t="s">
        <v>56</v>
      </c>
      <c r="W1554" t="s">
        <v>95</v>
      </c>
      <c r="X1554" s="4">
        <v>0</v>
      </c>
      <c r="Y1554" t="s">
        <v>58</v>
      </c>
      <c r="Z1554">
        <v>0</v>
      </c>
      <c r="AA1554">
        <v>0</v>
      </c>
      <c r="AB1554" s="3">
        <v>328.56</v>
      </c>
      <c r="AC1554">
        <v>0</v>
      </c>
      <c r="AD1554">
        <v>0</v>
      </c>
      <c r="AE1554" s="3">
        <v>555</v>
      </c>
      <c r="AF1554" t="s">
        <v>54</v>
      </c>
      <c r="AG1554" t="s">
        <v>59</v>
      </c>
      <c r="AI1554" t="s">
        <v>73</v>
      </c>
      <c r="AJ1554" t="s">
        <v>73</v>
      </c>
      <c r="AK1554" s="5">
        <v>45993.450995370367</v>
      </c>
      <c r="AO1554" t="s">
        <v>54</v>
      </c>
      <c r="AP1554">
        <v>0</v>
      </c>
      <c r="AR1554" t="s">
        <v>54</v>
      </c>
      <c r="AS1554" t="s">
        <v>54</v>
      </c>
      <c r="AT1554">
        <v>5289</v>
      </c>
      <c r="AU1554" t="s">
        <v>55</v>
      </c>
    </row>
    <row r="1555" spans="1:47" x14ac:dyDescent="0.25">
      <c r="A1555" t="s">
        <v>81</v>
      </c>
      <c r="B1555" s="1">
        <v>38320</v>
      </c>
      <c r="C1555" t="s">
        <v>48</v>
      </c>
      <c r="D1555" t="s">
        <v>49</v>
      </c>
      <c r="E1555" s="2">
        <v>45992</v>
      </c>
      <c r="F1555" t="s">
        <v>132</v>
      </c>
      <c r="G1555" s="3" t="s">
        <v>87</v>
      </c>
      <c r="H1555" s="3">
        <v>11644.1</v>
      </c>
      <c r="I1555" s="3">
        <v>11644.1</v>
      </c>
      <c r="J1555">
        <v>0</v>
      </c>
      <c r="K1555" s="3">
        <v>11644.1</v>
      </c>
      <c r="L1555" s="3">
        <v>2039.44</v>
      </c>
      <c r="M1555" s="3">
        <v>1172.68</v>
      </c>
      <c r="N1555" t="s">
        <v>77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83</v>
      </c>
      <c r="V1555" t="s">
        <v>56</v>
      </c>
      <c r="W1555">
        <v>0</v>
      </c>
      <c r="X1555" s="4">
        <v>0</v>
      </c>
      <c r="Y1555" t="s">
        <v>58</v>
      </c>
      <c r="Z1555" s="3">
        <v>0</v>
      </c>
      <c r="AA1555">
        <v>0</v>
      </c>
      <c r="AB1555" s="3">
        <v>2039.44</v>
      </c>
      <c r="AC1555">
        <v>0</v>
      </c>
      <c r="AD1555">
        <v>0</v>
      </c>
      <c r="AE1555" s="3">
        <v>3445</v>
      </c>
      <c r="AF1555" t="s">
        <v>54</v>
      </c>
      <c r="AG1555" t="s">
        <v>59</v>
      </c>
      <c r="AI1555" t="s">
        <v>73</v>
      </c>
      <c r="AJ1555" t="s">
        <v>73</v>
      </c>
      <c r="AK1555" s="5">
        <v>45993.451168981483</v>
      </c>
      <c r="AO1555" t="s">
        <v>54</v>
      </c>
      <c r="AP1555">
        <v>0</v>
      </c>
      <c r="AR1555" t="s">
        <v>54</v>
      </c>
      <c r="AS1555" t="s">
        <v>54</v>
      </c>
      <c r="AT1555">
        <v>5289</v>
      </c>
      <c r="AU1555" t="s">
        <v>55</v>
      </c>
    </row>
    <row r="1556" spans="1:47" x14ac:dyDescent="0.25">
      <c r="A1556" t="s">
        <v>81</v>
      </c>
      <c r="B1556" s="1">
        <v>38321</v>
      </c>
      <c r="C1556" t="s">
        <v>48</v>
      </c>
      <c r="D1556" t="s">
        <v>49</v>
      </c>
      <c r="E1556" s="2">
        <v>45992</v>
      </c>
      <c r="F1556" t="s">
        <v>315</v>
      </c>
      <c r="G1556" t="s">
        <v>69</v>
      </c>
      <c r="H1556" s="3">
        <v>4340</v>
      </c>
      <c r="I1556" s="3">
        <v>4340</v>
      </c>
      <c r="J1556">
        <v>0</v>
      </c>
      <c r="K1556" s="3">
        <v>4340</v>
      </c>
      <c r="L1556" s="3">
        <v>1140</v>
      </c>
      <c r="M1556" s="3">
        <v>418.38</v>
      </c>
      <c r="N1556" t="s">
        <v>84</v>
      </c>
      <c r="O1556" t="s">
        <v>53</v>
      </c>
      <c r="P1556" t="s">
        <v>53</v>
      </c>
      <c r="Q1556" t="s">
        <v>53</v>
      </c>
      <c r="R1556" t="s">
        <v>54</v>
      </c>
      <c r="S1556" t="s">
        <v>54</v>
      </c>
      <c r="T1556" t="s">
        <v>55</v>
      </c>
      <c r="U1556">
        <v>9</v>
      </c>
      <c r="V1556" t="s">
        <v>71</v>
      </c>
      <c r="W1556" t="s">
        <v>72</v>
      </c>
      <c r="X1556" s="4">
        <v>0</v>
      </c>
      <c r="Y1556" t="s">
        <v>58</v>
      </c>
      <c r="Z1556" s="3">
        <v>1140</v>
      </c>
      <c r="AA1556">
        <v>0</v>
      </c>
      <c r="AB1556" s="3">
        <v>0</v>
      </c>
      <c r="AC1556">
        <v>0</v>
      </c>
      <c r="AD1556">
        <v>0</v>
      </c>
      <c r="AE1556" s="3">
        <v>2000</v>
      </c>
      <c r="AF1556" t="s">
        <v>54</v>
      </c>
      <c r="AG1556" t="s">
        <v>59</v>
      </c>
      <c r="AH1556" t="s">
        <v>79</v>
      </c>
      <c r="AI1556" t="s">
        <v>73</v>
      </c>
      <c r="AJ1556" t="s">
        <v>73</v>
      </c>
      <c r="AK1556" s="5">
        <v>45992.675532407404</v>
      </c>
      <c r="AO1556" t="s">
        <v>54</v>
      </c>
      <c r="AP1556">
        <v>0</v>
      </c>
      <c r="AR1556" t="s">
        <v>54</v>
      </c>
      <c r="AS1556" t="s">
        <v>54</v>
      </c>
      <c r="AT1556">
        <v>2818</v>
      </c>
      <c r="AU1556" t="s">
        <v>55</v>
      </c>
    </row>
    <row r="1557" spans="1:47" x14ac:dyDescent="0.25">
      <c r="A1557" t="s">
        <v>47</v>
      </c>
      <c r="B1557" s="1">
        <v>38322</v>
      </c>
      <c r="C1557" t="s">
        <v>48</v>
      </c>
      <c r="D1557" t="s">
        <v>49</v>
      </c>
      <c r="E1557" s="2">
        <v>45993</v>
      </c>
      <c r="F1557" s="3" t="s">
        <v>150</v>
      </c>
      <c r="G1557" s="3" t="s">
        <v>66</v>
      </c>
      <c r="H1557" s="3">
        <v>12073.1</v>
      </c>
      <c r="I1557" s="3">
        <v>12073.1</v>
      </c>
      <c r="J1557">
        <v>0</v>
      </c>
      <c r="K1557" s="3">
        <v>12608.01</v>
      </c>
      <c r="L1557" s="3">
        <v>1726.85</v>
      </c>
      <c r="M1557" s="3">
        <v>658.86</v>
      </c>
      <c r="N1557" t="s">
        <v>84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9</v>
      </c>
      <c r="V1557" t="s">
        <v>71</v>
      </c>
      <c r="W1557" t="s">
        <v>57</v>
      </c>
      <c r="X1557" s="4">
        <v>0</v>
      </c>
      <c r="Y1557" t="s">
        <v>58</v>
      </c>
      <c r="Z1557" s="3">
        <v>1590</v>
      </c>
      <c r="AA1557">
        <v>0</v>
      </c>
      <c r="AB1557">
        <v>136.85</v>
      </c>
      <c r="AC1557">
        <v>0</v>
      </c>
      <c r="AD1557">
        <v>0</v>
      </c>
      <c r="AE1557" s="3">
        <v>3035</v>
      </c>
      <c r="AF1557" t="s">
        <v>54</v>
      </c>
      <c r="AG1557" t="s">
        <v>59</v>
      </c>
      <c r="AI1557" t="s">
        <v>73</v>
      </c>
      <c r="AJ1557" t="s">
        <v>73</v>
      </c>
      <c r="AK1557" s="5">
        <v>45993.342152777775</v>
      </c>
      <c r="AO1557" t="s">
        <v>54</v>
      </c>
      <c r="AP1557">
        <v>0</v>
      </c>
      <c r="AR1557" t="s">
        <v>54</v>
      </c>
      <c r="AS1557" t="s">
        <v>54</v>
      </c>
      <c r="AT1557">
        <v>1009</v>
      </c>
      <c r="AU1557" t="s">
        <v>55</v>
      </c>
    </row>
    <row r="1558" spans="1:47" x14ac:dyDescent="0.25">
      <c r="A1558" t="s">
        <v>81</v>
      </c>
      <c r="B1558" s="1">
        <v>38324</v>
      </c>
      <c r="C1558" t="s">
        <v>48</v>
      </c>
      <c r="D1558" t="s">
        <v>49</v>
      </c>
      <c r="E1558" s="2">
        <v>45993</v>
      </c>
      <c r="F1558" t="s">
        <v>410</v>
      </c>
      <c r="G1558" t="s">
        <v>167</v>
      </c>
      <c r="H1558" s="3">
        <v>4900</v>
      </c>
      <c r="I1558" s="3">
        <v>4900</v>
      </c>
      <c r="J1558">
        <v>0</v>
      </c>
      <c r="K1558" s="3">
        <v>4900</v>
      </c>
      <c r="L1558" s="3">
        <v>1392</v>
      </c>
      <c r="M1558" s="3">
        <v>501.12</v>
      </c>
      <c r="N1558" t="s">
        <v>98</v>
      </c>
      <c r="O1558" t="s">
        <v>53</v>
      </c>
      <c r="P1558" t="s">
        <v>53</v>
      </c>
      <c r="Q1558" t="s">
        <v>53</v>
      </c>
      <c r="R1558" t="s">
        <v>54</v>
      </c>
      <c r="S1558" t="s">
        <v>54</v>
      </c>
      <c r="T1558" t="s">
        <v>55</v>
      </c>
      <c r="U1558">
        <v>167</v>
      </c>
      <c r="V1558" t="s">
        <v>99</v>
      </c>
      <c r="W1558" t="s">
        <v>223</v>
      </c>
      <c r="X1558" s="4">
        <v>0</v>
      </c>
      <c r="Y1558" t="s">
        <v>62</v>
      </c>
      <c r="Z1558" s="3"/>
      <c r="AB1558" s="3"/>
      <c r="AE1558" s="3"/>
      <c r="AK1558" s="5"/>
    </row>
    <row r="1559" spans="1:47" x14ac:dyDescent="0.25">
      <c r="A1559" t="s">
        <v>63</v>
      </c>
      <c r="B1559" s="1">
        <v>0</v>
      </c>
      <c r="C1559" s="3">
        <v>1392</v>
      </c>
      <c r="D1559">
        <v>0</v>
      </c>
      <c r="E1559" s="2">
        <v>0</v>
      </c>
      <c r="F1559">
        <v>0</v>
      </c>
      <c r="G1559" s="3">
        <v>2000</v>
      </c>
      <c r="H1559" s="3" t="s">
        <v>54</v>
      </c>
      <c r="I1559" s="3" t="s">
        <v>59</v>
      </c>
      <c r="K1559" s="3" t="s">
        <v>73</v>
      </c>
      <c r="L1559" s="3" t="s">
        <v>73</v>
      </c>
      <c r="M1559" s="3">
        <v>45993.403541666667</v>
      </c>
      <c r="Q1559" t="s">
        <v>54</v>
      </c>
      <c r="R1559">
        <v>0</v>
      </c>
      <c r="T1559" t="s">
        <v>54</v>
      </c>
      <c r="U1559" t="s">
        <v>54</v>
      </c>
      <c r="V1559">
        <v>4699</v>
      </c>
      <c r="W1559" t="s">
        <v>55</v>
      </c>
      <c r="X1559" s="4"/>
      <c r="AB1559" s="3"/>
      <c r="AE1559" s="3"/>
      <c r="AK1559" s="5"/>
    </row>
    <row r="1560" spans="1:47" x14ac:dyDescent="0.25">
      <c r="A1560" t="s">
        <v>47</v>
      </c>
      <c r="B1560" s="1">
        <v>38325</v>
      </c>
      <c r="C1560" s="3" t="s">
        <v>48</v>
      </c>
      <c r="D1560" t="s">
        <v>49</v>
      </c>
      <c r="E1560" s="2">
        <v>45993</v>
      </c>
      <c r="F1560" t="s">
        <v>252</v>
      </c>
      <c r="G1560" s="3" t="s">
        <v>69</v>
      </c>
      <c r="H1560" s="3">
        <v>5742</v>
      </c>
      <c r="I1560" s="3">
        <v>5742</v>
      </c>
      <c r="J1560">
        <v>0</v>
      </c>
      <c r="K1560" s="3">
        <v>6603.3</v>
      </c>
      <c r="L1560" s="3">
        <v>1002.1</v>
      </c>
      <c r="M1560" s="3">
        <v>461.97</v>
      </c>
      <c r="N1560" t="s">
        <v>84</v>
      </c>
      <c r="O1560" t="s">
        <v>53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9</v>
      </c>
      <c r="V1560" t="s">
        <v>71</v>
      </c>
      <c r="W1560" t="s">
        <v>95</v>
      </c>
      <c r="X1560" s="4">
        <v>0</v>
      </c>
      <c r="Y1560" t="s">
        <v>58</v>
      </c>
      <c r="Z1560" s="3">
        <v>0</v>
      </c>
      <c r="AA1560" s="3">
        <v>1002.1</v>
      </c>
      <c r="AB1560">
        <v>0</v>
      </c>
      <c r="AC1560">
        <v>0</v>
      </c>
      <c r="AD1560">
        <v>0</v>
      </c>
      <c r="AE1560" s="3">
        <v>1100</v>
      </c>
      <c r="AF1560" t="s">
        <v>54</v>
      </c>
      <c r="AG1560" t="s">
        <v>59</v>
      </c>
      <c r="AI1560" t="s">
        <v>73</v>
      </c>
      <c r="AJ1560" t="s">
        <v>73</v>
      </c>
      <c r="AK1560" s="5">
        <v>45993.452951388892</v>
      </c>
      <c r="AO1560" t="s">
        <v>54</v>
      </c>
      <c r="AP1560">
        <v>0</v>
      </c>
      <c r="AR1560" t="s">
        <v>54</v>
      </c>
      <c r="AS1560" t="s">
        <v>54</v>
      </c>
      <c r="AT1560">
        <v>3723</v>
      </c>
      <c r="AU1560" t="s">
        <v>55</v>
      </c>
    </row>
    <row r="1561" spans="1:47" x14ac:dyDescent="0.25">
      <c r="A1561" t="s">
        <v>81</v>
      </c>
      <c r="B1561" s="1">
        <v>38327</v>
      </c>
      <c r="C1561" t="s">
        <v>48</v>
      </c>
      <c r="D1561" t="s">
        <v>49</v>
      </c>
      <c r="E1561" s="2">
        <v>45993</v>
      </c>
      <c r="F1561" t="s">
        <v>319</v>
      </c>
      <c r="G1561" t="s">
        <v>69</v>
      </c>
      <c r="H1561" s="3">
        <v>3111.5</v>
      </c>
      <c r="I1561" s="3">
        <v>3111.5</v>
      </c>
      <c r="J1561">
        <v>0</v>
      </c>
      <c r="K1561" s="3">
        <v>3111.5</v>
      </c>
      <c r="L1561" s="3">
        <v>526.04999999999995</v>
      </c>
      <c r="M1561" s="3">
        <v>302.48</v>
      </c>
      <c r="N1561" t="s">
        <v>77</v>
      </c>
      <c r="O1561" t="s">
        <v>53</v>
      </c>
      <c r="P1561" t="s">
        <v>53</v>
      </c>
      <c r="Q1561" t="s">
        <v>53</v>
      </c>
      <c r="R1561" t="s">
        <v>54</v>
      </c>
      <c r="S1561" t="s">
        <v>54</v>
      </c>
      <c r="T1561" t="s">
        <v>55</v>
      </c>
      <c r="U1561">
        <v>83</v>
      </c>
      <c r="V1561" t="s">
        <v>121</v>
      </c>
      <c r="W1561" t="s">
        <v>289</v>
      </c>
      <c r="X1561" s="4">
        <v>0</v>
      </c>
      <c r="Y1561" t="s">
        <v>62</v>
      </c>
      <c r="AA1561" s="3"/>
      <c r="AE1561" s="3"/>
      <c r="AK1561" s="5"/>
    </row>
    <row r="1562" spans="1:47" x14ac:dyDescent="0.25">
      <c r="A1562" t="s">
        <v>63</v>
      </c>
      <c r="B1562" s="1">
        <v>0</v>
      </c>
      <c r="C1562">
        <v>0</v>
      </c>
      <c r="D1562">
        <v>526.04999999999995</v>
      </c>
      <c r="E1562" s="2">
        <v>0</v>
      </c>
      <c r="F1562">
        <v>0</v>
      </c>
      <c r="G1562">
        <v>350</v>
      </c>
      <c r="H1562" s="3" t="s">
        <v>54</v>
      </c>
      <c r="I1562" s="3" t="s">
        <v>59</v>
      </c>
      <c r="K1562" s="3" t="s">
        <v>73</v>
      </c>
      <c r="L1562" s="3" t="s">
        <v>73</v>
      </c>
      <c r="M1562" s="3">
        <v>45993.644849537035</v>
      </c>
      <c r="Q1562" t="s">
        <v>54</v>
      </c>
      <c r="R1562">
        <v>0</v>
      </c>
      <c r="T1562" t="s">
        <v>54</v>
      </c>
      <c r="U1562" t="s">
        <v>54</v>
      </c>
      <c r="V1562">
        <v>8443</v>
      </c>
      <c r="W1562" t="s">
        <v>55</v>
      </c>
      <c r="X1562" s="4"/>
      <c r="AB1562" s="3"/>
      <c r="AE1562" s="3"/>
      <c r="AK1562" s="5"/>
    </row>
    <row r="1563" spans="1:47" x14ac:dyDescent="0.25">
      <c r="A1563" t="s">
        <v>81</v>
      </c>
      <c r="B1563" s="1">
        <v>38328</v>
      </c>
      <c r="C1563" t="s">
        <v>48</v>
      </c>
      <c r="D1563" t="s">
        <v>49</v>
      </c>
      <c r="E1563" s="2">
        <v>45993</v>
      </c>
      <c r="F1563" t="s">
        <v>132</v>
      </c>
      <c r="G1563" t="s">
        <v>87</v>
      </c>
      <c r="H1563" s="3">
        <v>6760</v>
      </c>
      <c r="I1563" s="3">
        <v>6760</v>
      </c>
      <c r="J1563">
        <v>0</v>
      </c>
      <c r="K1563" s="3">
        <v>6760</v>
      </c>
      <c r="L1563" s="3">
        <v>1184</v>
      </c>
      <c r="M1563" s="3">
        <v>680.8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>
        <v>0</v>
      </c>
      <c r="X1563" s="4">
        <v>0</v>
      </c>
      <c r="Y1563" t="s">
        <v>58</v>
      </c>
      <c r="Z1563">
        <v>0</v>
      </c>
      <c r="AA1563">
        <v>0</v>
      </c>
      <c r="AB1563" s="3">
        <v>1184</v>
      </c>
      <c r="AC1563">
        <v>0</v>
      </c>
      <c r="AD1563">
        <v>0</v>
      </c>
      <c r="AE1563" s="3">
        <v>2000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45993.641423611109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x14ac:dyDescent="0.25">
      <c r="A1564" t="s">
        <v>81</v>
      </c>
      <c r="B1564" s="1">
        <v>38329</v>
      </c>
      <c r="C1564" t="s">
        <v>48</v>
      </c>
      <c r="D1564" t="s">
        <v>49</v>
      </c>
      <c r="E1564" s="2">
        <v>45993</v>
      </c>
      <c r="F1564" t="s">
        <v>132</v>
      </c>
      <c r="G1564" t="s">
        <v>87</v>
      </c>
      <c r="H1564" s="3">
        <v>7530</v>
      </c>
      <c r="I1564" s="3">
        <v>7530</v>
      </c>
      <c r="J1564">
        <v>0</v>
      </c>
      <c r="K1564" s="3">
        <v>7530</v>
      </c>
      <c r="L1564" s="3">
        <v>1322</v>
      </c>
      <c r="M1564" s="3">
        <v>760.15</v>
      </c>
      <c r="N1564" t="s">
        <v>77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83</v>
      </c>
      <c r="V1564" t="s">
        <v>56</v>
      </c>
      <c r="W1564">
        <v>0</v>
      </c>
      <c r="X1564" s="4">
        <v>0</v>
      </c>
      <c r="Y1564" t="s">
        <v>58</v>
      </c>
      <c r="Z1564" s="3">
        <v>0</v>
      </c>
      <c r="AA1564">
        <v>0</v>
      </c>
      <c r="AB1564" s="3">
        <v>1322</v>
      </c>
      <c r="AC1564">
        <v>0</v>
      </c>
      <c r="AD1564">
        <v>0</v>
      </c>
      <c r="AE1564" s="3">
        <v>1000</v>
      </c>
      <c r="AF1564" t="s">
        <v>54</v>
      </c>
      <c r="AG1564" t="s">
        <v>59</v>
      </c>
      <c r="AI1564" t="s">
        <v>73</v>
      </c>
      <c r="AJ1564" t="s">
        <v>73</v>
      </c>
      <c r="AK1564" s="5">
        <v>45993.642511574071</v>
      </c>
      <c r="AO1564" t="s">
        <v>54</v>
      </c>
      <c r="AP1564">
        <v>0</v>
      </c>
      <c r="AR1564" t="s">
        <v>54</v>
      </c>
      <c r="AS1564" t="s">
        <v>54</v>
      </c>
      <c r="AT1564">
        <v>5289</v>
      </c>
      <c r="AU1564" t="s">
        <v>55</v>
      </c>
    </row>
    <row r="1565" spans="1:47" x14ac:dyDescent="0.25">
      <c r="A1565" t="s">
        <v>47</v>
      </c>
      <c r="B1565" s="1">
        <v>38330</v>
      </c>
      <c r="C1565" t="s">
        <v>48</v>
      </c>
      <c r="D1565" t="s">
        <v>49</v>
      </c>
      <c r="E1565" s="2">
        <v>45993</v>
      </c>
      <c r="F1565" t="s">
        <v>150</v>
      </c>
      <c r="G1565" s="3" t="s">
        <v>66</v>
      </c>
      <c r="H1565" s="3">
        <v>3620</v>
      </c>
      <c r="I1565" s="3">
        <v>3620</v>
      </c>
      <c r="J1565">
        <v>0</v>
      </c>
      <c r="K1565" s="3">
        <v>4163</v>
      </c>
      <c r="L1565" s="3">
        <v>752</v>
      </c>
      <c r="M1565" s="3">
        <v>275.98</v>
      </c>
      <c r="N1565" t="s">
        <v>84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57</v>
      </c>
      <c r="X1565" s="4">
        <v>0</v>
      </c>
      <c r="Y1565" t="s">
        <v>58</v>
      </c>
      <c r="Z1565" s="3">
        <v>752</v>
      </c>
      <c r="AA1565">
        <v>0</v>
      </c>
      <c r="AB1565" s="3">
        <v>0</v>
      </c>
      <c r="AC1565">
        <v>0</v>
      </c>
      <c r="AD1565">
        <v>0</v>
      </c>
      <c r="AE1565" s="3">
        <v>1000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45993.645474537036</v>
      </c>
      <c r="AO1565" t="s">
        <v>54</v>
      </c>
      <c r="AP1565">
        <v>0</v>
      </c>
      <c r="AR1565" t="s">
        <v>54</v>
      </c>
      <c r="AS1565" t="s">
        <v>54</v>
      </c>
      <c r="AT1565">
        <v>1009</v>
      </c>
      <c r="AU1565" t="s">
        <v>55</v>
      </c>
    </row>
    <row r="1566" spans="1:47" x14ac:dyDescent="0.25">
      <c r="A1566" t="s">
        <v>47</v>
      </c>
      <c r="B1566" s="1">
        <v>38331</v>
      </c>
      <c r="C1566" t="s">
        <v>48</v>
      </c>
      <c r="D1566" t="s">
        <v>49</v>
      </c>
      <c r="E1566" s="2">
        <v>45993</v>
      </c>
      <c r="F1566" t="s">
        <v>403</v>
      </c>
      <c r="G1566" t="s">
        <v>404</v>
      </c>
      <c r="H1566" s="3">
        <v>1200</v>
      </c>
      <c r="I1566" s="3">
        <v>1200</v>
      </c>
      <c r="J1566">
        <v>0</v>
      </c>
      <c r="K1566" s="3">
        <v>1380</v>
      </c>
      <c r="L1566" s="3">
        <v>186.4</v>
      </c>
      <c r="M1566" s="3">
        <v>78.290000000000006</v>
      </c>
      <c r="N1566" t="s">
        <v>84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9</v>
      </c>
      <c r="W1566" t="s">
        <v>114</v>
      </c>
      <c r="X1566" s="4">
        <v>0</v>
      </c>
      <c r="Y1566" t="s">
        <v>62</v>
      </c>
      <c r="Z1566" s="3"/>
      <c r="AB1566" s="3"/>
      <c r="AE1566" s="3"/>
      <c r="AK1566" s="5"/>
    </row>
    <row r="1567" spans="1:47" x14ac:dyDescent="0.25">
      <c r="A1567" t="s">
        <v>63</v>
      </c>
      <c r="B1567" s="1">
        <v>0</v>
      </c>
      <c r="C1567" s="3">
        <v>186.4</v>
      </c>
      <c r="D1567">
        <v>0</v>
      </c>
      <c r="E1567" s="2">
        <v>0</v>
      </c>
      <c r="F1567">
        <v>0</v>
      </c>
      <c r="G1567" s="3">
        <v>100</v>
      </c>
      <c r="H1567" s="3" t="s">
        <v>54</v>
      </c>
      <c r="I1567" s="3" t="s">
        <v>59</v>
      </c>
      <c r="K1567" s="3" t="s">
        <v>73</v>
      </c>
      <c r="L1567" s="3" t="s">
        <v>73</v>
      </c>
      <c r="M1567" s="3">
        <v>45993.652060185188</v>
      </c>
      <c r="Q1567" t="s">
        <v>54</v>
      </c>
      <c r="R1567">
        <v>0</v>
      </c>
      <c r="T1567" t="s">
        <v>54</v>
      </c>
      <c r="U1567" t="s">
        <v>54</v>
      </c>
      <c r="V1567">
        <v>8818</v>
      </c>
      <c r="W1567" t="s">
        <v>55</v>
      </c>
      <c r="X1567" s="4"/>
      <c r="Z1567" s="3"/>
      <c r="AE1567" s="3"/>
      <c r="AK1567" s="5"/>
    </row>
    <row r="1568" spans="1:47" x14ac:dyDescent="0.25">
      <c r="A1568" t="s">
        <v>81</v>
      </c>
      <c r="B1568" s="1">
        <v>38332</v>
      </c>
      <c r="C1568" s="3" t="s">
        <v>48</v>
      </c>
      <c r="D1568" t="s">
        <v>49</v>
      </c>
      <c r="E1568" s="2">
        <v>45993</v>
      </c>
      <c r="F1568" t="s">
        <v>351</v>
      </c>
      <c r="G1568" s="3" t="s">
        <v>89</v>
      </c>
      <c r="H1568" s="3">
        <v>8550</v>
      </c>
      <c r="I1568" s="3">
        <v>8550</v>
      </c>
      <c r="J1568">
        <v>0</v>
      </c>
      <c r="K1568" s="3">
        <v>8550</v>
      </c>
      <c r="L1568" s="3">
        <v>1377</v>
      </c>
      <c r="M1568" s="3">
        <v>716.04</v>
      </c>
      <c r="N1568" t="s">
        <v>52</v>
      </c>
      <c r="O1568" t="s">
        <v>53</v>
      </c>
      <c r="P1568" t="s">
        <v>53</v>
      </c>
      <c r="Q1568" t="s">
        <v>53</v>
      </c>
      <c r="R1568" t="s">
        <v>54</v>
      </c>
      <c r="S1568" t="s">
        <v>54</v>
      </c>
      <c r="T1568" t="s">
        <v>55</v>
      </c>
      <c r="U1568">
        <v>126</v>
      </c>
      <c r="V1568" t="s">
        <v>56</v>
      </c>
      <c r="W1568" t="s">
        <v>90</v>
      </c>
      <c r="X1568" s="4">
        <v>0</v>
      </c>
      <c r="Y1568" t="s">
        <v>62</v>
      </c>
      <c r="AA1568" s="3"/>
      <c r="AB1568" s="3"/>
      <c r="AE1568" s="3"/>
      <c r="AK1568" s="5"/>
    </row>
    <row r="1569" spans="1:47" x14ac:dyDescent="0.25">
      <c r="A1569" t="s">
        <v>63</v>
      </c>
      <c r="B1569" s="1">
        <v>0</v>
      </c>
      <c r="C1569">
        <v>0</v>
      </c>
      <c r="D1569">
        <v>0</v>
      </c>
      <c r="E1569" s="2">
        <v>0</v>
      </c>
      <c r="F1569" s="3">
        <v>1377</v>
      </c>
      <c r="G1569" s="3">
        <v>3000</v>
      </c>
      <c r="H1569" s="3" t="s">
        <v>54</v>
      </c>
      <c r="I1569" s="3" t="s">
        <v>59</v>
      </c>
      <c r="K1569" s="3" t="s">
        <v>92</v>
      </c>
      <c r="L1569" s="3" t="s">
        <v>92</v>
      </c>
      <c r="M1569" s="3">
        <v>45993.657905092594</v>
      </c>
      <c r="Q1569" t="s">
        <v>54</v>
      </c>
      <c r="R1569">
        <v>0</v>
      </c>
      <c r="T1569" t="s">
        <v>54</v>
      </c>
      <c r="U1569" t="s">
        <v>54</v>
      </c>
      <c r="V1569">
        <v>8070</v>
      </c>
      <c r="W1569" t="s">
        <v>55</v>
      </c>
      <c r="X1569" s="4"/>
      <c r="AA1569" s="3"/>
      <c r="AB1569" s="3"/>
      <c r="AE1569" s="3"/>
      <c r="AK1569" s="5"/>
    </row>
    <row r="1570" spans="1:47" x14ac:dyDescent="0.25">
      <c r="A1570" t="s">
        <v>47</v>
      </c>
      <c r="B1570" s="1">
        <v>38333</v>
      </c>
      <c r="C1570" t="s">
        <v>48</v>
      </c>
      <c r="D1570" t="s">
        <v>49</v>
      </c>
      <c r="E1570" s="2">
        <v>45993</v>
      </c>
      <c r="F1570" s="3" t="s">
        <v>150</v>
      </c>
      <c r="G1570" s="3" t="s">
        <v>66</v>
      </c>
      <c r="H1570" s="3">
        <v>5713.8</v>
      </c>
      <c r="I1570" s="3">
        <v>5713.8</v>
      </c>
      <c r="J1570">
        <v>0</v>
      </c>
      <c r="K1570" s="3">
        <v>6570.87</v>
      </c>
      <c r="L1570">
        <v>570.44000000000005</v>
      </c>
      <c r="M1570" s="3">
        <v>426.69</v>
      </c>
      <c r="N1570" t="s">
        <v>84</v>
      </c>
      <c r="O1570" t="s">
        <v>53</v>
      </c>
      <c r="P1570" t="s">
        <v>53</v>
      </c>
      <c r="Q1570" t="s">
        <v>53</v>
      </c>
      <c r="R1570" t="s">
        <v>54</v>
      </c>
      <c r="S1570" t="s">
        <v>54</v>
      </c>
      <c r="T1570" t="s">
        <v>55</v>
      </c>
      <c r="U1570">
        <v>9</v>
      </c>
      <c r="V1570" t="s">
        <v>71</v>
      </c>
      <c r="W1570" t="s">
        <v>57</v>
      </c>
      <c r="X1570" s="4">
        <v>0</v>
      </c>
      <c r="Y1570" t="s">
        <v>58</v>
      </c>
      <c r="Z1570">
        <v>0</v>
      </c>
      <c r="AA1570">
        <v>0</v>
      </c>
      <c r="AB1570">
        <v>570.44000000000005</v>
      </c>
      <c r="AC1570">
        <v>0</v>
      </c>
      <c r="AD1570">
        <v>0</v>
      </c>
      <c r="AE1570">
        <v>160</v>
      </c>
      <c r="AF1570" t="s">
        <v>54</v>
      </c>
      <c r="AG1570" t="s">
        <v>59</v>
      </c>
      <c r="AI1570" t="s">
        <v>73</v>
      </c>
      <c r="AJ1570" t="s">
        <v>73</v>
      </c>
      <c r="AK1570" s="5">
        <v>45993.670138888891</v>
      </c>
      <c r="AO1570" t="s">
        <v>54</v>
      </c>
      <c r="AP1570">
        <v>0</v>
      </c>
      <c r="AR1570" t="s">
        <v>54</v>
      </c>
      <c r="AS1570" t="s">
        <v>54</v>
      </c>
      <c r="AT1570">
        <v>1009</v>
      </c>
      <c r="AU1570" t="s">
        <v>55</v>
      </c>
    </row>
    <row r="1571" spans="1:47" x14ac:dyDescent="0.25">
      <c r="A1571" t="s">
        <v>47</v>
      </c>
      <c r="B1571" s="1">
        <v>38334</v>
      </c>
      <c r="C1571" t="s">
        <v>48</v>
      </c>
      <c r="D1571" t="s">
        <v>49</v>
      </c>
      <c r="E1571" s="2">
        <v>45993</v>
      </c>
      <c r="F1571" t="s">
        <v>150</v>
      </c>
      <c r="G1571" t="s">
        <v>66</v>
      </c>
      <c r="H1571" s="3">
        <v>6410</v>
      </c>
      <c r="I1571" s="3">
        <v>6410</v>
      </c>
      <c r="J1571">
        <v>0</v>
      </c>
      <c r="K1571" s="3">
        <v>7371.5</v>
      </c>
      <c r="L1571" s="3">
        <v>642.36</v>
      </c>
      <c r="M1571" s="3">
        <v>480.49</v>
      </c>
      <c r="N1571" t="s">
        <v>84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9</v>
      </c>
      <c r="V1571" t="s">
        <v>71</v>
      </c>
      <c r="W1571" t="s">
        <v>57</v>
      </c>
      <c r="X1571" s="4">
        <v>0</v>
      </c>
      <c r="Y1571" t="s">
        <v>58</v>
      </c>
      <c r="Z1571">
        <v>0</v>
      </c>
      <c r="AA1571">
        <v>0</v>
      </c>
      <c r="AB1571" s="3">
        <v>642.36</v>
      </c>
      <c r="AC1571">
        <v>0</v>
      </c>
      <c r="AD1571" s="3">
        <v>0</v>
      </c>
      <c r="AE1571" s="3">
        <v>180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45993.670208333337</v>
      </c>
      <c r="AO1571" t="s">
        <v>54</v>
      </c>
      <c r="AP1571">
        <v>0</v>
      </c>
      <c r="AR1571" t="s">
        <v>54</v>
      </c>
      <c r="AS1571" t="s">
        <v>54</v>
      </c>
      <c r="AT1571">
        <v>1009</v>
      </c>
      <c r="AU1571" t="s">
        <v>55</v>
      </c>
    </row>
    <row r="1572" spans="1:47" x14ac:dyDescent="0.25">
      <c r="A1572" t="s">
        <v>47</v>
      </c>
      <c r="B1572" s="1">
        <v>38335</v>
      </c>
      <c r="C1572" t="s">
        <v>48</v>
      </c>
      <c r="D1572" t="s">
        <v>49</v>
      </c>
      <c r="E1572" s="2">
        <v>45993</v>
      </c>
      <c r="F1572" t="s">
        <v>150</v>
      </c>
      <c r="G1572" t="s">
        <v>66</v>
      </c>
      <c r="H1572" s="3">
        <v>6438.8</v>
      </c>
      <c r="I1572" s="3">
        <v>6438.8</v>
      </c>
      <c r="J1572">
        <v>0</v>
      </c>
      <c r="K1572" s="3">
        <v>7404.62</v>
      </c>
      <c r="L1572" s="3">
        <v>647.44000000000005</v>
      </c>
      <c r="M1572" s="3">
        <v>484.29</v>
      </c>
      <c r="N1572" t="s">
        <v>84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9</v>
      </c>
      <c r="V1572" t="s">
        <v>71</v>
      </c>
      <c r="W1572" t="s">
        <v>57</v>
      </c>
      <c r="X1572" s="4">
        <v>0</v>
      </c>
      <c r="Y1572" t="s">
        <v>58</v>
      </c>
      <c r="Z1572">
        <v>0</v>
      </c>
      <c r="AA1572">
        <v>0</v>
      </c>
      <c r="AB1572" s="3">
        <v>647.44000000000005</v>
      </c>
      <c r="AC1572">
        <v>0</v>
      </c>
      <c r="AD1572">
        <v>0</v>
      </c>
      <c r="AE1572" s="3">
        <v>180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45993.670289351852</v>
      </c>
      <c r="AO1572" t="s">
        <v>54</v>
      </c>
      <c r="AP1572">
        <v>0</v>
      </c>
      <c r="AR1572" t="s">
        <v>54</v>
      </c>
      <c r="AS1572" t="s">
        <v>54</v>
      </c>
      <c r="AT1572">
        <v>1009</v>
      </c>
      <c r="AU1572" t="s">
        <v>55</v>
      </c>
    </row>
    <row r="1573" spans="1:47" x14ac:dyDescent="0.25">
      <c r="A1573" t="s">
        <v>47</v>
      </c>
      <c r="B1573" s="3">
        <v>38336</v>
      </c>
      <c r="C1573" t="s">
        <v>48</v>
      </c>
      <c r="D1573" t="s">
        <v>49</v>
      </c>
      <c r="E1573" s="2">
        <v>45993</v>
      </c>
      <c r="F1573" s="3" t="s">
        <v>150</v>
      </c>
      <c r="G1573" s="3" t="s">
        <v>66</v>
      </c>
      <c r="H1573" s="3">
        <v>5847.6</v>
      </c>
      <c r="I1573" s="3">
        <v>5847.6</v>
      </c>
      <c r="J1573">
        <v>0</v>
      </c>
      <c r="K1573" s="3">
        <v>6724.74</v>
      </c>
      <c r="L1573" s="3">
        <v>583.6</v>
      </c>
      <c r="M1573" s="3">
        <v>436.53</v>
      </c>
      <c r="N1573" t="s">
        <v>84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0</v>
      </c>
      <c r="AA1573">
        <v>0</v>
      </c>
      <c r="AB1573">
        <v>583.6</v>
      </c>
      <c r="AC1573">
        <v>0</v>
      </c>
      <c r="AD1573">
        <v>0</v>
      </c>
      <c r="AE1573" s="3">
        <v>160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45993.670347222222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x14ac:dyDescent="0.25">
      <c r="A1574" t="s">
        <v>47</v>
      </c>
      <c r="B1574" s="1">
        <v>38337</v>
      </c>
      <c r="C1574" t="s">
        <v>48</v>
      </c>
      <c r="D1574" t="s">
        <v>49</v>
      </c>
      <c r="E1574" s="2">
        <v>45993</v>
      </c>
      <c r="F1574" t="s">
        <v>112</v>
      </c>
      <c r="G1574" t="s">
        <v>113</v>
      </c>
      <c r="H1574" s="3">
        <v>22320</v>
      </c>
      <c r="I1574" s="3">
        <v>22320</v>
      </c>
      <c r="J1574">
        <v>0</v>
      </c>
      <c r="K1574" s="3">
        <v>22320</v>
      </c>
      <c r="L1574" s="3">
        <v>3034.5</v>
      </c>
      <c r="M1574" s="3">
        <v>1805.93</v>
      </c>
      <c r="N1574" t="s">
        <v>52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126</v>
      </c>
      <c r="V1574" t="s">
        <v>56</v>
      </c>
      <c r="W1574" t="s">
        <v>114</v>
      </c>
      <c r="X1574" s="4">
        <v>0</v>
      </c>
      <c r="Y1574" t="s">
        <v>58</v>
      </c>
      <c r="Z1574" s="3">
        <v>838.5</v>
      </c>
      <c r="AA1574">
        <v>0</v>
      </c>
      <c r="AB1574" s="3">
        <v>2196</v>
      </c>
      <c r="AC1574">
        <v>0</v>
      </c>
      <c r="AD1574" s="3">
        <v>0</v>
      </c>
      <c r="AE1574" s="3">
        <v>4500</v>
      </c>
      <c r="AF1574" t="s">
        <v>54</v>
      </c>
      <c r="AG1574" t="s">
        <v>59</v>
      </c>
      <c r="AH1574" t="s">
        <v>115</v>
      </c>
      <c r="AI1574" t="s">
        <v>92</v>
      </c>
      <c r="AJ1574" t="s">
        <v>92</v>
      </c>
      <c r="AK1574" s="5">
        <v>45993.667557870373</v>
      </c>
      <c r="AO1574" t="s">
        <v>54</v>
      </c>
      <c r="AP1574">
        <v>0</v>
      </c>
      <c r="AR1574" t="s">
        <v>54</v>
      </c>
      <c r="AS1574" t="s">
        <v>54</v>
      </c>
      <c r="AT1574">
        <v>4089</v>
      </c>
      <c r="AU1574" t="s">
        <v>55</v>
      </c>
    </row>
    <row r="1575" spans="1:47" x14ac:dyDescent="0.25">
      <c r="A1575" t="s">
        <v>47</v>
      </c>
      <c r="B1575" s="1">
        <v>38338</v>
      </c>
      <c r="C1575" t="s">
        <v>48</v>
      </c>
      <c r="D1575" t="s">
        <v>49</v>
      </c>
      <c r="E1575" s="2">
        <v>45993</v>
      </c>
      <c r="F1575" t="s">
        <v>150</v>
      </c>
      <c r="G1575" s="3" t="s">
        <v>66</v>
      </c>
      <c r="H1575" s="3">
        <v>5884.2</v>
      </c>
      <c r="I1575" s="3">
        <v>5884.2</v>
      </c>
      <c r="J1575">
        <v>0</v>
      </c>
      <c r="K1575" s="3">
        <v>6766.83</v>
      </c>
      <c r="L1575" s="3">
        <v>580.72</v>
      </c>
      <c r="M1575" s="3">
        <v>434.38</v>
      </c>
      <c r="N1575" t="s">
        <v>84</v>
      </c>
      <c r="O1575" t="s">
        <v>53</v>
      </c>
      <c r="P1575" t="s">
        <v>53</v>
      </c>
      <c r="Q1575" t="s">
        <v>53</v>
      </c>
      <c r="R1575" t="s">
        <v>54</v>
      </c>
      <c r="S1575" t="s">
        <v>54</v>
      </c>
      <c r="T1575" t="s">
        <v>55</v>
      </c>
      <c r="U1575">
        <v>9</v>
      </c>
      <c r="V1575" t="s">
        <v>71</v>
      </c>
      <c r="W1575" t="s">
        <v>57</v>
      </c>
      <c r="X1575" s="4">
        <v>0</v>
      </c>
      <c r="Y1575" t="s">
        <v>58</v>
      </c>
      <c r="Z1575">
        <v>0</v>
      </c>
      <c r="AA1575">
        <v>0</v>
      </c>
      <c r="AB1575" s="3">
        <v>580.72</v>
      </c>
      <c r="AC1575">
        <v>0</v>
      </c>
      <c r="AD1575">
        <v>0</v>
      </c>
      <c r="AE1575" s="3">
        <v>160</v>
      </c>
      <c r="AF1575" t="s">
        <v>54</v>
      </c>
      <c r="AG1575" t="s">
        <v>59</v>
      </c>
      <c r="AI1575" t="s">
        <v>73</v>
      </c>
      <c r="AJ1575" t="s">
        <v>73</v>
      </c>
      <c r="AK1575" s="5">
        <v>45993.670416666668</v>
      </c>
      <c r="AO1575" t="s">
        <v>54</v>
      </c>
      <c r="AP1575">
        <v>0</v>
      </c>
      <c r="AR1575" t="s">
        <v>54</v>
      </c>
      <c r="AS1575" t="s">
        <v>54</v>
      </c>
      <c r="AT1575">
        <v>1009</v>
      </c>
      <c r="AU1575" t="s">
        <v>55</v>
      </c>
    </row>
    <row r="1576" spans="1:47" x14ac:dyDescent="0.25">
      <c r="A1576" t="s">
        <v>47</v>
      </c>
      <c r="B1576" s="1">
        <v>38339</v>
      </c>
      <c r="C1576" t="s">
        <v>48</v>
      </c>
      <c r="D1576" t="s">
        <v>49</v>
      </c>
      <c r="E1576" s="2">
        <v>45993</v>
      </c>
      <c r="F1576" t="s">
        <v>150</v>
      </c>
      <c r="G1576" t="s">
        <v>66</v>
      </c>
      <c r="H1576" s="3">
        <v>5022.6000000000004</v>
      </c>
      <c r="I1576" s="3">
        <v>5022.6000000000004</v>
      </c>
      <c r="J1576">
        <v>0</v>
      </c>
      <c r="K1576" s="3">
        <v>5775.99</v>
      </c>
      <c r="L1576" s="3">
        <v>492.24</v>
      </c>
      <c r="M1576" s="3">
        <v>368.2</v>
      </c>
      <c r="N1576" t="s">
        <v>84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9</v>
      </c>
      <c r="V1576" t="s">
        <v>71</v>
      </c>
      <c r="W1576" t="s">
        <v>57</v>
      </c>
      <c r="X1576" s="4">
        <v>0</v>
      </c>
      <c r="Y1576" t="s">
        <v>58</v>
      </c>
      <c r="Z1576">
        <v>0</v>
      </c>
      <c r="AA1576">
        <v>0</v>
      </c>
      <c r="AB1576">
        <v>492.24</v>
      </c>
      <c r="AC1576">
        <v>0</v>
      </c>
      <c r="AD1576">
        <v>0</v>
      </c>
      <c r="AE1576">
        <v>140</v>
      </c>
      <c r="AF1576" t="s">
        <v>54</v>
      </c>
      <c r="AG1576" t="s">
        <v>59</v>
      </c>
      <c r="AI1576" t="s">
        <v>73</v>
      </c>
      <c r="AJ1576" t="s">
        <v>73</v>
      </c>
      <c r="AK1576" s="5">
        <v>45993.670486111114</v>
      </c>
      <c r="AO1576" t="s">
        <v>54</v>
      </c>
      <c r="AP1576">
        <v>0</v>
      </c>
      <c r="AR1576" t="s">
        <v>54</v>
      </c>
      <c r="AS1576" t="s">
        <v>54</v>
      </c>
      <c r="AT1576">
        <v>1009</v>
      </c>
      <c r="AU1576" t="s">
        <v>55</v>
      </c>
    </row>
    <row r="1577" spans="1:47" x14ac:dyDescent="0.25">
      <c r="A1577" t="s">
        <v>47</v>
      </c>
      <c r="B1577" s="1">
        <v>38341</v>
      </c>
      <c r="C1577" t="s">
        <v>48</v>
      </c>
      <c r="D1577" t="s">
        <v>49</v>
      </c>
      <c r="E1577" s="2">
        <v>45993</v>
      </c>
      <c r="F1577" s="3" t="s">
        <v>129</v>
      </c>
      <c r="G1577" s="3" t="s">
        <v>130</v>
      </c>
      <c r="H1577" s="3">
        <v>1944</v>
      </c>
      <c r="I1577" s="3">
        <v>1944</v>
      </c>
      <c r="J1577">
        <v>0</v>
      </c>
      <c r="K1577" s="3">
        <v>2235.6</v>
      </c>
      <c r="L1577" s="3">
        <v>349.2</v>
      </c>
      <c r="M1577" s="3">
        <v>146.66</v>
      </c>
      <c r="N1577" t="s">
        <v>52</v>
      </c>
      <c r="O1577" t="s">
        <v>53</v>
      </c>
      <c r="P1577" t="s">
        <v>53</v>
      </c>
      <c r="Q1577" t="s">
        <v>53</v>
      </c>
      <c r="R1577" t="s">
        <v>54</v>
      </c>
      <c r="S1577" t="s">
        <v>54</v>
      </c>
      <c r="T1577" t="s">
        <v>55</v>
      </c>
      <c r="U1577">
        <v>126</v>
      </c>
      <c r="V1577" t="s">
        <v>56</v>
      </c>
      <c r="W1577" t="s">
        <v>131</v>
      </c>
      <c r="X1577" s="4">
        <v>0</v>
      </c>
      <c r="Y1577" t="s">
        <v>62</v>
      </c>
      <c r="AK1577" s="5"/>
    </row>
    <row r="1578" spans="1:47" x14ac:dyDescent="0.25">
      <c r="A1578" t="s">
        <v>63</v>
      </c>
      <c r="B1578" s="1">
        <v>349.2</v>
      </c>
      <c r="C1578">
        <v>0</v>
      </c>
      <c r="D1578">
        <v>0</v>
      </c>
      <c r="E1578" s="2">
        <v>0</v>
      </c>
      <c r="F1578" s="3">
        <v>0</v>
      </c>
      <c r="G1578" s="3">
        <v>300</v>
      </c>
      <c r="H1578" s="3" t="s">
        <v>54</v>
      </c>
      <c r="I1578" s="3" t="s">
        <v>59</v>
      </c>
      <c r="K1578" s="3" t="s">
        <v>92</v>
      </c>
      <c r="L1578" s="3" t="s">
        <v>92</v>
      </c>
      <c r="M1578" s="3">
        <v>45993.678993055553</v>
      </c>
      <c r="Q1578" t="s">
        <v>54</v>
      </c>
      <c r="R1578">
        <v>0</v>
      </c>
      <c r="T1578" t="s">
        <v>54</v>
      </c>
      <c r="U1578" t="s">
        <v>54</v>
      </c>
      <c r="V1578">
        <v>6379</v>
      </c>
      <c r="W1578" t="s">
        <v>55</v>
      </c>
      <c r="X1578" s="4"/>
      <c r="AK1578" s="5"/>
    </row>
    <row r="1579" spans="1:47" x14ac:dyDescent="0.25">
      <c r="A1579" t="s">
        <v>47</v>
      </c>
      <c r="B1579" s="1">
        <v>38342</v>
      </c>
      <c r="C1579" t="s">
        <v>48</v>
      </c>
      <c r="D1579" t="s">
        <v>49</v>
      </c>
      <c r="E1579" s="2">
        <v>45993</v>
      </c>
      <c r="F1579" t="s">
        <v>101</v>
      </c>
      <c r="G1579" s="3" t="s">
        <v>94</v>
      </c>
      <c r="H1579" s="3">
        <v>970</v>
      </c>
      <c r="I1579" s="3">
        <v>970</v>
      </c>
      <c r="J1579">
        <v>0</v>
      </c>
      <c r="K1579" s="3">
        <v>1115.5</v>
      </c>
      <c r="L1579">
        <v>207</v>
      </c>
      <c r="M1579" s="3">
        <v>72.45</v>
      </c>
      <c r="N1579" t="s">
        <v>84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102</v>
      </c>
      <c r="X1579" s="4">
        <v>0</v>
      </c>
      <c r="Y1579" t="s">
        <v>58</v>
      </c>
      <c r="Z1579">
        <v>207</v>
      </c>
      <c r="AA1579">
        <v>0</v>
      </c>
      <c r="AB1579">
        <v>0</v>
      </c>
      <c r="AC1579">
        <v>0</v>
      </c>
      <c r="AD1579">
        <v>0</v>
      </c>
      <c r="AE1579" s="3">
        <v>1000</v>
      </c>
      <c r="AF1579" t="s">
        <v>54</v>
      </c>
      <c r="AG1579" t="s">
        <v>59</v>
      </c>
      <c r="AH1579" t="s">
        <v>103</v>
      </c>
      <c r="AI1579" t="s">
        <v>92</v>
      </c>
      <c r="AJ1579" t="s">
        <v>92</v>
      </c>
      <c r="AK1579" s="5">
        <v>45993.686712962961</v>
      </c>
      <c r="AO1579" t="s">
        <v>54</v>
      </c>
      <c r="AP1579">
        <v>0</v>
      </c>
      <c r="AR1579" t="s">
        <v>54</v>
      </c>
      <c r="AS1579" t="s">
        <v>54</v>
      </c>
      <c r="AT1579">
        <v>161</v>
      </c>
      <c r="AU1579" t="s">
        <v>55</v>
      </c>
    </row>
    <row r="1580" spans="1:47" x14ac:dyDescent="0.25">
      <c r="A1580" t="s">
        <v>47</v>
      </c>
      <c r="B1580" s="1">
        <v>38343</v>
      </c>
      <c r="C1580" t="s">
        <v>48</v>
      </c>
      <c r="D1580" t="s">
        <v>49</v>
      </c>
      <c r="E1580" s="2">
        <v>45994</v>
      </c>
      <c r="F1580" t="s">
        <v>101</v>
      </c>
      <c r="G1580" t="s">
        <v>94</v>
      </c>
      <c r="H1580" s="3">
        <v>3560</v>
      </c>
      <c r="I1580" s="3">
        <v>3560</v>
      </c>
      <c r="J1580">
        <v>0</v>
      </c>
      <c r="K1580" s="3">
        <v>4094</v>
      </c>
      <c r="L1580" s="3">
        <v>880</v>
      </c>
      <c r="M1580" s="3">
        <v>255.2</v>
      </c>
      <c r="N1580" t="s">
        <v>84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102</v>
      </c>
      <c r="X1580" s="4">
        <v>0</v>
      </c>
      <c r="Y1580" t="s">
        <v>58</v>
      </c>
      <c r="Z1580">
        <v>880</v>
      </c>
      <c r="AA1580">
        <v>0</v>
      </c>
      <c r="AB1580">
        <v>0</v>
      </c>
      <c r="AC1580">
        <v>0</v>
      </c>
      <c r="AD1580">
        <v>0</v>
      </c>
      <c r="AE1580" s="3">
        <v>2000</v>
      </c>
      <c r="AF1580" t="s">
        <v>54</v>
      </c>
      <c r="AG1580" t="s">
        <v>59</v>
      </c>
      <c r="AH1580" t="s">
        <v>103</v>
      </c>
      <c r="AI1580" t="s">
        <v>73</v>
      </c>
      <c r="AJ1580" t="s">
        <v>73</v>
      </c>
      <c r="AK1580" s="5">
        <v>45994.400590277779</v>
      </c>
      <c r="AO1580" t="s">
        <v>54</v>
      </c>
      <c r="AP1580">
        <v>0</v>
      </c>
      <c r="AR1580" t="s">
        <v>54</v>
      </c>
      <c r="AS1580" t="s">
        <v>54</v>
      </c>
      <c r="AT1580">
        <v>161</v>
      </c>
      <c r="AU1580" t="s">
        <v>55</v>
      </c>
    </row>
    <row r="1581" spans="1:47" x14ac:dyDescent="0.25">
      <c r="A1581" t="s">
        <v>81</v>
      </c>
      <c r="B1581" s="1">
        <v>38344</v>
      </c>
      <c r="C1581" t="s">
        <v>48</v>
      </c>
      <c r="D1581" t="s">
        <v>49</v>
      </c>
      <c r="E1581" s="2">
        <v>45994</v>
      </c>
      <c r="F1581" t="s">
        <v>311</v>
      </c>
      <c r="G1581" s="3" t="s">
        <v>113</v>
      </c>
      <c r="H1581" s="3">
        <v>5562</v>
      </c>
      <c r="I1581" s="3">
        <v>5562</v>
      </c>
      <c r="J1581">
        <v>0</v>
      </c>
      <c r="K1581" s="3">
        <v>5562</v>
      </c>
      <c r="L1581" s="3">
        <v>1220.4000000000001</v>
      </c>
      <c r="M1581" s="3">
        <v>465.43</v>
      </c>
      <c r="N1581" t="s">
        <v>52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126</v>
      </c>
      <c r="V1581" t="s">
        <v>56</v>
      </c>
      <c r="W1581" t="s">
        <v>114</v>
      </c>
      <c r="X1581" s="4">
        <v>0</v>
      </c>
      <c r="Y1581" t="s">
        <v>62</v>
      </c>
      <c r="AE1581" s="3"/>
      <c r="AK1581" s="5"/>
    </row>
    <row r="1582" spans="1:47" x14ac:dyDescent="0.25">
      <c r="A1582" t="s">
        <v>63</v>
      </c>
      <c r="B1582" s="1">
        <v>1220.4000000000001</v>
      </c>
      <c r="C1582">
        <v>0</v>
      </c>
      <c r="D1582">
        <v>0</v>
      </c>
      <c r="E1582" s="2">
        <v>0</v>
      </c>
      <c r="F1582">
        <v>0</v>
      </c>
      <c r="G1582" s="3">
        <v>3600</v>
      </c>
      <c r="H1582" s="3" t="s">
        <v>54</v>
      </c>
      <c r="I1582" s="3" t="s">
        <v>59</v>
      </c>
      <c r="K1582" s="3" t="s">
        <v>73</v>
      </c>
      <c r="L1582" s="3" t="s">
        <v>92</v>
      </c>
      <c r="M1582" s="3">
        <v>45994.465173611112</v>
      </c>
      <c r="Q1582" t="s">
        <v>54</v>
      </c>
      <c r="R1582">
        <v>0</v>
      </c>
      <c r="T1582" t="s">
        <v>54</v>
      </c>
      <c r="U1582" t="s">
        <v>54</v>
      </c>
      <c r="V1582">
        <v>5660</v>
      </c>
      <c r="W1582" t="s">
        <v>55</v>
      </c>
      <c r="X1582" s="4"/>
      <c r="Z1582" s="3"/>
      <c r="AB1582" s="3"/>
      <c r="AE1582" s="3"/>
      <c r="AK1582" s="5"/>
    </row>
    <row r="1583" spans="1:47" x14ac:dyDescent="0.25">
      <c r="A1583" t="s">
        <v>81</v>
      </c>
      <c r="B1583" s="1">
        <v>38345</v>
      </c>
      <c r="C1583" t="s">
        <v>48</v>
      </c>
      <c r="D1583" t="s">
        <v>49</v>
      </c>
      <c r="E1583" s="2">
        <v>45995</v>
      </c>
      <c r="F1583" t="s">
        <v>293</v>
      </c>
      <c r="G1583" s="3" t="s">
        <v>217</v>
      </c>
      <c r="H1583" s="3">
        <v>8650</v>
      </c>
      <c r="I1583" s="3">
        <v>8650</v>
      </c>
      <c r="J1583">
        <v>0</v>
      </c>
      <c r="K1583" s="3">
        <v>8650</v>
      </c>
      <c r="L1583" s="3">
        <v>1527.5</v>
      </c>
      <c r="M1583" s="3">
        <v>717.93</v>
      </c>
      <c r="N1583" t="s">
        <v>52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126</v>
      </c>
      <c r="V1583" t="s">
        <v>56</v>
      </c>
      <c r="W1583" t="s">
        <v>90</v>
      </c>
      <c r="X1583" s="4">
        <v>0</v>
      </c>
      <c r="Y1583" t="s">
        <v>62</v>
      </c>
      <c r="Z1583" s="3"/>
      <c r="AB1583" s="3"/>
      <c r="AE1583" s="3"/>
      <c r="AK1583" s="5"/>
    </row>
    <row r="1584" spans="1:47" x14ac:dyDescent="0.25">
      <c r="A1584" t="s">
        <v>63</v>
      </c>
      <c r="B1584" s="1">
        <v>0</v>
      </c>
      <c r="C1584">
        <v>0</v>
      </c>
      <c r="D1584">
        <v>0</v>
      </c>
      <c r="E1584" s="2">
        <v>0</v>
      </c>
      <c r="F1584" s="3">
        <v>1527.5</v>
      </c>
      <c r="G1584" s="3">
        <v>2500</v>
      </c>
      <c r="H1584" s="3" t="s">
        <v>54</v>
      </c>
      <c r="I1584" s="3" t="s">
        <v>59</v>
      </c>
      <c r="J1584" t="s">
        <v>294</v>
      </c>
      <c r="K1584" s="3" t="s">
        <v>73</v>
      </c>
      <c r="L1584" s="3" t="s">
        <v>73</v>
      </c>
      <c r="M1584" s="3">
        <v>45995.458622685182</v>
      </c>
      <c r="Q1584" t="s">
        <v>54</v>
      </c>
      <c r="R1584">
        <v>0</v>
      </c>
      <c r="T1584" t="s">
        <v>54</v>
      </c>
      <c r="U1584" t="s">
        <v>54</v>
      </c>
      <c r="V1584">
        <v>5293</v>
      </c>
      <c r="W1584" t="s">
        <v>55</v>
      </c>
      <c r="X1584" s="4"/>
      <c r="AE1584" s="3"/>
      <c r="AK1584" s="5"/>
    </row>
    <row r="1585" spans="1:47" x14ac:dyDescent="0.25">
      <c r="A1585" t="s">
        <v>47</v>
      </c>
      <c r="B1585" s="1">
        <v>38346</v>
      </c>
      <c r="C1585" t="s">
        <v>48</v>
      </c>
      <c r="D1585" t="s">
        <v>49</v>
      </c>
      <c r="E1585" s="2">
        <v>45995</v>
      </c>
      <c r="F1585" s="3" t="s">
        <v>346</v>
      </c>
      <c r="G1585" s="3" t="s">
        <v>124</v>
      </c>
      <c r="H1585" s="3">
        <v>10800</v>
      </c>
      <c r="I1585" s="3">
        <v>10800</v>
      </c>
      <c r="J1585">
        <v>0</v>
      </c>
      <c r="K1585" s="3">
        <v>12420</v>
      </c>
      <c r="L1585" s="3">
        <v>1732</v>
      </c>
      <c r="M1585" s="3">
        <v>814.04</v>
      </c>
      <c r="N1585" t="s">
        <v>52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126</v>
      </c>
      <c r="V1585" t="s">
        <v>56</v>
      </c>
      <c r="W1585" t="s">
        <v>72</v>
      </c>
      <c r="X1585" s="4">
        <v>0</v>
      </c>
      <c r="Y1585" t="s">
        <v>62</v>
      </c>
      <c r="AK1585" s="5"/>
    </row>
    <row r="1586" spans="1:47" x14ac:dyDescent="0.25">
      <c r="A1586" t="s">
        <v>63</v>
      </c>
      <c r="B1586" s="1">
        <v>0</v>
      </c>
      <c r="C1586">
        <v>0</v>
      </c>
      <c r="D1586">
        <v>0</v>
      </c>
      <c r="E1586" s="2">
        <v>0</v>
      </c>
      <c r="F1586" s="3">
        <v>1732</v>
      </c>
      <c r="G1586" s="3">
        <v>2000</v>
      </c>
      <c r="H1586" s="3" t="s">
        <v>54</v>
      </c>
      <c r="I1586" s="3" t="s">
        <v>59</v>
      </c>
      <c r="K1586" s="3" t="s">
        <v>73</v>
      </c>
      <c r="L1586" s="3" t="s">
        <v>73</v>
      </c>
      <c r="M1586" s="3">
        <v>45995.458483796298</v>
      </c>
      <c r="Q1586" t="s">
        <v>54</v>
      </c>
      <c r="R1586">
        <v>0</v>
      </c>
      <c r="T1586" t="s">
        <v>54</v>
      </c>
      <c r="U1586" t="s">
        <v>54</v>
      </c>
      <c r="V1586">
        <v>8215</v>
      </c>
      <c r="W1586" t="s">
        <v>55</v>
      </c>
      <c r="X1586" s="4"/>
      <c r="AE1586" s="3"/>
      <c r="AK1586" s="5"/>
    </row>
    <row r="1587" spans="1:47" x14ac:dyDescent="0.25">
      <c r="A1587" t="s">
        <v>47</v>
      </c>
      <c r="B1587" s="3">
        <v>38347</v>
      </c>
      <c r="C1587" t="s">
        <v>48</v>
      </c>
      <c r="D1587" t="s">
        <v>49</v>
      </c>
      <c r="E1587" s="2">
        <v>45995</v>
      </c>
      <c r="F1587" s="3" t="s">
        <v>161</v>
      </c>
      <c r="G1587" s="3" t="s">
        <v>109</v>
      </c>
      <c r="H1587" s="3">
        <v>1746</v>
      </c>
      <c r="I1587" s="3">
        <v>1746</v>
      </c>
      <c r="J1587">
        <v>0</v>
      </c>
      <c r="K1587" s="3">
        <v>2007.9</v>
      </c>
      <c r="L1587" s="3">
        <v>239.2</v>
      </c>
      <c r="M1587" s="3">
        <v>143.52000000000001</v>
      </c>
      <c r="N1587" t="s">
        <v>77</v>
      </c>
      <c r="O1587" t="s">
        <v>53</v>
      </c>
      <c r="P1587" t="s">
        <v>53</v>
      </c>
      <c r="Q1587" t="s">
        <v>53</v>
      </c>
      <c r="R1587" t="s">
        <v>54</v>
      </c>
      <c r="S1587" t="s">
        <v>54</v>
      </c>
      <c r="T1587" t="s">
        <v>55</v>
      </c>
      <c r="U1587">
        <v>83</v>
      </c>
      <c r="W1587" t="s">
        <v>162</v>
      </c>
      <c r="X1587" s="4">
        <v>0</v>
      </c>
      <c r="Y1587" t="s">
        <v>58</v>
      </c>
      <c r="Z1587">
        <v>0</v>
      </c>
      <c r="AA1587">
        <v>0</v>
      </c>
      <c r="AB1587">
        <v>239.2</v>
      </c>
      <c r="AC1587">
        <v>0</v>
      </c>
      <c r="AD1587">
        <v>0</v>
      </c>
      <c r="AE1587" s="3">
        <v>200</v>
      </c>
      <c r="AF1587" t="s">
        <v>54</v>
      </c>
      <c r="AG1587" t="s">
        <v>59</v>
      </c>
      <c r="AI1587" t="s">
        <v>73</v>
      </c>
      <c r="AJ1587" t="s">
        <v>92</v>
      </c>
      <c r="AK1587" s="5">
        <v>45995.627962962964</v>
      </c>
      <c r="AO1587" t="s">
        <v>54</v>
      </c>
      <c r="AP1587">
        <v>0</v>
      </c>
      <c r="AR1587" t="s">
        <v>54</v>
      </c>
      <c r="AS1587" t="s">
        <v>54</v>
      </c>
      <c r="AT1587">
        <v>4386</v>
      </c>
      <c r="AU1587" t="s">
        <v>55</v>
      </c>
    </row>
    <row r="1588" spans="1:47" x14ac:dyDescent="0.25">
      <c r="A1588" t="s">
        <v>81</v>
      </c>
      <c r="B1588" s="1">
        <v>38348</v>
      </c>
      <c r="C1588" t="s">
        <v>48</v>
      </c>
      <c r="D1588" t="s">
        <v>49</v>
      </c>
      <c r="E1588" s="2">
        <v>45995</v>
      </c>
      <c r="F1588" t="s">
        <v>151</v>
      </c>
      <c r="G1588" t="s">
        <v>152</v>
      </c>
      <c r="H1588" s="3">
        <v>8134.5</v>
      </c>
      <c r="I1588" s="3">
        <v>8134.5</v>
      </c>
      <c r="J1588">
        <v>0</v>
      </c>
      <c r="K1588" s="3">
        <v>8134.5</v>
      </c>
      <c r="L1588" s="3">
        <v>1053.1500000000001</v>
      </c>
      <c r="M1588" s="3">
        <v>787.76</v>
      </c>
      <c r="N1588" t="s">
        <v>52</v>
      </c>
      <c r="O1588" t="s">
        <v>53</v>
      </c>
      <c r="P1588" t="s">
        <v>53</v>
      </c>
      <c r="Q1588" t="s">
        <v>53</v>
      </c>
      <c r="R1588" t="s">
        <v>54</v>
      </c>
      <c r="S1588" t="s">
        <v>54</v>
      </c>
      <c r="T1588" t="s">
        <v>55</v>
      </c>
      <c r="U1588">
        <v>126</v>
      </c>
      <c r="V1588" t="s">
        <v>56</v>
      </c>
      <c r="W1588" t="s">
        <v>143</v>
      </c>
      <c r="X1588" s="4">
        <v>0</v>
      </c>
      <c r="Y1588" t="s">
        <v>58</v>
      </c>
      <c r="Z1588" s="3">
        <v>0</v>
      </c>
      <c r="AA1588">
        <v>0</v>
      </c>
      <c r="AB1588" s="3">
        <v>1053.1500000000001</v>
      </c>
      <c r="AC1588">
        <v>0</v>
      </c>
      <c r="AD1588">
        <v>0</v>
      </c>
      <c r="AE1588" s="3">
        <v>850</v>
      </c>
      <c r="AF1588" t="s">
        <v>54</v>
      </c>
      <c r="AG1588" t="s">
        <v>59</v>
      </c>
      <c r="AI1588" t="s">
        <v>73</v>
      </c>
      <c r="AJ1588" t="s">
        <v>73</v>
      </c>
      <c r="AK1588" s="5">
        <v>45995.577488425923</v>
      </c>
      <c r="AO1588" t="s">
        <v>54</v>
      </c>
      <c r="AP1588">
        <v>0</v>
      </c>
      <c r="AR1588" t="s">
        <v>54</v>
      </c>
      <c r="AS1588" t="s">
        <v>54</v>
      </c>
      <c r="AT1588">
        <v>4340</v>
      </c>
      <c r="AU1588" t="s">
        <v>55</v>
      </c>
    </row>
    <row r="1589" spans="1:47" x14ac:dyDescent="0.25">
      <c r="A1589" t="s">
        <v>47</v>
      </c>
      <c r="B1589" s="1">
        <v>38349</v>
      </c>
      <c r="C1589" t="s">
        <v>48</v>
      </c>
      <c r="D1589" t="s">
        <v>49</v>
      </c>
      <c r="E1589" s="2">
        <v>45996</v>
      </c>
      <c r="F1589" s="3" t="s">
        <v>150</v>
      </c>
      <c r="G1589" s="3" t="s">
        <v>66</v>
      </c>
      <c r="H1589" s="3">
        <v>694.2</v>
      </c>
      <c r="I1589" s="3">
        <v>694.2</v>
      </c>
      <c r="J1589">
        <v>0</v>
      </c>
      <c r="K1589" s="3">
        <v>798.33</v>
      </c>
      <c r="L1589" s="3">
        <v>71.92</v>
      </c>
      <c r="M1589" s="3">
        <v>53.8</v>
      </c>
      <c r="N1589" t="s">
        <v>84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9</v>
      </c>
      <c r="V1589" t="s">
        <v>71</v>
      </c>
      <c r="W1589" t="s">
        <v>57</v>
      </c>
      <c r="X1589" s="4">
        <v>0</v>
      </c>
      <c r="Y1589" t="s">
        <v>58</v>
      </c>
      <c r="Z1589">
        <v>0</v>
      </c>
      <c r="AA1589">
        <v>0</v>
      </c>
      <c r="AB1589" s="3">
        <v>71.92</v>
      </c>
      <c r="AC1589">
        <v>0</v>
      </c>
      <c r="AD1589">
        <v>0</v>
      </c>
      <c r="AE1589" s="3">
        <v>20</v>
      </c>
      <c r="AF1589" t="s">
        <v>54</v>
      </c>
      <c r="AG1589" t="s">
        <v>59</v>
      </c>
      <c r="AI1589" t="s">
        <v>73</v>
      </c>
      <c r="AJ1589" t="s">
        <v>73</v>
      </c>
      <c r="AK1589" s="5">
        <v>45996.371678240743</v>
      </c>
      <c r="AO1589" t="s">
        <v>54</v>
      </c>
      <c r="AP1589">
        <v>0</v>
      </c>
      <c r="AR1589" t="s">
        <v>54</v>
      </c>
      <c r="AS1589" t="s">
        <v>54</v>
      </c>
      <c r="AT1589">
        <v>1009</v>
      </c>
      <c r="AU1589" t="s">
        <v>55</v>
      </c>
    </row>
    <row r="1590" spans="1:47" x14ac:dyDescent="0.25">
      <c r="A1590" t="s">
        <v>96</v>
      </c>
      <c r="B1590" s="1">
        <v>38350</v>
      </c>
      <c r="C1590" t="s">
        <v>48</v>
      </c>
      <c r="D1590" t="s">
        <v>49</v>
      </c>
      <c r="E1590" s="2">
        <v>45996</v>
      </c>
      <c r="F1590" t="s">
        <v>163</v>
      </c>
      <c r="G1590" s="3" t="s">
        <v>66</v>
      </c>
      <c r="H1590" s="3">
        <v>89807.3</v>
      </c>
      <c r="I1590" s="3">
        <v>89807.3</v>
      </c>
      <c r="J1590">
        <v>0</v>
      </c>
      <c r="K1590" s="3">
        <v>89807.3</v>
      </c>
      <c r="L1590" s="3">
        <v>16301.51</v>
      </c>
      <c r="M1590" s="3">
        <v>9373.3700000000008</v>
      </c>
      <c r="N1590" t="s">
        <v>52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126</v>
      </c>
      <c r="V1590" t="s">
        <v>56</v>
      </c>
      <c r="W1590" t="s">
        <v>143</v>
      </c>
      <c r="X1590" s="4">
        <v>0</v>
      </c>
      <c r="Y1590" t="s">
        <v>201</v>
      </c>
      <c r="Z1590">
        <v>0</v>
      </c>
      <c r="AA1590">
        <v>0</v>
      </c>
      <c r="AB1590" s="3">
        <v>16301.51</v>
      </c>
      <c r="AC1590">
        <v>0</v>
      </c>
      <c r="AD1590">
        <v>0</v>
      </c>
      <c r="AE1590" s="3">
        <v>15410</v>
      </c>
      <c r="AF1590" t="s">
        <v>54</v>
      </c>
      <c r="AG1590" t="s">
        <v>59</v>
      </c>
      <c r="AI1590" t="s">
        <v>73</v>
      </c>
      <c r="AJ1590" t="s">
        <v>73</v>
      </c>
      <c r="AK1590" s="5">
        <v>45996.379178240742</v>
      </c>
      <c r="AO1590" t="s">
        <v>54</v>
      </c>
      <c r="AP1590">
        <v>0</v>
      </c>
      <c r="AR1590" t="s">
        <v>54</v>
      </c>
      <c r="AS1590" t="s">
        <v>54</v>
      </c>
      <c r="AT1590">
        <v>5486</v>
      </c>
      <c r="AU1590" t="s">
        <v>55</v>
      </c>
    </row>
    <row r="1591" spans="1:47" x14ac:dyDescent="0.25">
      <c r="A1591" t="s">
        <v>96</v>
      </c>
      <c r="B1591" s="1">
        <v>38351</v>
      </c>
      <c r="C1591" t="s">
        <v>48</v>
      </c>
      <c r="D1591" t="s">
        <v>49</v>
      </c>
      <c r="E1591" s="2">
        <v>45996</v>
      </c>
      <c r="F1591" t="s">
        <v>163</v>
      </c>
      <c r="G1591" t="s">
        <v>66</v>
      </c>
      <c r="H1591" s="3">
        <v>2967.3</v>
      </c>
      <c r="I1591" s="3">
        <v>2967.3</v>
      </c>
      <c r="J1591">
        <v>0</v>
      </c>
      <c r="K1591" s="3">
        <v>2967.3</v>
      </c>
      <c r="L1591" s="3">
        <v>794.58</v>
      </c>
      <c r="M1591" s="3">
        <v>230.43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143</v>
      </c>
      <c r="X1591" s="4">
        <v>0</v>
      </c>
      <c r="Y1591" t="s">
        <v>201</v>
      </c>
      <c r="Z1591">
        <v>794.58</v>
      </c>
      <c r="AA1591">
        <v>0</v>
      </c>
      <c r="AB1591" s="3">
        <v>0</v>
      </c>
      <c r="AC1591">
        <v>0</v>
      </c>
      <c r="AD1591">
        <v>0</v>
      </c>
      <c r="AE1591" s="3">
        <v>3297</v>
      </c>
      <c r="AF1591" t="s">
        <v>54</v>
      </c>
      <c r="AG1591" t="s">
        <v>59</v>
      </c>
      <c r="AI1591" t="s">
        <v>73</v>
      </c>
      <c r="AJ1591" t="s">
        <v>73</v>
      </c>
      <c r="AK1591" s="5">
        <v>45996.380416666667</v>
      </c>
      <c r="AO1591" t="s">
        <v>54</v>
      </c>
      <c r="AP1591">
        <v>0</v>
      </c>
      <c r="AR1591" t="s">
        <v>54</v>
      </c>
      <c r="AS1591" t="s">
        <v>54</v>
      </c>
      <c r="AT1591">
        <v>5486</v>
      </c>
      <c r="AU1591" t="s">
        <v>55</v>
      </c>
    </row>
    <row r="1592" spans="1:47" x14ac:dyDescent="0.25">
      <c r="A1592" t="s">
        <v>96</v>
      </c>
      <c r="B1592" s="1">
        <v>38352</v>
      </c>
      <c r="C1592" t="s">
        <v>48</v>
      </c>
      <c r="D1592" t="s">
        <v>49</v>
      </c>
      <c r="E1592" s="2">
        <v>45996</v>
      </c>
      <c r="F1592" s="3" t="s">
        <v>163</v>
      </c>
      <c r="G1592" s="3" t="s">
        <v>66</v>
      </c>
      <c r="H1592" s="3">
        <v>45720.5</v>
      </c>
      <c r="I1592" s="3">
        <v>45720.5</v>
      </c>
      <c r="J1592">
        <v>0</v>
      </c>
      <c r="K1592" s="3">
        <v>45720.5</v>
      </c>
      <c r="L1592" s="3">
        <v>11209</v>
      </c>
      <c r="M1592" s="3">
        <v>3513.87</v>
      </c>
      <c r="N1592" t="s">
        <v>52</v>
      </c>
      <c r="O1592" t="s">
        <v>53</v>
      </c>
      <c r="P1592" t="s">
        <v>53</v>
      </c>
      <c r="Q1592" t="s">
        <v>53</v>
      </c>
      <c r="R1592" t="s">
        <v>54</v>
      </c>
      <c r="S1592" t="s">
        <v>54</v>
      </c>
      <c r="T1592" t="s">
        <v>55</v>
      </c>
      <c r="U1592">
        <v>126</v>
      </c>
      <c r="V1592" t="s">
        <v>56</v>
      </c>
      <c r="W1592" t="s">
        <v>143</v>
      </c>
      <c r="X1592" s="4">
        <v>0</v>
      </c>
      <c r="Y1592" t="s">
        <v>201</v>
      </c>
      <c r="Z1592" s="3">
        <v>9746.5</v>
      </c>
      <c r="AA1592">
        <v>0</v>
      </c>
      <c r="AB1592">
        <v>0</v>
      </c>
      <c r="AC1592">
        <v>0</v>
      </c>
      <c r="AD1592" s="3">
        <v>1462.5</v>
      </c>
      <c r="AE1592" s="3">
        <v>56000</v>
      </c>
      <c r="AF1592" t="s">
        <v>54</v>
      </c>
      <c r="AG1592" t="s">
        <v>59</v>
      </c>
      <c r="AI1592" t="s">
        <v>73</v>
      </c>
      <c r="AJ1592" t="s">
        <v>73</v>
      </c>
      <c r="AK1592" s="5">
        <v>45996.608171296299</v>
      </c>
      <c r="AO1592" t="s">
        <v>54</v>
      </c>
      <c r="AP1592">
        <v>0</v>
      </c>
      <c r="AR1592" t="s">
        <v>54</v>
      </c>
      <c r="AS1592" t="s">
        <v>54</v>
      </c>
      <c r="AT1592">
        <v>5486</v>
      </c>
      <c r="AU1592" t="s">
        <v>55</v>
      </c>
    </row>
    <row r="1593" spans="1:47" x14ac:dyDescent="0.25">
      <c r="A1593" t="s">
        <v>96</v>
      </c>
      <c r="B1593" s="3">
        <v>38353</v>
      </c>
      <c r="C1593" t="s">
        <v>48</v>
      </c>
      <c r="D1593" t="s">
        <v>49</v>
      </c>
      <c r="E1593" s="2">
        <v>45996</v>
      </c>
      <c r="F1593" t="s">
        <v>187</v>
      </c>
      <c r="G1593" s="3" t="s">
        <v>69</v>
      </c>
      <c r="H1593" s="3">
        <v>6120</v>
      </c>
      <c r="I1593" s="3">
        <v>6120</v>
      </c>
      <c r="J1593">
        <v>0</v>
      </c>
      <c r="K1593" s="3">
        <v>6120</v>
      </c>
      <c r="L1593" s="3">
        <v>1167</v>
      </c>
      <c r="M1593" s="3">
        <v>428.29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134</v>
      </c>
      <c r="X1593" s="4">
        <v>0</v>
      </c>
      <c r="Y1593" t="s">
        <v>58</v>
      </c>
      <c r="Z1593" s="3">
        <v>1167</v>
      </c>
      <c r="AA1593">
        <v>0</v>
      </c>
      <c r="AB1593">
        <v>0</v>
      </c>
      <c r="AC1593">
        <v>0</v>
      </c>
      <c r="AD1593" s="3">
        <v>0</v>
      </c>
      <c r="AE1593" s="3">
        <v>1500</v>
      </c>
      <c r="AF1593" t="s">
        <v>54</v>
      </c>
      <c r="AG1593" t="s">
        <v>59</v>
      </c>
      <c r="AI1593" t="s">
        <v>92</v>
      </c>
      <c r="AJ1593" t="s">
        <v>92</v>
      </c>
      <c r="AK1593" s="5">
        <v>45996.606863425928</v>
      </c>
      <c r="AO1593" t="s">
        <v>54</v>
      </c>
      <c r="AP1593">
        <v>0</v>
      </c>
      <c r="AR1593" t="s">
        <v>54</v>
      </c>
      <c r="AS1593" t="s">
        <v>54</v>
      </c>
      <c r="AT1593">
        <v>2991</v>
      </c>
      <c r="AU1593" t="s">
        <v>55</v>
      </c>
    </row>
    <row r="1594" spans="1:47" x14ac:dyDescent="0.25">
      <c r="A1594" t="s">
        <v>47</v>
      </c>
      <c r="B1594" s="1">
        <v>38355</v>
      </c>
      <c r="C1594" t="s">
        <v>48</v>
      </c>
      <c r="D1594" t="s">
        <v>49</v>
      </c>
      <c r="E1594" s="2">
        <v>45996</v>
      </c>
      <c r="F1594" s="3" t="s">
        <v>118</v>
      </c>
      <c r="G1594" s="3" t="s">
        <v>119</v>
      </c>
      <c r="H1594" s="3">
        <v>8424.75</v>
      </c>
      <c r="I1594" s="3">
        <v>8424.75</v>
      </c>
      <c r="J1594">
        <v>0</v>
      </c>
      <c r="K1594" s="3">
        <v>9688.4599999999991</v>
      </c>
      <c r="L1594" s="3">
        <v>1205.93</v>
      </c>
      <c r="M1594" s="3">
        <v>693.41</v>
      </c>
      <c r="N1594" t="s">
        <v>77</v>
      </c>
      <c r="O1594" t="s">
        <v>53</v>
      </c>
      <c r="P1594" t="s">
        <v>53</v>
      </c>
      <c r="Q1594" t="s">
        <v>53</v>
      </c>
      <c r="R1594" t="s">
        <v>54</v>
      </c>
      <c r="S1594" t="s">
        <v>54</v>
      </c>
      <c r="T1594" t="s">
        <v>55</v>
      </c>
      <c r="U1594">
        <v>83</v>
      </c>
      <c r="W1594" t="s">
        <v>85</v>
      </c>
      <c r="X1594" s="4">
        <v>0</v>
      </c>
      <c r="Y1594" t="s">
        <v>58</v>
      </c>
      <c r="Z1594" s="3">
        <v>0</v>
      </c>
      <c r="AA1594">
        <v>0</v>
      </c>
      <c r="AB1594" s="3">
        <v>1205.93</v>
      </c>
      <c r="AC1594">
        <v>0</v>
      </c>
      <c r="AD1594">
        <v>0</v>
      </c>
      <c r="AE1594" s="3">
        <v>525</v>
      </c>
      <c r="AF1594" t="s">
        <v>54</v>
      </c>
      <c r="AG1594" t="s">
        <v>59</v>
      </c>
      <c r="AI1594" t="s">
        <v>80</v>
      </c>
      <c r="AJ1594" t="s">
        <v>73</v>
      </c>
      <c r="AK1594" s="5">
        <v>45996.699293981481</v>
      </c>
      <c r="AO1594" t="s">
        <v>54</v>
      </c>
      <c r="AP1594">
        <v>0</v>
      </c>
      <c r="AR1594" t="s">
        <v>54</v>
      </c>
      <c r="AS1594" t="s">
        <v>54</v>
      </c>
      <c r="AT1594">
        <v>4900</v>
      </c>
      <c r="AU1594" t="s">
        <v>55</v>
      </c>
    </row>
    <row r="1595" spans="1:47" x14ac:dyDescent="0.25">
      <c r="A1595" t="s">
        <v>47</v>
      </c>
      <c r="B1595" s="1">
        <v>38356</v>
      </c>
      <c r="C1595" t="s">
        <v>48</v>
      </c>
      <c r="D1595" t="s">
        <v>49</v>
      </c>
      <c r="E1595" s="2">
        <v>45996</v>
      </c>
      <c r="F1595" s="3" t="s">
        <v>118</v>
      </c>
      <c r="G1595" s="3" t="s">
        <v>119</v>
      </c>
      <c r="H1595" s="3">
        <v>8424.75</v>
      </c>
      <c r="I1595" s="3">
        <v>8424.75</v>
      </c>
      <c r="J1595">
        <v>0</v>
      </c>
      <c r="K1595" s="3">
        <v>9688.4599999999991</v>
      </c>
      <c r="L1595" s="3">
        <v>1205.93</v>
      </c>
      <c r="M1595" s="3">
        <v>693.41</v>
      </c>
      <c r="N1595" t="s">
        <v>77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83</v>
      </c>
      <c r="W1595" t="s">
        <v>85</v>
      </c>
      <c r="X1595" s="4">
        <v>0</v>
      </c>
      <c r="Y1595" t="s">
        <v>58</v>
      </c>
      <c r="Z1595">
        <v>0</v>
      </c>
      <c r="AA1595">
        <v>0</v>
      </c>
      <c r="AB1595" s="3">
        <v>1205.93</v>
      </c>
      <c r="AC1595">
        <v>0</v>
      </c>
      <c r="AD1595">
        <v>0</v>
      </c>
      <c r="AE1595">
        <v>525</v>
      </c>
      <c r="AF1595" t="s">
        <v>54</v>
      </c>
      <c r="AG1595" t="s">
        <v>59</v>
      </c>
      <c r="AI1595" t="s">
        <v>80</v>
      </c>
      <c r="AJ1595" t="s">
        <v>73</v>
      </c>
      <c r="AK1595" s="5">
        <v>45996.699444444443</v>
      </c>
      <c r="AO1595" t="s">
        <v>54</v>
      </c>
      <c r="AP1595">
        <v>0</v>
      </c>
      <c r="AR1595" t="s">
        <v>54</v>
      </c>
      <c r="AS1595" t="s">
        <v>54</v>
      </c>
      <c r="AT1595">
        <v>4900</v>
      </c>
      <c r="AU1595" t="s">
        <v>55</v>
      </c>
    </row>
    <row r="1596" spans="1:47" x14ac:dyDescent="0.25">
      <c r="A1596" t="s">
        <v>81</v>
      </c>
      <c r="B1596" s="1">
        <v>38357</v>
      </c>
      <c r="C1596" t="s">
        <v>48</v>
      </c>
      <c r="D1596" t="s">
        <v>49</v>
      </c>
      <c r="E1596" s="2">
        <v>45996</v>
      </c>
      <c r="F1596" s="3" t="s">
        <v>295</v>
      </c>
      <c r="G1596" s="3" t="s">
        <v>94</v>
      </c>
      <c r="H1596" s="3">
        <v>2742</v>
      </c>
      <c r="I1596" s="3">
        <v>2742</v>
      </c>
      <c r="J1596">
        <v>0</v>
      </c>
      <c r="K1596" s="3">
        <v>2742</v>
      </c>
      <c r="L1596" s="3">
        <v>356.4</v>
      </c>
      <c r="M1596" s="3">
        <v>266.58</v>
      </c>
      <c r="N1596" t="s">
        <v>106</v>
      </c>
      <c r="O1596" t="s">
        <v>53</v>
      </c>
      <c r="P1596" t="s">
        <v>53</v>
      </c>
      <c r="Q1596" t="s">
        <v>53</v>
      </c>
      <c r="R1596" t="s">
        <v>54</v>
      </c>
      <c r="S1596" t="s">
        <v>54</v>
      </c>
      <c r="T1596" t="s">
        <v>55</v>
      </c>
      <c r="U1596">
        <v>145</v>
      </c>
      <c r="V1596" t="s">
        <v>99</v>
      </c>
      <c r="W1596" t="s">
        <v>90</v>
      </c>
      <c r="X1596" s="4">
        <v>0</v>
      </c>
      <c r="Y1596" t="s">
        <v>58</v>
      </c>
      <c r="Z1596">
        <v>0</v>
      </c>
      <c r="AA1596">
        <v>0</v>
      </c>
      <c r="AB1596" s="3">
        <v>356.4</v>
      </c>
      <c r="AC1596">
        <v>0</v>
      </c>
      <c r="AD1596">
        <v>0</v>
      </c>
      <c r="AE1596">
        <v>300</v>
      </c>
      <c r="AF1596" t="s">
        <v>54</v>
      </c>
      <c r="AG1596" t="s">
        <v>59</v>
      </c>
      <c r="AI1596" t="s">
        <v>73</v>
      </c>
      <c r="AJ1596" t="s">
        <v>73</v>
      </c>
      <c r="AK1596" s="5">
        <v>45996.698796296296</v>
      </c>
      <c r="AO1596" t="s">
        <v>54</v>
      </c>
      <c r="AP1596">
        <v>0</v>
      </c>
      <c r="AR1596" t="s">
        <v>54</v>
      </c>
      <c r="AS1596" t="s">
        <v>54</v>
      </c>
      <c r="AT1596">
        <v>952</v>
      </c>
      <c r="AU1596" t="s">
        <v>55</v>
      </c>
    </row>
    <row r="1597" spans="1:47" x14ac:dyDescent="0.25">
      <c r="A1597" t="s">
        <v>96</v>
      </c>
      <c r="B1597" s="1">
        <v>38358</v>
      </c>
      <c r="C1597" t="s">
        <v>48</v>
      </c>
      <c r="D1597" t="s">
        <v>49</v>
      </c>
      <c r="E1597" s="2">
        <v>45996</v>
      </c>
      <c r="F1597" s="3" t="s">
        <v>295</v>
      </c>
      <c r="G1597" s="3" t="s">
        <v>94</v>
      </c>
      <c r="H1597" s="3">
        <v>2742</v>
      </c>
      <c r="I1597" s="3">
        <v>2742</v>
      </c>
      <c r="J1597">
        <v>0</v>
      </c>
      <c r="K1597" s="3">
        <v>2742</v>
      </c>
      <c r="L1597">
        <v>356.4</v>
      </c>
      <c r="M1597" s="3">
        <v>266.58</v>
      </c>
      <c r="N1597" t="s">
        <v>106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145</v>
      </c>
      <c r="V1597" t="s">
        <v>99</v>
      </c>
      <c r="W1597" t="s">
        <v>90</v>
      </c>
      <c r="X1597" s="4">
        <v>0</v>
      </c>
      <c r="Y1597" t="s">
        <v>58</v>
      </c>
      <c r="Z1597">
        <v>0</v>
      </c>
      <c r="AA1597">
        <v>0</v>
      </c>
      <c r="AB1597">
        <v>356.4</v>
      </c>
      <c r="AC1597">
        <v>0</v>
      </c>
      <c r="AD1597">
        <v>0</v>
      </c>
      <c r="AE1597">
        <v>300</v>
      </c>
      <c r="AF1597" t="s">
        <v>54</v>
      </c>
      <c r="AG1597" t="s">
        <v>59</v>
      </c>
      <c r="AI1597" t="s">
        <v>73</v>
      </c>
      <c r="AJ1597" t="s">
        <v>73</v>
      </c>
      <c r="AK1597" s="5">
        <v>45996.698946759258</v>
      </c>
      <c r="AO1597" t="s">
        <v>54</v>
      </c>
      <c r="AP1597">
        <v>0</v>
      </c>
      <c r="AR1597" t="s">
        <v>54</v>
      </c>
      <c r="AS1597" t="s">
        <v>54</v>
      </c>
      <c r="AT1597">
        <v>952</v>
      </c>
      <c r="AU1597" t="s">
        <v>55</v>
      </c>
    </row>
    <row r="1598" spans="1:47" x14ac:dyDescent="0.25">
      <c r="A1598" t="s">
        <v>96</v>
      </c>
      <c r="B1598" s="1">
        <v>38359</v>
      </c>
      <c r="C1598" t="s">
        <v>48</v>
      </c>
      <c r="D1598" t="s">
        <v>49</v>
      </c>
      <c r="E1598" s="2">
        <v>45996</v>
      </c>
      <c r="F1598" t="s">
        <v>295</v>
      </c>
      <c r="G1598" t="s">
        <v>94</v>
      </c>
      <c r="H1598" s="3">
        <v>2742</v>
      </c>
      <c r="I1598" s="3">
        <v>2742</v>
      </c>
      <c r="J1598">
        <v>0</v>
      </c>
      <c r="K1598" s="3">
        <v>2742</v>
      </c>
      <c r="L1598" s="3">
        <v>356.4</v>
      </c>
      <c r="M1598" s="3">
        <v>266.58</v>
      </c>
      <c r="N1598" t="s">
        <v>106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145</v>
      </c>
      <c r="V1598" t="s">
        <v>99</v>
      </c>
      <c r="W1598" t="s">
        <v>90</v>
      </c>
      <c r="X1598" s="4">
        <v>0</v>
      </c>
      <c r="Y1598" t="s">
        <v>58</v>
      </c>
      <c r="Z1598">
        <v>0</v>
      </c>
      <c r="AA1598">
        <v>0</v>
      </c>
      <c r="AB1598" s="3">
        <v>356.4</v>
      </c>
      <c r="AC1598">
        <v>0</v>
      </c>
      <c r="AD1598">
        <v>0</v>
      </c>
      <c r="AE1598">
        <v>300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45996.699131944442</v>
      </c>
      <c r="AO1598" t="s">
        <v>54</v>
      </c>
      <c r="AP1598">
        <v>0</v>
      </c>
      <c r="AR1598" t="s">
        <v>54</v>
      </c>
      <c r="AS1598" t="s">
        <v>54</v>
      </c>
      <c r="AT1598">
        <v>952</v>
      </c>
      <c r="AU1598" t="s">
        <v>55</v>
      </c>
    </row>
    <row r="1599" spans="1:47" x14ac:dyDescent="0.25">
      <c r="A1599" t="s">
        <v>81</v>
      </c>
      <c r="B1599" s="1">
        <v>38360</v>
      </c>
      <c r="C1599" t="s">
        <v>48</v>
      </c>
      <c r="D1599" s="3" t="s">
        <v>49</v>
      </c>
      <c r="E1599" s="2">
        <v>45999</v>
      </c>
      <c r="F1599" t="s">
        <v>352</v>
      </c>
      <c r="G1599" t="s">
        <v>172</v>
      </c>
      <c r="H1599" s="3">
        <v>10550</v>
      </c>
      <c r="I1599" s="3">
        <v>10550</v>
      </c>
      <c r="J1599">
        <v>0</v>
      </c>
      <c r="K1599" s="3">
        <v>10550</v>
      </c>
      <c r="L1599" s="3">
        <v>2805</v>
      </c>
      <c r="M1599" s="3">
        <v>981.75</v>
      </c>
      <c r="N1599" t="s">
        <v>52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126</v>
      </c>
      <c r="V1599" t="s">
        <v>56</v>
      </c>
      <c r="W1599" t="s">
        <v>353</v>
      </c>
      <c r="X1599" s="4">
        <v>0</v>
      </c>
      <c r="Y1599" t="s">
        <v>62</v>
      </c>
      <c r="AB1599" s="3"/>
      <c r="AK1599" s="5"/>
    </row>
    <row r="1600" spans="1:47" x14ac:dyDescent="0.25">
      <c r="A1600" t="s">
        <v>63</v>
      </c>
      <c r="B1600" s="1">
        <v>2805</v>
      </c>
      <c r="C1600">
        <v>0</v>
      </c>
      <c r="D1600">
        <v>0</v>
      </c>
      <c r="E1600" s="2">
        <v>0</v>
      </c>
      <c r="F1600" s="3">
        <v>0</v>
      </c>
      <c r="G1600" s="3">
        <v>5000</v>
      </c>
      <c r="H1600" s="3" t="s">
        <v>54</v>
      </c>
      <c r="I1600" s="3" t="s">
        <v>59</v>
      </c>
      <c r="K1600" s="3" t="s">
        <v>92</v>
      </c>
      <c r="L1600" s="3" t="s">
        <v>73</v>
      </c>
      <c r="M1600" s="3">
        <v>46000.347488425927</v>
      </c>
      <c r="Q1600" t="s">
        <v>54</v>
      </c>
      <c r="R1600">
        <v>0</v>
      </c>
      <c r="T1600" t="s">
        <v>54</v>
      </c>
      <c r="U1600" t="s">
        <v>54</v>
      </c>
      <c r="V1600">
        <v>8298</v>
      </c>
      <c r="W1600" t="s">
        <v>55</v>
      </c>
      <c r="X1600" s="4"/>
      <c r="Z1600" s="3"/>
      <c r="AB1600" s="3"/>
      <c r="AE1600" s="3"/>
      <c r="AK1600" s="5"/>
    </row>
    <row r="1601" spans="1:47" x14ac:dyDescent="0.25">
      <c r="A1601" t="s">
        <v>47</v>
      </c>
      <c r="B1601" s="3">
        <v>38361</v>
      </c>
      <c r="C1601" t="s">
        <v>48</v>
      </c>
      <c r="D1601" t="s">
        <v>49</v>
      </c>
      <c r="E1601" s="2">
        <v>45999</v>
      </c>
      <c r="F1601" t="s">
        <v>101</v>
      </c>
      <c r="G1601" s="3" t="s">
        <v>94</v>
      </c>
      <c r="H1601" s="3">
        <v>8360</v>
      </c>
      <c r="I1601" s="3">
        <v>8360</v>
      </c>
      <c r="J1601">
        <v>0</v>
      </c>
      <c r="K1601" s="3">
        <v>9614</v>
      </c>
      <c r="L1601" s="3">
        <v>2047</v>
      </c>
      <c r="M1601" s="3">
        <v>697.13</v>
      </c>
      <c r="N1601" t="s">
        <v>84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9</v>
      </c>
      <c r="V1601" t="s">
        <v>71</v>
      </c>
      <c r="W1601" t="s">
        <v>102</v>
      </c>
      <c r="X1601" s="4">
        <v>0</v>
      </c>
      <c r="Y1601" t="s">
        <v>58</v>
      </c>
      <c r="Z1601" s="3">
        <v>2047</v>
      </c>
      <c r="AA1601">
        <v>0</v>
      </c>
      <c r="AB1601">
        <v>0</v>
      </c>
      <c r="AC1601">
        <v>0</v>
      </c>
      <c r="AD1601">
        <v>0</v>
      </c>
      <c r="AE1601" s="3">
        <v>2000</v>
      </c>
      <c r="AF1601" t="s">
        <v>54</v>
      </c>
      <c r="AG1601" t="s">
        <v>59</v>
      </c>
      <c r="AH1601" t="s">
        <v>103</v>
      </c>
      <c r="AI1601" t="s">
        <v>92</v>
      </c>
      <c r="AJ1601" t="s">
        <v>92</v>
      </c>
      <c r="AK1601" s="5">
        <v>46000.315682870372</v>
      </c>
      <c r="AO1601" t="s">
        <v>54</v>
      </c>
      <c r="AP1601">
        <v>0</v>
      </c>
      <c r="AR1601" t="s">
        <v>54</v>
      </c>
      <c r="AS1601" t="s">
        <v>54</v>
      </c>
      <c r="AT1601">
        <v>161</v>
      </c>
      <c r="AU1601" t="s">
        <v>55</v>
      </c>
    </row>
    <row r="1602" spans="1:47" x14ac:dyDescent="0.25">
      <c r="A1602" t="s">
        <v>136</v>
      </c>
      <c r="B1602" s="1">
        <v>38362</v>
      </c>
      <c r="C1602" t="s">
        <v>48</v>
      </c>
      <c r="D1602" t="s">
        <v>49</v>
      </c>
      <c r="E1602" s="2">
        <v>45999</v>
      </c>
      <c r="F1602" t="s">
        <v>369</v>
      </c>
      <c r="G1602" s="3" t="s">
        <v>66</v>
      </c>
      <c r="H1602" s="3">
        <v>225</v>
      </c>
      <c r="I1602" s="3">
        <v>225</v>
      </c>
      <c r="J1602">
        <v>0</v>
      </c>
      <c r="K1602" s="3">
        <v>225</v>
      </c>
      <c r="L1602" s="3">
        <v>40.950000000000003</v>
      </c>
      <c r="M1602" s="3">
        <v>15.03</v>
      </c>
      <c r="N1602" t="s">
        <v>77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83</v>
      </c>
      <c r="W1602" t="s">
        <v>114</v>
      </c>
      <c r="X1602" s="4">
        <v>0</v>
      </c>
      <c r="Y1602" t="s">
        <v>62</v>
      </c>
      <c r="Z1602" s="3"/>
      <c r="AD1602" s="3"/>
      <c r="AE1602" s="3"/>
      <c r="AK1602" s="5"/>
    </row>
    <row r="1603" spans="1:47" x14ac:dyDescent="0.25">
      <c r="A1603" t="s">
        <v>63</v>
      </c>
      <c r="B1603" s="1">
        <v>40.950000000000003</v>
      </c>
      <c r="C1603">
        <v>0</v>
      </c>
      <c r="D1603">
        <v>0</v>
      </c>
      <c r="E1603" s="2">
        <v>0</v>
      </c>
      <c r="F1603">
        <v>0</v>
      </c>
      <c r="G1603" s="3">
        <v>150</v>
      </c>
      <c r="H1603" s="3" t="s">
        <v>54</v>
      </c>
      <c r="I1603" s="3" t="s">
        <v>59</v>
      </c>
      <c r="J1603" t="s">
        <v>165</v>
      </c>
      <c r="K1603" s="3" t="s">
        <v>80</v>
      </c>
      <c r="L1603" s="3" t="s">
        <v>73</v>
      </c>
      <c r="M1603" s="3">
        <v>46000.329189814816</v>
      </c>
      <c r="Q1603" t="s">
        <v>54</v>
      </c>
      <c r="R1603">
        <v>0</v>
      </c>
      <c r="T1603" t="s">
        <v>54</v>
      </c>
      <c r="U1603" t="s">
        <v>54</v>
      </c>
      <c r="V1603">
        <v>8690</v>
      </c>
      <c r="W1603" t="s">
        <v>55</v>
      </c>
      <c r="X1603" s="4"/>
      <c r="Z1603" s="3"/>
      <c r="AD1603" s="3"/>
      <c r="AE1603" s="3"/>
      <c r="AK1603" s="5"/>
    </row>
    <row r="1604" spans="1:47" x14ac:dyDescent="0.25">
      <c r="A1604" t="s">
        <v>81</v>
      </c>
      <c r="B1604" s="1">
        <v>38363</v>
      </c>
      <c r="C1604" t="s">
        <v>48</v>
      </c>
      <c r="D1604" t="s">
        <v>49</v>
      </c>
      <c r="E1604" s="2">
        <v>45999</v>
      </c>
      <c r="F1604" t="s">
        <v>156</v>
      </c>
      <c r="G1604" t="s">
        <v>157</v>
      </c>
      <c r="H1604" s="3">
        <v>13172.1</v>
      </c>
      <c r="I1604" s="3">
        <v>13172.1</v>
      </c>
      <c r="J1604">
        <v>0</v>
      </c>
      <c r="K1604" s="3">
        <v>13172.1</v>
      </c>
      <c r="L1604" s="3">
        <v>2711.3</v>
      </c>
      <c r="M1604" s="3">
        <v>1057.4100000000001</v>
      </c>
      <c r="N1604" t="s">
        <v>98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167</v>
      </c>
      <c r="V1604" t="s">
        <v>99</v>
      </c>
      <c r="W1604" t="s">
        <v>134</v>
      </c>
      <c r="X1604" s="4">
        <v>0</v>
      </c>
      <c r="Y1604" t="s">
        <v>201</v>
      </c>
      <c r="Z1604" s="3">
        <v>2711.3</v>
      </c>
      <c r="AA1604">
        <v>0</v>
      </c>
      <c r="AB1604" s="3">
        <v>0</v>
      </c>
      <c r="AC1604">
        <v>0</v>
      </c>
      <c r="AD1604">
        <v>0</v>
      </c>
      <c r="AE1604" s="3">
        <v>800</v>
      </c>
      <c r="AF1604" t="s">
        <v>54</v>
      </c>
      <c r="AG1604" t="s">
        <v>59</v>
      </c>
      <c r="AI1604" t="s">
        <v>73</v>
      </c>
      <c r="AJ1604" t="s">
        <v>73</v>
      </c>
      <c r="AK1604" s="5">
        <v>46000.623460648145</v>
      </c>
      <c r="AO1604" t="s">
        <v>54</v>
      </c>
      <c r="AP1604">
        <v>0</v>
      </c>
      <c r="AR1604" t="s">
        <v>54</v>
      </c>
      <c r="AS1604" t="s">
        <v>54</v>
      </c>
      <c r="AT1604">
        <v>8561</v>
      </c>
      <c r="AU1604" t="s">
        <v>55</v>
      </c>
    </row>
    <row r="1605" spans="1:47" x14ac:dyDescent="0.25">
      <c r="A1605" t="s">
        <v>47</v>
      </c>
      <c r="B1605" s="1">
        <v>38364</v>
      </c>
      <c r="C1605" t="s">
        <v>48</v>
      </c>
      <c r="D1605" t="s">
        <v>49</v>
      </c>
      <c r="E1605" s="2">
        <v>45999</v>
      </c>
      <c r="F1605" t="s">
        <v>405</v>
      </c>
      <c r="G1605" s="3" t="s">
        <v>242</v>
      </c>
      <c r="H1605" s="3">
        <v>2600</v>
      </c>
      <c r="I1605" s="3">
        <v>2600</v>
      </c>
      <c r="J1605">
        <v>0</v>
      </c>
      <c r="K1605" s="3">
        <v>2600</v>
      </c>
      <c r="L1605" s="3">
        <v>372.8</v>
      </c>
      <c r="M1605" s="3">
        <v>156.58000000000001</v>
      </c>
      <c r="N1605" t="s">
        <v>84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9</v>
      </c>
      <c r="W1605" t="s">
        <v>114</v>
      </c>
      <c r="X1605" s="4">
        <v>0</v>
      </c>
      <c r="Y1605" t="s">
        <v>62</v>
      </c>
      <c r="Z1605" s="3"/>
      <c r="AB1605" s="3"/>
      <c r="AK1605" s="5"/>
    </row>
    <row r="1606" spans="1:47" x14ac:dyDescent="0.25">
      <c r="A1606" t="s">
        <v>63</v>
      </c>
      <c r="B1606" s="1">
        <v>0</v>
      </c>
      <c r="C1606">
        <v>372.8</v>
      </c>
      <c r="D1606">
        <v>0</v>
      </c>
      <c r="E1606" s="2">
        <v>0</v>
      </c>
      <c r="F1606">
        <v>0</v>
      </c>
      <c r="G1606">
        <v>200</v>
      </c>
      <c r="H1606" s="3" t="s">
        <v>54</v>
      </c>
      <c r="I1606" s="3" t="s">
        <v>59</v>
      </c>
      <c r="K1606" s="3" t="s">
        <v>73</v>
      </c>
      <c r="L1606" s="3" t="s">
        <v>73</v>
      </c>
      <c r="M1606" s="3">
        <v>45999.490405092591</v>
      </c>
      <c r="Q1606" t="s">
        <v>54</v>
      </c>
      <c r="R1606">
        <v>0</v>
      </c>
      <c r="T1606" t="s">
        <v>54</v>
      </c>
      <c r="U1606" t="s">
        <v>54</v>
      </c>
      <c r="V1606">
        <v>2780</v>
      </c>
      <c r="W1606" t="s">
        <v>55</v>
      </c>
      <c r="X1606" s="4"/>
      <c r="AB1606" s="3"/>
      <c r="AK1606" s="5"/>
    </row>
    <row r="1607" spans="1:47" x14ac:dyDescent="0.25">
      <c r="A1607" t="s">
        <v>81</v>
      </c>
      <c r="B1607" s="1">
        <v>38365</v>
      </c>
      <c r="C1607" t="s">
        <v>48</v>
      </c>
      <c r="D1607" t="s">
        <v>49</v>
      </c>
      <c r="E1607" s="2">
        <v>45999</v>
      </c>
      <c r="F1607" t="s">
        <v>208</v>
      </c>
      <c r="G1607" s="3" t="s">
        <v>66</v>
      </c>
      <c r="H1607" s="3">
        <v>1394</v>
      </c>
      <c r="I1607" s="3">
        <v>1394</v>
      </c>
      <c r="J1607">
        <v>0</v>
      </c>
      <c r="K1607" s="3">
        <v>1394</v>
      </c>
      <c r="L1607" s="3">
        <v>326.39999999999998</v>
      </c>
      <c r="M1607" s="3">
        <v>119.79</v>
      </c>
      <c r="N1607" t="s">
        <v>52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126</v>
      </c>
      <c r="V1607" t="s">
        <v>56</v>
      </c>
      <c r="W1607" t="s">
        <v>153</v>
      </c>
      <c r="X1607" s="4">
        <v>0</v>
      </c>
      <c r="Y1607" t="s">
        <v>62</v>
      </c>
      <c r="AD1607" s="3"/>
      <c r="AE1607" s="3"/>
      <c r="AK1607" s="5"/>
    </row>
    <row r="1608" spans="1:47" x14ac:dyDescent="0.25">
      <c r="A1608" t="s">
        <v>63</v>
      </c>
      <c r="B1608" s="1">
        <v>326.39999999999998</v>
      </c>
      <c r="C1608">
        <v>0</v>
      </c>
      <c r="D1608">
        <v>0</v>
      </c>
      <c r="E1608" s="2">
        <v>0</v>
      </c>
      <c r="F1608">
        <v>0</v>
      </c>
      <c r="G1608" s="3">
        <v>1700</v>
      </c>
      <c r="H1608" s="3" t="s">
        <v>54</v>
      </c>
      <c r="I1608" s="3" t="s">
        <v>59</v>
      </c>
      <c r="K1608" s="3" t="s">
        <v>73</v>
      </c>
      <c r="L1608" s="3" t="s">
        <v>73</v>
      </c>
      <c r="M1608" s="3">
        <v>45999.576354166667</v>
      </c>
      <c r="Q1608" t="s">
        <v>54</v>
      </c>
      <c r="R1608">
        <v>0</v>
      </c>
      <c r="T1608" t="s">
        <v>54</v>
      </c>
      <c r="U1608" t="s">
        <v>54</v>
      </c>
      <c r="V1608">
        <v>8257</v>
      </c>
      <c r="W1608" t="s">
        <v>55</v>
      </c>
      <c r="X1608" s="4"/>
      <c r="AK1608" s="5"/>
    </row>
    <row r="1609" spans="1:47" x14ac:dyDescent="0.25">
      <c r="A1609" t="s">
        <v>81</v>
      </c>
      <c r="B1609" s="1">
        <v>38366</v>
      </c>
      <c r="C1609" t="s">
        <v>48</v>
      </c>
      <c r="D1609" s="3" t="s">
        <v>49</v>
      </c>
      <c r="E1609" s="2">
        <v>45999</v>
      </c>
      <c r="F1609" t="s">
        <v>208</v>
      </c>
      <c r="G1609" s="3" t="s">
        <v>66</v>
      </c>
      <c r="H1609" s="3">
        <v>2870</v>
      </c>
      <c r="I1609" s="3">
        <v>2870</v>
      </c>
      <c r="J1609">
        <v>0</v>
      </c>
      <c r="K1609" s="3">
        <v>2870</v>
      </c>
      <c r="L1609" s="3">
        <v>672</v>
      </c>
      <c r="M1609" s="3">
        <v>246.62</v>
      </c>
      <c r="N1609" t="s">
        <v>52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126</v>
      </c>
      <c r="V1609" t="s">
        <v>56</v>
      </c>
      <c r="W1609" t="s">
        <v>153</v>
      </c>
      <c r="X1609" s="4">
        <v>0</v>
      </c>
      <c r="Y1609" t="s">
        <v>62</v>
      </c>
      <c r="AK1609" s="5"/>
    </row>
    <row r="1610" spans="1:47" x14ac:dyDescent="0.25">
      <c r="A1610" t="s">
        <v>63</v>
      </c>
      <c r="B1610" s="1">
        <v>672</v>
      </c>
      <c r="C1610">
        <v>0</v>
      </c>
      <c r="D1610">
        <v>0</v>
      </c>
      <c r="E1610" s="2">
        <v>0</v>
      </c>
      <c r="F1610">
        <v>0</v>
      </c>
      <c r="G1610" s="3">
        <v>3500</v>
      </c>
      <c r="H1610" s="3" t="s">
        <v>54</v>
      </c>
      <c r="I1610" s="3" t="s">
        <v>59</v>
      </c>
      <c r="K1610" s="3" t="s">
        <v>73</v>
      </c>
      <c r="L1610" s="3" t="s">
        <v>92</v>
      </c>
      <c r="M1610" s="3">
        <v>46000.315520833334</v>
      </c>
      <c r="Q1610" t="s">
        <v>54</v>
      </c>
      <c r="R1610">
        <v>0</v>
      </c>
      <c r="T1610" t="s">
        <v>54</v>
      </c>
      <c r="U1610" t="s">
        <v>54</v>
      </c>
      <c r="V1610">
        <v>8257</v>
      </c>
      <c r="W1610" t="s">
        <v>55</v>
      </c>
      <c r="X1610" s="4"/>
      <c r="AD1610" s="3"/>
      <c r="AE1610" s="3"/>
      <c r="AK1610" s="5"/>
    </row>
    <row r="1611" spans="1:47" x14ac:dyDescent="0.25">
      <c r="A1611" t="s">
        <v>47</v>
      </c>
      <c r="B1611" s="3">
        <v>38367</v>
      </c>
      <c r="C1611" t="s">
        <v>48</v>
      </c>
      <c r="D1611" t="s">
        <v>49</v>
      </c>
      <c r="E1611" s="2">
        <v>46000</v>
      </c>
      <c r="F1611" t="s">
        <v>111</v>
      </c>
      <c r="G1611" s="3" t="s">
        <v>69</v>
      </c>
      <c r="H1611" s="3">
        <v>10200</v>
      </c>
      <c r="I1611" s="3">
        <v>10200</v>
      </c>
      <c r="J1611">
        <v>0</v>
      </c>
      <c r="K1611" s="3">
        <v>11730</v>
      </c>
      <c r="L1611" s="3">
        <v>2328</v>
      </c>
      <c r="M1611" s="3">
        <v>907.92</v>
      </c>
      <c r="N1611" t="s">
        <v>52</v>
      </c>
      <c r="O1611" t="s">
        <v>53</v>
      </c>
      <c r="P1611" t="s">
        <v>53</v>
      </c>
      <c r="Q1611" t="s">
        <v>53</v>
      </c>
      <c r="R1611" t="s">
        <v>54</v>
      </c>
      <c r="S1611" t="s">
        <v>54</v>
      </c>
      <c r="T1611" t="s">
        <v>55</v>
      </c>
      <c r="U1611">
        <v>126</v>
      </c>
      <c r="V1611" t="s">
        <v>56</v>
      </c>
      <c r="W1611" t="s">
        <v>95</v>
      </c>
      <c r="X1611" s="4">
        <v>0</v>
      </c>
      <c r="Y1611" t="s">
        <v>58</v>
      </c>
      <c r="Z1611" s="3">
        <v>2328</v>
      </c>
      <c r="AA1611">
        <v>0</v>
      </c>
      <c r="AB1611">
        <v>0</v>
      </c>
      <c r="AC1611">
        <v>0</v>
      </c>
      <c r="AD1611" s="3">
        <v>0</v>
      </c>
      <c r="AE1611" s="3">
        <v>2000</v>
      </c>
      <c r="AF1611" t="s">
        <v>54</v>
      </c>
      <c r="AG1611" t="s">
        <v>59</v>
      </c>
      <c r="AI1611" t="s">
        <v>73</v>
      </c>
      <c r="AJ1611" t="s">
        <v>73</v>
      </c>
      <c r="AK1611" s="5">
        <v>46000.33457175926</v>
      </c>
      <c r="AO1611" t="s">
        <v>54</v>
      </c>
      <c r="AP1611">
        <v>0</v>
      </c>
      <c r="AR1611" t="s">
        <v>54</v>
      </c>
      <c r="AS1611" t="s">
        <v>54</v>
      </c>
      <c r="AT1611">
        <v>1877</v>
      </c>
      <c r="AU1611" t="s">
        <v>55</v>
      </c>
    </row>
    <row r="1612" spans="1:47" x14ac:dyDescent="0.25">
      <c r="A1612" t="s">
        <v>47</v>
      </c>
      <c r="B1612" s="1">
        <v>38368</v>
      </c>
      <c r="C1612" t="s">
        <v>48</v>
      </c>
      <c r="D1612" t="s">
        <v>49</v>
      </c>
      <c r="E1612" s="2">
        <v>46000</v>
      </c>
      <c r="F1612" t="s">
        <v>108</v>
      </c>
      <c r="G1612" t="s">
        <v>109</v>
      </c>
      <c r="H1612" s="3">
        <v>12500</v>
      </c>
      <c r="I1612" s="3">
        <v>12500</v>
      </c>
      <c r="J1612">
        <v>0</v>
      </c>
      <c r="K1612" s="3">
        <v>12500</v>
      </c>
      <c r="L1612" s="3">
        <v>1596</v>
      </c>
      <c r="M1612" s="3">
        <v>989.52</v>
      </c>
      <c r="N1612" t="s">
        <v>84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9</v>
      </c>
      <c r="V1612" t="s">
        <v>56</v>
      </c>
      <c r="W1612" t="s">
        <v>110</v>
      </c>
      <c r="X1612" s="4">
        <v>0</v>
      </c>
      <c r="Y1612" t="s">
        <v>58</v>
      </c>
      <c r="Z1612" s="3">
        <v>0</v>
      </c>
      <c r="AA1612">
        <v>0</v>
      </c>
      <c r="AB1612" s="3">
        <v>1596</v>
      </c>
      <c r="AC1612">
        <v>0</v>
      </c>
      <c r="AD1612" s="3">
        <v>0</v>
      </c>
      <c r="AE1612" s="3">
        <v>2000</v>
      </c>
      <c r="AF1612" t="s">
        <v>54</v>
      </c>
      <c r="AG1612" t="s">
        <v>59</v>
      </c>
      <c r="AI1612" t="s">
        <v>92</v>
      </c>
      <c r="AJ1612" t="s">
        <v>92</v>
      </c>
      <c r="AK1612" s="5">
        <v>46000.351076388892</v>
      </c>
      <c r="AO1612" t="s">
        <v>54</v>
      </c>
      <c r="AP1612">
        <v>0</v>
      </c>
      <c r="AR1612" t="s">
        <v>54</v>
      </c>
      <c r="AS1612" t="s">
        <v>54</v>
      </c>
      <c r="AT1612">
        <v>3124</v>
      </c>
      <c r="AU1612" t="s">
        <v>55</v>
      </c>
    </row>
    <row r="1613" spans="1:47" x14ac:dyDescent="0.25">
      <c r="A1613" t="s">
        <v>96</v>
      </c>
      <c r="B1613" s="1">
        <v>38369</v>
      </c>
      <c r="C1613" t="s">
        <v>48</v>
      </c>
      <c r="D1613" t="s">
        <v>49</v>
      </c>
      <c r="E1613" s="2">
        <v>46000</v>
      </c>
      <c r="F1613" t="s">
        <v>163</v>
      </c>
      <c r="G1613" s="3" t="s">
        <v>66</v>
      </c>
      <c r="H1613" s="3">
        <v>548.79999999999995</v>
      </c>
      <c r="I1613" s="3">
        <v>548.79999999999995</v>
      </c>
      <c r="J1613">
        <v>0</v>
      </c>
      <c r="K1613" s="3">
        <v>548.79999999999995</v>
      </c>
      <c r="L1613" s="3">
        <v>155.9</v>
      </c>
      <c r="M1613" s="3">
        <v>45.21</v>
      </c>
      <c r="N1613" t="s">
        <v>52</v>
      </c>
      <c r="O1613" t="s">
        <v>53</v>
      </c>
      <c r="P1613" t="s">
        <v>53</v>
      </c>
      <c r="Q1613" t="s">
        <v>53</v>
      </c>
      <c r="R1613" t="s">
        <v>54</v>
      </c>
      <c r="S1613" t="s">
        <v>54</v>
      </c>
      <c r="T1613" t="s">
        <v>55</v>
      </c>
      <c r="U1613">
        <v>126</v>
      </c>
      <c r="V1613" t="s">
        <v>56</v>
      </c>
      <c r="W1613" t="s">
        <v>143</v>
      </c>
      <c r="X1613" s="4">
        <v>0</v>
      </c>
      <c r="Y1613" t="s">
        <v>201</v>
      </c>
      <c r="Z1613" s="3">
        <v>155.9</v>
      </c>
      <c r="AA1613">
        <v>0</v>
      </c>
      <c r="AB1613" s="3">
        <v>0</v>
      </c>
      <c r="AC1613">
        <v>0</v>
      </c>
      <c r="AD1613">
        <v>0</v>
      </c>
      <c r="AE1613" s="3">
        <v>2500</v>
      </c>
      <c r="AF1613" t="s">
        <v>54</v>
      </c>
      <c r="AG1613" t="s">
        <v>59</v>
      </c>
      <c r="AI1613" t="s">
        <v>73</v>
      </c>
      <c r="AJ1613" t="s">
        <v>92</v>
      </c>
      <c r="AK1613" s="5">
        <v>46000.431481481479</v>
      </c>
      <c r="AO1613" t="s">
        <v>54</v>
      </c>
      <c r="AP1613">
        <v>0</v>
      </c>
      <c r="AR1613" t="s">
        <v>54</v>
      </c>
      <c r="AS1613" t="s">
        <v>54</v>
      </c>
      <c r="AT1613">
        <v>5486</v>
      </c>
      <c r="AU1613" t="s">
        <v>55</v>
      </c>
    </row>
    <row r="1614" spans="1:47" x14ac:dyDescent="0.25">
      <c r="A1614" t="s">
        <v>96</v>
      </c>
      <c r="B1614" s="1">
        <v>38370</v>
      </c>
      <c r="C1614" t="s">
        <v>48</v>
      </c>
      <c r="D1614" t="s">
        <v>49</v>
      </c>
      <c r="E1614" s="2">
        <v>46000</v>
      </c>
      <c r="F1614" t="s">
        <v>163</v>
      </c>
      <c r="G1614" t="s">
        <v>66</v>
      </c>
      <c r="H1614" s="3">
        <v>12220</v>
      </c>
      <c r="I1614" s="3">
        <v>12220</v>
      </c>
      <c r="J1614">
        <v>0</v>
      </c>
      <c r="K1614" s="3">
        <v>12220</v>
      </c>
      <c r="L1614" s="3">
        <v>2860</v>
      </c>
      <c r="M1614" s="3">
        <v>1001</v>
      </c>
      <c r="N1614" t="s">
        <v>52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126</v>
      </c>
      <c r="V1614" t="s">
        <v>56</v>
      </c>
      <c r="W1614" t="s">
        <v>143</v>
      </c>
      <c r="X1614" s="4">
        <v>0</v>
      </c>
      <c r="Y1614" t="s">
        <v>201</v>
      </c>
      <c r="Z1614" s="3">
        <v>2860</v>
      </c>
      <c r="AA1614">
        <v>0</v>
      </c>
      <c r="AB1614">
        <v>0</v>
      </c>
      <c r="AC1614">
        <v>0</v>
      </c>
      <c r="AD1614">
        <v>0</v>
      </c>
      <c r="AE1614" s="3">
        <v>26000</v>
      </c>
      <c r="AF1614" t="s">
        <v>54</v>
      </c>
      <c r="AG1614" t="s">
        <v>59</v>
      </c>
      <c r="AI1614" t="s">
        <v>73</v>
      </c>
      <c r="AJ1614" t="s">
        <v>73</v>
      </c>
      <c r="AK1614" s="5">
        <v>46000.597291666665</v>
      </c>
      <c r="AO1614" t="s">
        <v>54</v>
      </c>
      <c r="AP1614">
        <v>0</v>
      </c>
      <c r="AR1614" t="s">
        <v>54</v>
      </c>
      <c r="AS1614" t="s">
        <v>54</v>
      </c>
      <c r="AT1614">
        <v>5486</v>
      </c>
      <c r="AU1614" t="s">
        <v>55</v>
      </c>
    </row>
    <row r="1615" spans="1:47" x14ac:dyDescent="0.25">
      <c r="A1615" t="s">
        <v>47</v>
      </c>
      <c r="B1615" s="1">
        <v>38371</v>
      </c>
      <c r="C1615" t="s">
        <v>48</v>
      </c>
      <c r="D1615" s="3" t="s">
        <v>49</v>
      </c>
      <c r="E1615" s="2">
        <v>46001</v>
      </c>
      <c r="F1615" t="s">
        <v>206</v>
      </c>
      <c r="G1615" s="3" t="s">
        <v>124</v>
      </c>
      <c r="H1615" s="3">
        <v>10945.8</v>
      </c>
      <c r="I1615" s="3">
        <v>10945.8</v>
      </c>
      <c r="J1615">
        <v>0</v>
      </c>
      <c r="K1615" s="3">
        <v>12587.67</v>
      </c>
      <c r="L1615" s="3">
        <v>1216.44</v>
      </c>
      <c r="M1615" s="3">
        <v>770.76</v>
      </c>
      <c r="N1615" t="s">
        <v>75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43</v>
      </c>
      <c r="W1615" t="s">
        <v>72</v>
      </c>
      <c r="X1615" s="4">
        <v>0</v>
      </c>
      <c r="Y1615" t="s">
        <v>58</v>
      </c>
      <c r="Z1615" s="3">
        <v>0</v>
      </c>
      <c r="AA1615">
        <v>0</v>
      </c>
      <c r="AB1615" s="3">
        <v>1216.44</v>
      </c>
      <c r="AC1615">
        <v>0</v>
      </c>
      <c r="AD1615">
        <v>0</v>
      </c>
      <c r="AE1615" s="3">
        <v>870</v>
      </c>
      <c r="AF1615" t="s">
        <v>54</v>
      </c>
      <c r="AG1615" t="s">
        <v>59</v>
      </c>
      <c r="AI1615" t="s">
        <v>73</v>
      </c>
      <c r="AJ1615" t="s">
        <v>73</v>
      </c>
      <c r="AK1615" s="5">
        <v>46001.451111111113</v>
      </c>
      <c r="AO1615" t="s">
        <v>54</v>
      </c>
      <c r="AP1615">
        <v>0</v>
      </c>
      <c r="AR1615" t="s">
        <v>54</v>
      </c>
      <c r="AS1615" t="s">
        <v>54</v>
      </c>
      <c r="AT1615">
        <v>4694</v>
      </c>
      <c r="AU1615" t="s">
        <v>55</v>
      </c>
    </row>
    <row r="1616" spans="1:47" x14ac:dyDescent="0.25">
      <c r="A1616" t="s">
        <v>47</v>
      </c>
      <c r="B1616" s="1">
        <v>38372</v>
      </c>
      <c r="C1616" t="s">
        <v>48</v>
      </c>
      <c r="D1616" t="s">
        <v>49</v>
      </c>
      <c r="E1616" s="2">
        <v>46001</v>
      </c>
      <c r="F1616" t="s">
        <v>206</v>
      </c>
      <c r="G1616" t="s">
        <v>124</v>
      </c>
      <c r="H1616" s="3">
        <v>14753.4</v>
      </c>
      <c r="I1616" s="3">
        <v>14753.4</v>
      </c>
      <c r="J1616">
        <v>0</v>
      </c>
      <c r="K1616" s="3">
        <v>16966.41</v>
      </c>
      <c r="L1616" s="3">
        <v>1596.24</v>
      </c>
      <c r="M1616" s="3">
        <v>1021.23</v>
      </c>
      <c r="N1616" t="s">
        <v>75</v>
      </c>
      <c r="O1616" t="s">
        <v>53</v>
      </c>
      <c r="P1616" t="s">
        <v>53</v>
      </c>
      <c r="Q1616" t="s">
        <v>53</v>
      </c>
      <c r="R1616" t="s">
        <v>54</v>
      </c>
      <c r="S1616" t="s">
        <v>54</v>
      </c>
      <c r="T1616" t="s">
        <v>55</v>
      </c>
      <c r="U1616">
        <v>43</v>
      </c>
      <c r="W1616" t="s">
        <v>72</v>
      </c>
      <c r="X1616" s="4">
        <v>0</v>
      </c>
      <c r="Y1616" t="s">
        <v>58</v>
      </c>
      <c r="Z1616" s="3">
        <v>0</v>
      </c>
      <c r="AA1616">
        <v>0</v>
      </c>
      <c r="AB1616" s="3">
        <v>1596.24</v>
      </c>
      <c r="AC1616">
        <v>0</v>
      </c>
      <c r="AD1616">
        <v>0</v>
      </c>
      <c r="AE1616" s="3">
        <v>1080</v>
      </c>
      <c r="AF1616" t="s">
        <v>54</v>
      </c>
      <c r="AG1616" t="s">
        <v>59</v>
      </c>
      <c r="AI1616" t="s">
        <v>73</v>
      </c>
      <c r="AJ1616" t="s">
        <v>73</v>
      </c>
      <c r="AK1616" s="5">
        <v>46001.453750000001</v>
      </c>
      <c r="AO1616" t="s">
        <v>54</v>
      </c>
      <c r="AP1616">
        <v>0</v>
      </c>
      <c r="AR1616" t="s">
        <v>54</v>
      </c>
      <c r="AS1616" t="s">
        <v>54</v>
      </c>
      <c r="AT1616">
        <v>4694</v>
      </c>
      <c r="AU1616" t="s">
        <v>55</v>
      </c>
    </row>
    <row r="1617" spans="1:47" x14ac:dyDescent="0.25">
      <c r="A1617" t="s">
        <v>47</v>
      </c>
      <c r="B1617" s="1">
        <v>38373</v>
      </c>
      <c r="C1617" t="s">
        <v>48</v>
      </c>
      <c r="D1617" s="3" t="s">
        <v>49</v>
      </c>
      <c r="E1617" s="2">
        <v>46001</v>
      </c>
      <c r="F1617" t="s">
        <v>206</v>
      </c>
      <c r="G1617" s="3" t="s">
        <v>124</v>
      </c>
      <c r="H1617" s="3">
        <v>12914.32</v>
      </c>
      <c r="I1617" s="3">
        <v>12914.32</v>
      </c>
      <c r="J1617">
        <v>0</v>
      </c>
      <c r="K1617" s="3">
        <v>14851.47</v>
      </c>
      <c r="L1617" s="3">
        <v>1411.32</v>
      </c>
      <c r="M1617" s="3">
        <v>917.03</v>
      </c>
      <c r="N1617" t="s">
        <v>75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43</v>
      </c>
      <c r="W1617" t="s">
        <v>72</v>
      </c>
      <c r="X1617" s="4">
        <v>0</v>
      </c>
      <c r="Y1617" t="s">
        <v>58</v>
      </c>
      <c r="Z1617" s="3">
        <v>0</v>
      </c>
      <c r="AA1617">
        <v>0</v>
      </c>
      <c r="AB1617" s="3">
        <v>1411.32</v>
      </c>
      <c r="AC1617">
        <v>0</v>
      </c>
      <c r="AD1617">
        <v>0</v>
      </c>
      <c r="AE1617" s="3">
        <v>986</v>
      </c>
      <c r="AF1617" t="s">
        <v>54</v>
      </c>
      <c r="AG1617" t="s">
        <v>59</v>
      </c>
      <c r="AI1617" t="s">
        <v>73</v>
      </c>
      <c r="AJ1617" t="s">
        <v>73</v>
      </c>
      <c r="AK1617" s="5">
        <v>46001.455428240741</v>
      </c>
      <c r="AO1617" t="s">
        <v>54</v>
      </c>
      <c r="AP1617">
        <v>0</v>
      </c>
      <c r="AR1617" t="s">
        <v>54</v>
      </c>
      <c r="AS1617" t="s">
        <v>54</v>
      </c>
      <c r="AT1617">
        <v>4694</v>
      </c>
      <c r="AU1617" t="s">
        <v>55</v>
      </c>
    </row>
    <row r="1618" spans="1:47" x14ac:dyDescent="0.25">
      <c r="A1618" t="s">
        <v>47</v>
      </c>
      <c r="B1618" s="1">
        <v>38374</v>
      </c>
      <c r="C1618" t="s">
        <v>48</v>
      </c>
      <c r="D1618" t="s">
        <v>49</v>
      </c>
      <c r="E1618" s="2">
        <v>46001</v>
      </c>
      <c r="F1618" t="s">
        <v>386</v>
      </c>
      <c r="G1618" s="3" t="s">
        <v>69</v>
      </c>
      <c r="H1618" s="3">
        <v>4535</v>
      </c>
      <c r="I1618" s="3">
        <v>4535</v>
      </c>
      <c r="J1618">
        <v>0</v>
      </c>
      <c r="K1618" s="3">
        <v>5215.25</v>
      </c>
      <c r="L1618" s="3">
        <v>735</v>
      </c>
      <c r="M1618" s="3">
        <v>437.33</v>
      </c>
      <c r="N1618" t="s">
        <v>77</v>
      </c>
      <c r="O1618" t="s">
        <v>53</v>
      </c>
      <c r="P1618" t="s">
        <v>53</v>
      </c>
      <c r="Q1618" t="s">
        <v>53</v>
      </c>
      <c r="R1618" t="s">
        <v>54</v>
      </c>
      <c r="S1618" t="s">
        <v>54</v>
      </c>
      <c r="T1618" t="s">
        <v>55</v>
      </c>
      <c r="U1618">
        <v>83</v>
      </c>
      <c r="V1618" t="s">
        <v>121</v>
      </c>
      <c r="W1618" t="s">
        <v>95</v>
      </c>
      <c r="X1618" s="4">
        <v>0</v>
      </c>
      <c r="Y1618" t="s">
        <v>62</v>
      </c>
      <c r="Z1618" s="3"/>
      <c r="AB1618" s="3"/>
      <c r="AE1618" s="3"/>
      <c r="AK1618" s="5"/>
    </row>
    <row r="1619" spans="1:47" x14ac:dyDescent="0.25">
      <c r="A1619" t="s">
        <v>63</v>
      </c>
      <c r="B1619" s="1">
        <v>0</v>
      </c>
      <c r="C1619">
        <v>0</v>
      </c>
      <c r="D1619">
        <v>735</v>
      </c>
      <c r="E1619" s="2">
        <v>0</v>
      </c>
      <c r="F1619">
        <v>0</v>
      </c>
      <c r="G1619" s="3">
        <v>500</v>
      </c>
      <c r="H1619" s="3" t="s">
        <v>54</v>
      </c>
      <c r="I1619" s="3" t="s">
        <v>59</v>
      </c>
      <c r="J1619" t="s">
        <v>79</v>
      </c>
      <c r="K1619" s="3" t="s">
        <v>80</v>
      </c>
      <c r="L1619" s="3" t="s">
        <v>73</v>
      </c>
      <c r="M1619" s="3">
        <v>46001.606909722221</v>
      </c>
      <c r="Q1619" t="s">
        <v>54</v>
      </c>
      <c r="R1619">
        <v>0</v>
      </c>
      <c r="T1619" t="s">
        <v>54</v>
      </c>
      <c r="U1619" t="s">
        <v>54</v>
      </c>
      <c r="V1619">
        <v>7588</v>
      </c>
      <c r="W1619" t="s">
        <v>55</v>
      </c>
      <c r="X1619" s="4"/>
    </row>
    <row r="1620" spans="1:47" x14ac:dyDescent="0.25">
      <c r="A1620" t="s">
        <v>81</v>
      </c>
      <c r="B1620" s="1">
        <v>38375</v>
      </c>
      <c r="C1620" t="s">
        <v>48</v>
      </c>
      <c r="D1620" s="3" t="s">
        <v>49</v>
      </c>
      <c r="E1620" s="2">
        <v>46001</v>
      </c>
      <c r="F1620" t="s">
        <v>335</v>
      </c>
      <c r="G1620" s="3" t="s">
        <v>69</v>
      </c>
      <c r="H1620" s="3">
        <v>4722.5</v>
      </c>
      <c r="I1620" s="3">
        <v>4722.5</v>
      </c>
      <c r="J1620">
        <v>0</v>
      </c>
      <c r="K1620" s="3">
        <v>4722.5</v>
      </c>
      <c r="L1620">
        <v>825</v>
      </c>
      <c r="M1620" s="3">
        <v>369.6</v>
      </c>
      <c r="N1620" t="s">
        <v>77</v>
      </c>
      <c r="O1620" t="s">
        <v>53</v>
      </c>
      <c r="P1620" t="s">
        <v>53</v>
      </c>
      <c r="Q1620" t="s">
        <v>53</v>
      </c>
      <c r="R1620" t="s">
        <v>54</v>
      </c>
      <c r="S1620" t="s">
        <v>54</v>
      </c>
      <c r="T1620" t="s">
        <v>55</v>
      </c>
      <c r="U1620">
        <v>83</v>
      </c>
      <c r="W1620" t="s">
        <v>134</v>
      </c>
      <c r="X1620" s="4">
        <v>0</v>
      </c>
      <c r="Y1620" t="s">
        <v>58</v>
      </c>
      <c r="Z1620">
        <v>825</v>
      </c>
      <c r="AA1620">
        <v>0</v>
      </c>
      <c r="AB1620">
        <v>0</v>
      </c>
      <c r="AC1620">
        <v>0</v>
      </c>
      <c r="AD1620">
        <v>0</v>
      </c>
      <c r="AE1620">
        <v>250</v>
      </c>
      <c r="AF1620" t="s">
        <v>54</v>
      </c>
      <c r="AG1620" t="s">
        <v>59</v>
      </c>
      <c r="AI1620" t="s">
        <v>80</v>
      </c>
      <c r="AJ1620" t="s">
        <v>73</v>
      </c>
      <c r="AK1620" s="5">
        <v>46001.606527777774</v>
      </c>
      <c r="AO1620" t="s">
        <v>54</v>
      </c>
      <c r="AP1620">
        <v>0</v>
      </c>
      <c r="AR1620" t="s">
        <v>54</v>
      </c>
      <c r="AS1620" t="s">
        <v>54</v>
      </c>
      <c r="AT1620">
        <v>4097</v>
      </c>
      <c r="AU1620" t="s">
        <v>55</v>
      </c>
    </row>
    <row r="1621" spans="1:47" x14ac:dyDescent="0.25">
      <c r="A1621" t="s">
        <v>47</v>
      </c>
      <c r="B1621" s="1">
        <v>38376</v>
      </c>
      <c r="C1621" t="s">
        <v>48</v>
      </c>
      <c r="D1621" t="s">
        <v>49</v>
      </c>
      <c r="E1621" s="2">
        <v>46002</v>
      </c>
      <c r="F1621" t="s">
        <v>108</v>
      </c>
      <c r="G1621" s="3" t="s">
        <v>109</v>
      </c>
      <c r="H1621" s="3">
        <v>51810</v>
      </c>
      <c r="I1621" s="3">
        <v>51810</v>
      </c>
      <c r="J1621">
        <v>0</v>
      </c>
      <c r="K1621" s="3">
        <v>51810</v>
      </c>
      <c r="L1621" s="3">
        <v>6401</v>
      </c>
      <c r="M1621" s="3">
        <v>3898.97</v>
      </c>
      <c r="N1621" t="s">
        <v>84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9</v>
      </c>
      <c r="V1621" t="s">
        <v>56</v>
      </c>
      <c r="W1621" t="s">
        <v>110</v>
      </c>
      <c r="X1621" s="4">
        <v>0</v>
      </c>
      <c r="Y1621" t="s">
        <v>58</v>
      </c>
      <c r="Z1621" s="3">
        <v>0</v>
      </c>
      <c r="AA1621">
        <v>0</v>
      </c>
      <c r="AB1621" s="3">
        <v>6401</v>
      </c>
      <c r="AC1621">
        <v>0</v>
      </c>
      <c r="AD1621">
        <v>0</v>
      </c>
      <c r="AE1621" s="3">
        <v>6000</v>
      </c>
      <c r="AF1621" t="s">
        <v>54</v>
      </c>
      <c r="AG1621" t="s">
        <v>59</v>
      </c>
      <c r="AI1621" t="s">
        <v>92</v>
      </c>
      <c r="AJ1621" t="s">
        <v>92</v>
      </c>
      <c r="AK1621" s="5">
        <v>46002.435162037036</v>
      </c>
      <c r="AO1621" t="s">
        <v>54</v>
      </c>
      <c r="AP1621">
        <v>0</v>
      </c>
      <c r="AR1621" t="s">
        <v>54</v>
      </c>
      <c r="AS1621" t="s">
        <v>54</v>
      </c>
      <c r="AT1621">
        <v>3124</v>
      </c>
      <c r="AU1621" t="s">
        <v>55</v>
      </c>
    </row>
    <row r="1622" spans="1:47" x14ac:dyDescent="0.25">
      <c r="A1622" t="s">
        <v>81</v>
      </c>
      <c r="B1622" s="1">
        <v>38377</v>
      </c>
      <c r="C1622" t="s">
        <v>48</v>
      </c>
      <c r="D1622" t="s">
        <v>49</v>
      </c>
      <c r="E1622" s="2">
        <v>46002</v>
      </c>
      <c r="F1622" t="s">
        <v>335</v>
      </c>
      <c r="G1622" t="s">
        <v>69</v>
      </c>
      <c r="H1622" s="3">
        <v>3752.5</v>
      </c>
      <c r="I1622" s="3">
        <v>3752.5</v>
      </c>
      <c r="J1622">
        <v>0</v>
      </c>
      <c r="K1622" s="3">
        <v>3752.5</v>
      </c>
      <c r="L1622" s="3">
        <v>638.4</v>
      </c>
      <c r="M1622" s="3">
        <v>300.05</v>
      </c>
      <c r="N1622" t="s">
        <v>77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83</v>
      </c>
      <c r="W1622" t="s">
        <v>134</v>
      </c>
      <c r="X1622" s="4">
        <v>0</v>
      </c>
      <c r="Y1622" t="s">
        <v>58</v>
      </c>
      <c r="Z1622" s="3">
        <v>0</v>
      </c>
      <c r="AA1622">
        <v>0</v>
      </c>
      <c r="AB1622" s="3">
        <v>0</v>
      </c>
      <c r="AC1622">
        <v>0</v>
      </c>
      <c r="AD1622">
        <v>638.4</v>
      </c>
      <c r="AE1622" s="3">
        <v>950</v>
      </c>
      <c r="AF1622" t="s">
        <v>54</v>
      </c>
      <c r="AG1622" t="s">
        <v>59</v>
      </c>
      <c r="AI1622" t="s">
        <v>80</v>
      </c>
      <c r="AJ1622" t="s">
        <v>92</v>
      </c>
      <c r="AK1622" s="5">
        <v>46002.517893518518</v>
      </c>
      <c r="AO1622" t="s">
        <v>54</v>
      </c>
      <c r="AP1622">
        <v>0</v>
      </c>
      <c r="AR1622" t="s">
        <v>54</v>
      </c>
      <c r="AS1622" t="s">
        <v>54</v>
      </c>
      <c r="AT1622">
        <v>4097</v>
      </c>
      <c r="AU1622" t="s">
        <v>55</v>
      </c>
    </row>
    <row r="1623" spans="1:47" x14ac:dyDescent="0.25">
      <c r="A1623" t="s">
        <v>47</v>
      </c>
      <c r="B1623" s="1">
        <v>38378</v>
      </c>
      <c r="C1623" t="s">
        <v>48</v>
      </c>
      <c r="D1623" t="s">
        <v>49</v>
      </c>
      <c r="E1623" s="2">
        <v>46002</v>
      </c>
      <c r="F1623" t="s">
        <v>366</v>
      </c>
      <c r="G1623" t="s">
        <v>157</v>
      </c>
      <c r="H1623" s="3">
        <v>4220</v>
      </c>
      <c r="I1623" s="3">
        <v>4220</v>
      </c>
      <c r="J1623">
        <v>0</v>
      </c>
      <c r="K1623" s="3">
        <v>4220</v>
      </c>
      <c r="L1623" s="3">
        <v>952</v>
      </c>
      <c r="M1623" s="3">
        <v>276.08</v>
      </c>
      <c r="N1623" t="s">
        <v>75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43</v>
      </c>
      <c r="W1623" t="s">
        <v>173</v>
      </c>
      <c r="X1623" s="4">
        <v>0</v>
      </c>
      <c r="Y1623" t="s">
        <v>62</v>
      </c>
      <c r="AB1623" s="3"/>
      <c r="AE1623" s="3"/>
      <c r="AK1623" s="5"/>
    </row>
    <row r="1624" spans="1:47" x14ac:dyDescent="0.25">
      <c r="A1624" t="s">
        <v>63</v>
      </c>
      <c r="B1624" s="1">
        <v>952</v>
      </c>
      <c r="C1624">
        <v>0</v>
      </c>
      <c r="D1624">
        <v>0</v>
      </c>
      <c r="E1624" s="2">
        <v>0</v>
      </c>
      <c r="F1624">
        <v>0</v>
      </c>
      <c r="G1624" s="3">
        <v>2000</v>
      </c>
      <c r="H1624" s="3" t="s">
        <v>54</v>
      </c>
      <c r="I1624" s="3" t="s">
        <v>59</v>
      </c>
      <c r="J1624" t="s">
        <v>182</v>
      </c>
      <c r="K1624" s="3" t="s">
        <v>73</v>
      </c>
      <c r="L1624" s="3" t="s">
        <v>73</v>
      </c>
      <c r="M1624" s="3">
        <v>46003.325810185182</v>
      </c>
      <c r="Q1624" t="s">
        <v>54</v>
      </c>
      <c r="R1624">
        <v>0</v>
      </c>
      <c r="T1624" t="s">
        <v>54</v>
      </c>
      <c r="U1624" t="s">
        <v>54</v>
      </c>
      <c r="V1624">
        <v>6061</v>
      </c>
      <c r="W1624" t="s">
        <v>55</v>
      </c>
      <c r="X1624" s="4"/>
      <c r="Z1624" s="3"/>
      <c r="AE1624" s="3"/>
      <c r="AK1624" s="5"/>
    </row>
    <row r="1625" spans="1:47" x14ac:dyDescent="0.25">
      <c r="A1625" t="s">
        <v>81</v>
      </c>
      <c r="B1625" s="1">
        <v>38379</v>
      </c>
      <c r="C1625" t="s">
        <v>48</v>
      </c>
      <c r="D1625" t="s">
        <v>49</v>
      </c>
      <c r="E1625" s="2">
        <v>46002</v>
      </c>
      <c r="F1625" t="s">
        <v>403</v>
      </c>
      <c r="G1625" s="3" t="s">
        <v>404</v>
      </c>
      <c r="H1625" s="3">
        <v>600</v>
      </c>
      <c r="I1625" s="3">
        <v>600</v>
      </c>
      <c r="J1625">
        <v>0</v>
      </c>
      <c r="K1625" s="3">
        <v>600</v>
      </c>
      <c r="L1625" s="3">
        <v>93.2</v>
      </c>
      <c r="M1625" s="3">
        <v>39.14</v>
      </c>
      <c r="N1625" t="s">
        <v>84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9</v>
      </c>
      <c r="W1625" t="s">
        <v>114</v>
      </c>
      <c r="X1625" s="4">
        <v>0</v>
      </c>
      <c r="Y1625" t="s">
        <v>62</v>
      </c>
      <c r="Z1625" s="3"/>
      <c r="AB1625" s="3"/>
      <c r="AE1625" s="3"/>
      <c r="AK1625" s="5"/>
    </row>
    <row r="1626" spans="1:47" x14ac:dyDescent="0.25">
      <c r="A1626" t="s">
        <v>63</v>
      </c>
      <c r="B1626" s="1">
        <v>0</v>
      </c>
      <c r="C1626">
        <v>93.2</v>
      </c>
      <c r="D1626">
        <v>0</v>
      </c>
      <c r="E1626" s="2">
        <v>0</v>
      </c>
      <c r="F1626">
        <v>0</v>
      </c>
      <c r="G1626">
        <v>50</v>
      </c>
      <c r="H1626" s="3" t="s">
        <v>54</v>
      </c>
      <c r="I1626" s="3" t="s">
        <v>59</v>
      </c>
      <c r="J1626" t="s">
        <v>79</v>
      </c>
      <c r="K1626" s="3" t="s">
        <v>73</v>
      </c>
      <c r="L1626" s="3" t="s">
        <v>73</v>
      </c>
      <c r="M1626" s="3">
        <v>46002.653067129628</v>
      </c>
      <c r="Q1626" t="s">
        <v>54</v>
      </c>
      <c r="R1626">
        <v>0</v>
      </c>
      <c r="T1626" t="s">
        <v>54</v>
      </c>
      <c r="U1626" t="s">
        <v>54</v>
      </c>
      <c r="V1626">
        <v>8818</v>
      </c>
      <c r="W1626" t="s">
        <v>55</v>
      </c>
      <c r="X1626" s="4"/>
      <c r="AB1626" s="3"/>
      <c r="AE1626" s="3"/>
      <c r="AK1626" s="5"/>
    </row>
    <row r="1627" spans="1:47" x14ac:dyDescent="0.25">
      <c r="A1627" t="s">
        <v>47</v>
      </c>
      <c r="B1627" s="1">
        <v>38381</v>
      </c>
      <c r="C1627" t="s">
        <v>48</v>
      </c>
      <c r="D1627" t="s">
        <v>49</v>
      </c>
      <c r="E1627" s="2">
        <v>46003</v>
      </c>
      <c r="F1627" t="s">
        <v>304</v>
      </c>
      <c r="G1627" t="s">
        <v>87</v>
      </c>
      <c r="H1627" s="3">
        <v>14000</v>
      </c>
      <c r="I1627" s="3">
        <v>14000</v>
      </c>
      <c r="J1627">
        <v>0</v>
      </c>
      <c r="K1627" s="3">
        <v>16100</v>
      </c>
      <c r="L1627" s="3">
        <v>2082</v>
      </c>
      <c r="M1627" s="3">
        <v>1249.2</v>
      </c>
      <c r="N1627" t="s">
        <v>52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126</v>
      </c>
      <c r="V1627" t="s">
        <v>56</v>
      </c>
      <c r="W1627" t="s">
        <v>178</v>
      </c>
      <c r="X1627" s="4">
        <v>0</v>
      </c>
      <c r="Y1627" t="s">
        <v>62</v>
      </c>
      <c r="AB1627" s="3"/>
      <c r="AE1627" s="3"/>
      <c r="AK1627" s="5"/>
    </row>
    <row r="1628" spans="1:47" x14ac:dyDescent="0.25">
      <c r="A1628" t="s">
        <v>63</v>
      </c>
      <c r="B1628" s="1">
        <v>0</v>
      </c>
      <c r="C1628">
        <v>0</v>
      </c>
      <c r="D1628" s="3">
        <v>2082</v>
      </c>
      <c r="E1628" s="2">
        <v>0</v>
      </c>
      <c r="F1628">
        <v>0</v>
      </c>
      <c r="G1628" s="3">
        <v>2000</v>
      </c>
      <c r="H1628" s="3" t="s">
        <v>54</v>
      </c>
      <c r="I1628" s="3" t="s">
        <v>59</v>
      </c>
      <c r="K1628" s="3" t="s">
        <v>73</v>
      </c>
      <c r="L1628" s="3" t="s">
        <v>73</v>
      </c>
      <c r="M1628" s="3">
        <v>46003.332175925927</v>
      </c>
      <c r="Q1628" t="s">
        <v>54</v>
      </c>
      <c r="R1628">
        <v>0</v>
      </c>
      <c r="T1628" t="s">
        <v>54</v>
      </c>
      <c r="U1628" t="s">
        <v>54</v>
      </c>
      <c r="V1628">
        <v>7376</v>
      </c>
      <c r="W1628" t="s">
        <v>55</v>
      </c>
      <c r="X1628" s="4"/>
      <c r="AB1628" s="3"/>
      <c r="AK1628" s="5"/>
    </row>
    <row r="1629" spans="1:47" x14ac:dyDescent="0.25">
      <c r="A1629" t="s">
        <v>96</v>
      </c>
      <c r="B1629" s="1">
        <v>38382</v>
      </c>
      <c r="C1629" t="s">
        <v>48</v>
      </c>
      <c r="D1629" s="3" t="s">
        <v>49</v>
      </c>
      <c r="E1629" s="2">
        <v>46003</v>
      </c>
      <c r="F1629" t="s">
        <v>285</v>
      </c>
      <c r="G1629" s="3" t="s">
        <v>217</v>
      </c>
      <c r="H1629" s="3">
        <v>8780</v>
      </c>
      <c r="I1629" s="3">
        <v>8780</v>
      </c>
      <c r="J1629">
        <v>0</v>
      </c>
      <c r="K1629" s="3">
        <v>8780</v>
      </c>
      <c r="L1629" s="3">
        <v>1825</v>
      </c>
      <c r="M1629" s="3">
        <v>711.75</v>
      </c>
      <c r="N1629" t="s">
        <v>106</v>
      </c>
      <c r="O1629" t="s">
        <v>53</v>
      </c>
      <c r="P1629" t="s">
        <v>53</v>
      </c>
      <c r="Q1629" t="s">
        <v>53</v>
      </c>
      <c r="R1629" t="s">
        <v>54</v>
      </c>
      <c r="S1629" t="s">
        <v>54</v>
      </c>
      <c r="T1629" t="s">
        <v>55</v>
      </c>
      <c r="U1629">
        <v>145</v>
      </c>
      <c r="V1629" t="s">
        <v>146</v>
      </c>
      <c r="W1629" t="s">
        <v>286</v>
      </c>
      <c r="X1629" s="4">
        <v>0</v>
      </c>
      <c r="Y1629" t="s">
        <v>58</v>
      </c>
      <c r="Z1629" s="3">
        <v>1825</v>
      </c>
      <c r="AA1629">
        <v>0</v>
      </c>
      <c r="AB1629">
        <v>0</v>
      </c>
      <c r="AC1629">
        <v>0</v>
      </c>
      <c r="AD1629">
        <v>0</v>
      </c>
      <c r="AE1629" s="3">
        <v>5000</v>
      </c>
      <c r="AF1629" t="s">
        <v>54</v>
      </c>
      <c r="AG1629" t="s">
        <v>59</v>
      </c>
      <c r="AI1629" t="s">
        <v>73</v>
      </c>
      <c r="AJ1629" t="s">
        <v>73</v>
      </c>
      <c r="AK1629" s="5">
        <v>46003.596770833334</v>
      </c>
      <c r="AO1629" t="s">
        <v>54</v>
      </c>
      <c r="AP1629">
        <v>0</v>
      </c>
      <c r="AR1629" t="s">
        <v>54</v>
      </c>
      <c r="AS1629" t="s">
        <v>54</v>
      </c>
      <c r="AT1629">
        <v>5017</v>
      </c>
      <c r="AU1629" t="s">
        <v>55</v>
      </c>
    </row>
    <row r="1630" spans="1:47" x14ac:dyDescent="0.25">
      <c r="A1630" t="s">
        <v>47</v>
      </c>
      <c r="B1630" s="1">
        <v>38383</v>
      </c>
      <c r="C1630" t="s">
        <v>48</v>
      </c>
      <c r="D1630" t="s">
        <v>49</v>
      </c>
      <c r="E1630" s="2">
        <v>46003</v>
      </c>
      <c r="F1630" t="s">
        <v>155</v>
      </c>
      <c r="G1630" t="s">
        <v>89</v>
      </c>
      <c r="H1630" s="3">
        <v>930</v>
      </c>
      <c r="I1630" s="3">
        <v>930</v>
      </c>
      <c r="J1630">
        <v>0</v>
      </c>
      <c r="K1630" s="3">
        <v>1069.5</v>
      </c>
      <c r="L1630" s="3">
        <v>50.04</v>
      </c>
      <c r="M1630" s="3">
        <v>31.02</v>
      </c>
      <c r="N1630" t="s">
        <v>106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145</v>
      </c>
      <c r="V1630" t="s">
        <v>146</v>
      </c>
      <c r="W1630" t="s">
        <v>85</v>
      </c>
      <c r="X1630" s="4">
        <v>0</v>
      </c>
      <c r="Y1630" t="s">
        <v>62</v>
      </c>
      <c r="Z1630" s="3"/>
      <c r="AE1630" s="3"/>
      <c r="AK1630" s="5"/>
    </row>
    <row r="1631" spans="1:47" x14ac:dyDescent="0.25">
      <c r="A1631" t="s">
        <v>63</v>
      </c>
      <c r="B1631" s="1">
        <v>0</v>
      </c>
      <c r="C1631">
        <v>0</v>
      </c>
      <c r="D1631">
        <v>50.04</v>
      </c>
      <c r="E1631" s="2">
        <v>0</v>
      </c>
      <c r="F1631" s="3">
        <v>0</v>
      </c>
      <c r="G1631" s="3">
        <v>120</v>
      </c>
      <c r="H1631" s="3" t="s">
        <v>54</v>
      </c>
      <c r="I1631" s="3" t="s">
        <v>59</v>
      </c>
      <c r="J1631" t="s">
        <v>149</v>
      </c>
      <c r="K1631" s="3" t="s">
        <v>73</v>
      </c>
      <c r="L1631" s="3" t="s">
        <v>73</v>
      </c>
      <c r="M1631" s="3">
        <v>46003.711365740739</v>
      </c>
      <c r="Q1631" t="s">
        <v>54</v>
      </c>
      <c r="R1631">
        <v>0</v>
      </c>
      <c r="T1631" t="s">
        <v>54</v>
      </c>
      <c r="U1631" t="s">
        <v>54</v>
      </c>
      <c r="V1631">
        <v>7814</v>
      </c>
      <c r="W1631" t="s">
        <v>55</v>
      </c>
      <c r="X1631" s="4"/>
      <c r="AB1631" s="3"/>
      <c r="AE1631" s="3"/>
      <c r="AK1631" s="5"/>
    </row>
    <row r="1632" spans="1:47" x14ac:dyDescent="0.25">
      <c r="A1632" t="s">
        <v>81</v>
      </c>
      <c r="B1632" s="1">
        <v>38384</v>
      </c>
      <c r="C1632" t="s">
        <v>48</v>
      </c>
      <c r="D1632" t="s">
        <v>49</v>
      </c>
      <c r="E1632" s="2">
        <v>46006</v>
      </c>
      <c r="F1632" t="s">
        <v>407</v>
      </c>
      <c r="G1632" t="s">
        <v>89</v>
      </c>
      <c r="H1632" s="3">
        <v>10300</v>
      </c>
      <c r="I1632" s="3">
        <v>10300</v>
      </c>
      <c r="J1632">
        <v>0</v>
      </c>
      <c r="K1632" s="3">
        <v>10300</v>
      </c>
      <c r="L1632" s="3">
        <v>1614</v>
      </c>
      <c r="M1632" s="3">
        <v>968.4</v>
      </c>
      <c r="N1632" t="s">
        <v>52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126</v>
      </c>
      <c r="V1632" t="s">
        <v>56</v>
      </c>
      <c r="W1632" t="s">
        <v>408</v>
      </c>
      <c r="X1632" s="4">
        <v>0</v>
      </c>
      <c r="Y1632" t="s">
        <v>58</v>
      </c>
      <c r="Z1632">
        <v>0</v>
      </c>
      <c r="AA1632">
        <v>0</v>
      </c>
      <c r="AB1632" s="3">
        <v>1614</v>
      </c>
      <c r="AC1632">
        <v>0</v>
      </c>
      <c r="AD1632">
        <v>0</v>
      </c>
      <c r="AE1632" s="3">
        <v>2000</v>
      </c>
      <c r="AF1632" t="s">
        <v>54</v>
      </c>
      <c r="AG1632" t="s">
        <v>59</v>
      </c>
      <c r="AH1632" t="s">
        <v>149</v>
      </c>
      <c r="AI1632" t="s">
        <v>73</v>
      </c>
      <c r="AJ1632" t="s">
        <v>73</v>
      </c>
      <c r="AK1632" s="5">
        <v>46006.696863425925</v>
      </c>
      <c r="AO1632" t="s">
        <v>54</v>
      </c>
      <c r="AP1632">
        <v>0</v>
      </c>
      <c r="AR1632" t="s">
        <v>54</v>
      </c>
      <c r="AS1632" t="s">
        <v>54</v>
      </c>
      <c r="AT1632">
        <v>5603</v>
      </c>
      <c r="AU1632" t="s">
        <v>55</v>
      </c>
    </row>
    <row r="1633" spans="1:47" x14ac:dyDescent="0.25">
      <c r="A1633" t="s">
        <v>47</v>
      </c>
      <c r="B1633" s="1">
        <v>38385</v>
      </c>
      <c r="C1633" t="s">
        <v>48</v>
      </c>
      <c r="D1633" t="s">
        <v>49</v>
      </c>
      <c r="E1633" s="2">
        <v>46006</v>
      </c>
      <c r="F1633" s="3" t="s">
        <v>170</v>
      </c>
      <c r="G1633" t="s">
        <v>69</v>
      </c>
      <c r="H1633" s="3">
        <v>5518.5</v>
      </c>
      <c r="I1633" s="3">
        <v>5518.5</v>
      </c>
      <c r="J1633">
        <v>0</v>
      </c>
      <c r="K1633" s="3">
        <v>6346.27</v>
      </c>
      <c r="L1633" s="3">
        <v>699.43</v>
      </c>
      <c r="M1633" s="3">
        <v>402.17</v>
      </c>
      <c r="N1633" t="s">
        <v>77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83</v>
      </c>
      <c r="W1633" t="s">
        <v>134</v>
      </c>
      <c r="X1633" s="4">
        <v>0</v>
      </c>
      <c r="Y1633" t="s">
        <v>58</v>
      </c>
      <c r="Z1633">
        <v>0</v>
      </c>
      <c r="AA1633">
        <v>0</v>
      </c>
      <c r="AB1633" s="3">
        <v>699.43</v>
      </c>
      <c r="AC1633">
        <v>0</v>
      </c>
      <c r="AD1633">
        <v>0</v>
      </c>
      <c r="AE1633" s="3">
        <v>870</v>
      </c>
      <c r="AF1633" t="s">
        <v>54</v>
      </c>
      <c r="AG1633" t="s">
        <v>59</v>
      </c>
      <c r="AI1633" t="s">
        <v>80</v>
      </c>
      <c r="AJ1633" t="s">
        <v>73</v>
      </c>
      <c r="AK1633" s="5">
        <v>46006.674016203702</v>
      </c>
      <c r="AO1633" t="s">
        <v>54</v>
      </c>
      <c r="AP1633">
        <v>0</v>
      </c>
      <c r="AR1633" t="s">
        <v>54</v>
      </c>
      <c r="AS1633" t="s">
        <v>54</v>
      </c>
      <c r="AT1633">
        <v>7312</v>
      </c>
      <c r="AU1633" t="s">
        <v>55</v>
      </c>
    </row>
    <row r="1634" spans="1:47" x14ac:dyDescent="0.25">
      <c r="A1634" t="s">
        <v>96</v>
      </c>
      <c r="B1634" s="1">
        <v>38386</v>
      </c>
      <c r="C1634" t="s">
        <v>48</v>
      </c>
      <c r="D1634" t="s">
        <v>49</v>
      </c>
      <c r="E1634" s="2">
        <v>46006</v>
      </c>
      <c r="F1634" t="s">
        <v>151</v>
      </c>
      <c r="G1634" s="3" t="s">
        <v>152</v>
      </c>
      <c r="H1634" s="3">
        <v>3645</v>
      </c>
      <c r="I1634" s="3">
        <v>3645</v>
      </c>
      <c r="J1634">
        <v>0</v>
      </c>
      <c r="K1634" s="3">
        <v>3645</v>
      </c>
      <c r="L1634" s="3">
        <v>591.5</v>
      </c>
      <c r="M1634" s="3">
        <v>264.99</v>
      </c>
      <c r="N1634" t="s">
        <v>52</v>
      </c>
      <c r="O1634" t="s">
        <v>53</v>
      </c>
      <c r="P1634" t="s">
        <v>53</v>
      </c>
      <c r="Q1634" t="s">
        <v>53</v>
      </c>
      <c r="R1634" t="s">
        <v>54</v>
      </c>
      <c r="S1634" t="s">
        <v>54</v>
      </c>
      <c r="T1634" t="s">
        <v>55</v>
      </c>
      <c r="U1634">
        <v>126</v>
      </c>
      <c r="V1634" t="s">
        <v>56</v>
      </c>
      <c r="W1634" t="s">
        <v>153</v>
      </c>
      <c r="X1634" s="4">
        <v>0</v>
      </c>
      <c r="Y1634" t="s">
        <v>58</v>
      </c>
      <c r="Z1634" s="3">
        <v>591.5</v>
      </c>
      <c r="AA1634">
        <v>0</v>
      </c>
      <c r="AB1634">
        <v>0</v>
      </c>
      <c r="AC1634">
        <v>0</v>
      </c>
      <c r="AD1634">
        <v>0</v>
      </c>
      <c r="AE1634" s="3">
        <v>500</v>
      </c>
      <c r="AF1634" t="s">
        <v>54</v>
      </c>
      <c r="AG1634" t="s">
        <v>59</v>
      </c>
      <c r="AI1634" t="s">
        <v>73</v>
      </c>
      <c r="AJ1634" t="s">
        <v>73</v>
      </c>
      <c r="AK1634" s="5">
        <v>46006.67900462963</v>
      </c>
      <c r="AO1634" t="s">
        <v>54</v>
      </c>
      <c r="AP1634">
        <v>0</v>
      </c>
      <c r="AR1634" t="s">
        <v>54</v>
      </c>
      <c r="AS1634" t="s">
        <v>54</v>
      </c>
      <c r="AT1634">
        <v>4340</v>
      </c>
      <c r="AU1634" t="s">
        <v>55</v>
      </c>
    </row>
    <row r="1635" spans="1:47" x14ac:dyDescent="0.25">
      <c r="A1635" t="s">
        <v>47</v>
      </c>
      <c r="B1635" s="1">
        <v>38387</v>
      </c>
      <c r="C1635" t="s">
        <v>48</v>
      </c>
      <c r="D1635" t="s">
        <v>49</v>
      </c>
      <c r="E1635" s="2">
        <v>46007</v>
      </c>
      <c r="F1635" t="s">
        <v>88</v>
      </c>
      <c r="G1635" s="3" t="s">
        <v>89</v>
      </c>
      <c r="H1635" s="3">
        <v>3880</v>
      </c>
      <c r="I1635" s="3">
        <v>3880</v>
      </c>
      <c r="J1635">
        <v>0</v>
      </c>
      <c r="K1635" s="3">
        <v>4462</v>
      </c>
      <c r="L1635" s="3">
        <v>495</v>
      </c>
      <c r="M1635" s="3">
        <v>168.23</v>
      </c>
      <c r="N1635" t="s">
        <v>84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9</v>
      </c>
      <c r="V1635" t="s">
        <v>71</v>
      </c>
      <c r="W1635" t="s">
        <v>90</v>
      </c>
      <c r="X1635" s="4">
        <v>0</v>
      </c>
      <c r="Y1635" t="s">
        <v>62</v>
      </c>
      <c r="Z1635" s="3"/>
      <c r="AE1635" s="3"/>
      <c r="AK1635" s="5"/>
    </row>
    <row r="1636" spans="1:47" x14ac:dyDescent="0.25">
      <c r="A1636" t="s">
        <v>63</v>
      </c>
      <c r="B1636" s="1">
        <v>132</v>
      </c>
      <c r="C1636">
        <v>0</v>
      </c>
      <c r="D1636">
        <v>0</v>
      </c>
      <c r="E1636" s="2">
        <v>363</v>
      </c>
      <c r="F1636">
        <v>0</v>
      </c>
      <c r="G1636" s="3">
        <v>3000</v>
      </c>
      <c r="H1636" s="3" t="s">
        <v>54</v>
      </c>
      <c r="I1636" s="3" t="s">
        <v>91</v>
      </c>
      <c r="K1636" s="3" t="s">
        <v>92</v>
      </c>
      <c r="L1636" s="3" t="s">
        <v>92</v>
      </c>
      <c r="M1636" s="3">
        <v>46007.594224537039</v>
      </c>
      <c r="Q1636" t="s">
        <v>54</v>
      </c>
      <c r="R1636">
        <v>0</v>
      </c>
      <c r="T1636" t="s">
        <v>54</v>
      </c>
      <c r="U1636" t="s">
        <v>54</v>
      </c>
      <c r="V1636">
        <v>2291</v>
      </c>
      <c r="W1636" t="s">
        <v>55</v>
      </c>
      <c r="X1636" s="4"/>
      <c r="AB1636" s="3"/>
      <c r="AE1636" s="3"/>
      <c r="AK1636" s="5"/>
    </row>
    <row r="1637" spans="1:47" x14ac:dyDescent="0.25">
      <c r="A1637" t="s">
        <v>47</v>
      </c>
      <c r="B1637" s="1">
        <v>38388</v>
      </c>
      <c r="C1637" t="s">
        <v>48</v>
      </c>
      <c r="D1637" t="s">
        <v>49</v>
      </c>
      <c r="E1637" s="2">
        <v>46007</v>
      </c>
      <c r="F1637" t="s">
        <v>101</v>
      </c>
      <c r="G1637" s="3" t="s">
        <v>94</v>
      </c>
      <c r="H1637" s="3">
        <v>1940</v>
      </c>
      <c r="I1637" s="3">
        <v>1940</v>
      </c>
      <c r="J1637">
        <v>0</v>
      </c>
      <c r="K1637" s="3">
        <v>2231</v>
      </c>
      <c r="L1637" s="3">
        <v>414</v>
      </c>
      <c r="M1637" s="3">
        <v>144.9</v>
      </c>
      <c r="N1637" t="s">
        <v>84</v>
      </c>
      <c r="O1637" t="s">
        <v>53</v>
      </c>
      <c r="P1637" t="s">
        <v>53</v>
      </c>
      <c r="Q1637" t="s">
        <v>53</v>
      </c>
      <c r="R1637" t="s">
        <v>54</v>
      </c>
      <c r="S1637" t="s">
        <v>54</v>
      </c>
      <c r="T1637" t="s">
        <v>55</v>
      </c>
      <c r="U1637">
        <v>9</v>
      </c>
      <c r="V1637" t="s">
        <v>71</v>
      </c>
      <c r="W1637" t="s">
        <v>102</v>
      </c>
      <c r="X1637" s="4">
        <v>0</v>
      </c>
      <c r="Y1637" t="s">
        <v>58</v>
      </c>
      <c r="Z1637">
        <v>414</v>
      </c>
      <c r="AA1637">
        <v>0</v>
      </c>
      <c r="AB1637">
        <v>0</v>
      </c>
      <c r="AC1637">
        <v>0</v>
      </c>
      <c r="AD1637" s="3">
        <v>0</v>
      </c>
      <c r="AE1637" s="3">
        <v>2000</v>
      </c>
      <c r="AF1637" t="s">
        <v>54</v>
      </c>
      <c r="AG1637" t="s">
        <v>59</v>
      </c>
      <c r="AH1637" t="s">
        <v>103</v>
      </c>
      <c r="AI1637" t="s">
        <v>92</v>
      </c>
      <c r="AJ1637" t="s">
        <v>92</v>
      </c>
      <c r="AK1637" s="5">
        <v>46007.595277777778</v>
      </c>
      <c r="AO1637" t="s">
        <v>54</v>
      </c>
      <c r="AP1637">
        <v>0</v>
      </c>
      <c r="AR1637" t="s">
        <v>54</v>
      </c>
      <c r="AS1637" t="s">
        <v>54</v>
      </c>
      <c r="AT1637">
        <v>161</v>
      </c>
      <c r="AU1637" t="s">
        <v>55</v>
      </c>
    </row>
    <row r="1638" spans="1:47" x14ac:dyDescent="0.25">
      <c r="A1638" t="s">
        <v>81</v>
      </c>
      <c r="B1638" s="1">
        <v>38389</v>
      </c>
      <c r="C1638" t="s">
        <v>48</v>
      </c>
      <c r="D1638" s="3" t="s">
        <v>49</v>
      </c>
      <c r="E1638" s="2">
        <v>46007</v>
      </c>
      <c r="F1638" t="s">
        <v>140</v>
      </c>
      <c r="G1638" s="3" t="s">
        <v>141</v>
      </c>
      <c r="H1638" s="3">
        <v>8096.5</v>
      </c>
      <c r="I1638" s="3">
        <v>8096.5</v>
      </c>
      <c r="J1638">
        <v>0</v>
      </c>
      <c r="K1638" s="3">
        <v>8096.5</v>
      </c>
      <c r="L1638" s="3">
        <v>1809.55</v>
      </c>
      <c r="M1638" s="3">
        <v>692.44</v>
      </c>
      <c r="N1638" t="s">
        <v>77</v>
      </c>
      <c r="O1638" t="s">
        <v>53</v>
      </c>
      <c r="P1638" t="s">
        <v>53</v>
      </c>
      <c r="Q1638" t="s">
        <v>53</v>
      </c>
      <c r="R1638" t="s">
        <v>54</v>
      </c>
      <c r="S1638" t="s">
        <v>54</v>
      </c>
      <c r="T1638" t="s">
        <v>55</v>
      </c>
      <c r="U1638">
        <v>83</v>
      </c>
      <c r="W1638" t="s">
        <v>202</v>
      </c>
      <c r="X1638" s="4">
        <v>0</v>
      </c>
      <c r="Y1638" t="s">
        <v>58</v>
      </c>
      <c r="Z1638" s="3">
        <v>1090</v>
      </c>
      <c r="AA1638">
        <v>0</v>
      </c>
      <c r="AB1638">
        <v>0</v>
      </c>
      <c r="AC1638">
        <v>0</v>
      </c>
      <c r="AD1638" s="3">
        <v>719.55</v>
      </c>
      <c r="AE1638" s="3">
        <v>1700</v>
      </c>
      <c r="AF1638" t="s">
        <v>54</v>
      </c>
      <c r="AG1638" t="s">
        <v>59</v>
      </c>
      <c r="AH1638" t="s">
        <v>103</v>
      </c>
      <c r="AI1638" t="s">
        <v>80</v>
      </c>
      <c r="AJ1638" t="s">
        <v>73</v>
      </c>
      <c r="AK1638" s="5">
        <v>46008.668807870374</v>
      </c>
      <c r="AO1638" t="s">
        <v>54</v>
      </c>
      <c r="AP1638">
        <v>0</v>
      </c>
      <c r="AR1638" t="s">
        <v>54</v>
      </c>
      <c r="AS1638" t="s">
        <v>54</v>
      </c>
      <c r="AT1638">
        <v>3465</v>
      </c>
      <c r="AU1638" t="s">
        <v>55</v>
      </c>
    </row>
    <row r="1639" spans="1:47" x14ac:dyDescent="0.25">
      <c r="A1639" t="s">
        <v>96</v>
      </c>
      <c r="B1639" s="1">
        <v>38390</v>
      </c>
      <c r="C1639" t="s">
        <v>48</v>
      </c>
      <c r="D1639" s="3" t="s">
        <v>49</v>
      </c>
      <c r="E1639" s="2">
        <v>46007</v>
      </c>
      <c r="F1639" t="s">
        <v>163</v>
      </c>
      <c r="G1639" s="3" t="s">
        <v>66</v>
      </c>
      <c r="H1639" s="3">
        <v>3530.4</v>
      </c>
      <c r="I1639" s="3">
        <v>3530.4</v>
      </c>
      <c r="J1639">
        <v>0</v>
      </c>
      <c r="K1639" s="3">
        <v>3530.4</v>
      </c>
      <c r="L1639" s="3">
        <v>578.4</v>
      </c>
      <c r="M1639" s="3">
        <v>344.15</v>
      </c>
      <c r="N1639" t="s">
        <v>52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126</v>
      </c>
      <c r="V1639" t="s">
        <v>56</v>
      </c>
      <c r="W1639" t="s">
        <v>153</v>
      </c>
      <c r="X1639" s="4">
        <v>0</v>
      </c>
      <c r="Y1639" t="s">
        <v>201</v>
      </c>
      <c r="Z1639" s="3">
        <v>0</v>
      </c>
      <c r="AA1639">
        <v>0</v>
      </c>
      <c r="AB1639">
        <v>578.4</v>
      </c>
      <c r="AC1639">
        <v>0</v>
      </c>
      <c r="AD1639" s="3">
        <v>0</v>
      </c>
      <c r="AE1639" s="3">
        <v>800</v>
      </c>
      <c r="AF1639" t="s">
        <v>54</v>
      </c>
      <c r="AG1639" t="s">
        <v>59</v>
      </c>
      <c r="AH1639" t="s">
        <v>165</v>
      </c>
      <c r="AI1639" t="s">
        <v>60</v>
      </c>
      <c r="AJ1639" t="s">
        <v>92</v>
      </c>
      <c r="AK1639" s="5">
        <v>46009.621180555558</v>
      </c>
      <c r="AO1639" t="s">
        <v>54</v>
      </c>
      <c r="AP1639">
        <v>0</v>
      </c>
      <c r="AR1639" t="s">
        <v>54</v>
      </c>
      <c r="AS1639" t="s">
        <v>54</v>
      </c>
      <c r="AT1639">
        <v>5486</v>
      </c>
      <c r="AU1639" t="s">
        <v>55</v>
      </c>
    </row>
    <row r="1640" spans="1:47" x14ac:dyDescent="0.25">
      <c r="A1640" t="s">
        <v>47</v>
      </c>
      <c r="B1640" s="1">
        <v>38391</v>
      </c>
      <c r="C1640" t="s">
        <v>48</v>
      </c>
      <c r="D1640" t="s">
        <v>49</v>
      </c>
      <c r="E1640" s="2">
        <v>46008</v>
      </c>
      <c r="F1640" t="s">
        <v>101</v>
      </c>
      <c r="G1640" t="s">
        <v>94</v>
      </c>
      <c r="H1640" s="3">
        <v>3060</v>
      </c>
      <c r="I1640" s="3">
        <v>3060</v>
      </c>
      <c r="J1640">
        <v>0</v>
      </c>
      <c r="K1640" s="3">
        <v>3519</v>
      </c>
      <c r="L1640" s="3">
        <v>550</v>
      </c>
      <c r="M1640" s="3">
        <v>192.5</v>
      </c>
      <c r="N1640" t="s">
        <v>84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9</v>
      </c>
      <c r="V1640" t="s">
        <v>71</v>
      </c>
      <c r="W1640" t="s">
        <v>102</v>
      </c>
      <c r="X1640" s="4">
        <v>0</v>
      </c>
      <c r="Y1640" t="s">
        <v>58</v>
      </c>
      <c r="Z1640" s="3">
        <v>550</v>
      </c>
      <c r="AA1640">
        <v>0</v>
      </c>
      <c r="AB1640">
        <v>0</v>
      </c>
      <c r="AC1640">
        <v>0</v>
      </c>
      <c r="AD1640" s="3">
        <v>0</v>
      </c>
      <c r="AE1640" s="3">
        <v>2000</v>
      </c>
      <c r="AF1640" t="s">
        <v>54</v>
      </c>
      <c r="AG1640" t="s">
        <v>59</v>
      </c>
      <c r="AH1640" t="s">
        <v>103</v>
      </c>
      <c r="AI1640" t="s">
        <v>73</v>
      </c>
      <c r="AJ1640" t="s">
        <v>73</v>
      </c>
      <c r="AK1640" s="5">
        <v>46008.669166666667</v>
      </c>
      <c r="AO1640" t="s">
        <v>54</v>
      </c>
      <c r="AP1640">
        <v>0</v>
      </c>
      <c r="AR1640" t="s">
        <v>54</v>
      </c>
      <c r="AS1640" t="s">
        <v>54</v>
      </c>
      <c r="AT1640">
        <v>161</v>
      </c>
      <c r="AU1640" t="s">
        <v>55</v>
      </c>
    </row>
    <row r="1641" spans="1:47" x14ac:dyDescent="0.25">
      <c r="A1641" t="s">
        <v>47</v>
      </c>
      <c r="B1641" s="1">
        <v>38392</v>
      </c>
      <c r="C1641" t="s">
        <v>48</v>
      </c>
      <c r="D1641" t="s">
        <v>49</v>
      </c>
      <c r="E1641" s="2">
        <v>46008</v>
      </c>
      <c r="F1641" t="s">
        <v>150</v>
      </c>
      <c r="G1641" t="s">
        <v>66</v>
      </c>
      <c r="H1641" s="3">
        <v>9606</v>
      </c>
      <c r="I1641" s="3">
        <v>9606</v>
      </c>
      <c r="J1641">
        <v>0</v>
      </c>
      <c r="K1641" s="3">
        <v>11046.9</v>
      </c>
      <c r="L1641" s="3">
        <v>1339.2</v>
      </c>
      <c r="M1641" s="3">
        <v>830.3</v>
      </c>
      <c r="N1641" t="s">
        <v>84</v>
      </c>
      <c r="O1641" t="s">
        <v>53</v>
      </c>
      <c r="P1641" t="s">
        <v>53</v>
      </c>
      <c r="Q1641" t="s">
        <v>53</v>
      </c>
      <c r="R1641" t="s">
        <v>54</v>
      </c>
      <c r="S1641" t="s">
        <v>54</v>
      </c>
      <c r="T1641" t="s">
        <v>55</v>
      </c>
      <c r="U1641">
        <v>9</v>
      </c>
      <c r="V1641" t="s">
        <v>71</v>
      </c>
      <c r="W1641" t="s">
        <v>57</v>
      </c>
      <c r="X1641" s="4">
        <v>0</v>
      </c>
      <c r="Y1641" t="s">
        <v>58</v>
      </c>
      <c r="Z1641">
        <v>0</v>
      </c>
      <c r="AA1641">
        <v>0</v>
      </c>
      <c r="AB1641" s="3">
        <v>1339.2</v>
      </c>
      <c r="AC1641">
        <v>0</v>
      </c>
      <c r="AD1641">
        <v>0</v>
      </c>
      <c r="AE1641" s="3">
        <v>600</v>
      </c>
      <c r="AF1641" t="s">
        <v>54</v>
      </c>
      <c r="AG1641" t="s">
        <v>59</v>
      </c>
      <c r="AI1641" t="s">
        <v>73</v>
      </c>
      <c r="AJ1641" t="s">
        <v>73</v>
      </c>
      <c r="AK1641" s="5">
        <v>46008.417245370372</v>
      </c>
      <c r="AO1641" t="s">
        <v>54</v>
      </c>
      <c r="AP1641">
        <v>0</v>
      </c>
      <c r="AR1641" t="s">
        <v>54</v>
      </c>
      <c r="AS1641" t="s">
        <v>54</v>
      </c>
      <c r="AT1641">
        <v>1009</v>
      </c>
      <c r="AU1641" t="s">
        <v>55</v>
      </c>
    </row>
    <row r="1642" spans="1:47" x14ac:dyDescent="0.25">
      <c r="A1642" t="s">
        <v>47</v>
      </c>
      <c r="B1642" s="1">
        <v>38393</v>
      </c>
      <c r="C1642" t="s">
        <v>48</v>
      </c>
      <c r="D1642" t="s">
        <v>49</v>
      </c>
      <c r="E1642" s="2">
        <v>46008</v>
      </c>
      <c r="F1642" t="s">
        <v>256</v>
      </c>
      <c r="G1642" t="s">
        <v>69</v>
      </c>
      <c r="H1642" s="3">
        <v>12648.6</v>
      </c>
      <c r="I1642" s="3">
        <v>12648.6</v>
      </c>
      <c r="J1642">
        <v>0</v>
      </c>
      <c r="K1642" s="3">
        <v>14545.89</v>
      </c>
      <c r="L1642" s="3">
        <v>1395.24</v>
      </c>
      <c r="M1642" s="3">
        <v>791.74</v>
      </c>
      <c r="N1642" t="s">
        <v>77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83</v>
      </c>
      <c r="W1642" t="s">
        <v>114</v>
      </c>
      <c r="X1642" s="4">
        <v>0</v>
      </c>
      <c r="Y1642" t="s">
        <v>62</v>
      </c>
      <c r="AB1642" s="3"/>
      <c r="AE1642" s="3"/>
      <c r="AK1642" s="5"/>
    </row>
    <row r="1643" spans="1:47" x14ac:dyDescent="0.25">
      <c r="A1643" t="s">
        <v>63</v>
      </c>
      <c r="B1643" s="1">
        <v>0</v>
      </c>
      <c r="C1643">
        <v>0</v>
      </c>
      <c r="D1643" s="3">
        <v>1295</v>
      </c>
      <c r="E1643" s="2">
        <v>0</v>
      </c>
      <c r="F1643">
        <v>100.24</v>
      </c>
      <c r="G1643" s="3">
        <v>1410</v>
      </c>
      <c r="H1643" s="3" t="s">
        <v>54</v>
      </c>
      <c r="I1643" s="3" t="s">
        <v>59</v>
      </c>
      <c r="J1643" t="s">
        <v>79</v>
      </c>
      <c r="K1643" s="3" t="s">
        <v>80</v>
      </c>
      <c r="L1643" s="3" t="s">
        <v>73</v>
      </c>
      <c r="M1643" s="3">
        <v>46008.668958333335</v>
      </c>
      <c r="Q1643" t="s">
        <v>54</v>
      </c>
      <c r="R1643">
        <v>0</v>
      </c>
      <c r="T1643" t="s">
        <v>54</v>
      </c>
      <c r="U1643" t="s">
        <v>54</v>
      </c>
      <c r="V1643">
        <v>1920</v>
      </c>
      <c r="W1643" t="s">
        <v>55</v>
      </c>
      <c r="X1643" s="4"/>
      <c r="AA1643" s="3"/>
      <c r="AE1643" s="3"/>
      <c r="AK1643" s="5"/>
    </row>
    <row r="1644" spans="1:47" x14ac:dyDescent="0.25">
      <c r="A1644" t="s">
        <v>47</v>
      </c>
      <c r="B1644" s="1">
        <v>38394</v>
      </c>
      <c r="C1644" t="s">
        <v>48</v>
      </c>
      <c r="D1644" s="3" t="s">
        <v>49</v>
      </c>
      <c r="E1644" s="2">
        <v>46027</v>
      </c>
      <c r="F1644" t="s">
        <v>50</v>
      </c>
      <c r="G1644" s="3" t="s">
        <v>51</v>
      </c>
      <c r="H1644" s="3">
        <v>26483</v>
      </c>
      <c r="I1644" s="3">
        <v>26483</v>
      </c>
      <c r="J1644">
        <v>0</v>
      </c>
      <c r="K1644" s="3">
        <v>30455.45</v>
      </c>
      <c r="L1644" s="3">
        <v>3792.3</v>
      </c>
      <c r="M1644" s="3">
        <v>1900.38</v>
      </c>
      <c r="N1644" t="s">
        <v>52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126</v>
      </c>
      <c r="V1644" t="s">
        <v>56</v>
      </c>
      <c r="W1644" t="s">
        <v>57</v>
      </c>
      <c r="X1644" s="4">
        <v>0</v>
      </c>
      <c r="Y1644" t="s">
        <v>58</v>
      </c>
      <c r="Z1644" s="3">
        <v>3792.3</v>
      </c>
      <c r="AA1644" s="3">
        <v>0</v>
      </c>
      <c r="AB1644" s="3">
        <v>0</v>
      </c>
      <c r="AC1644">
        <v>0</v>
      </c>
      <c r="AD1644">
        <v>0</v>
      </c>
      <c r="AE1644" s="3">
        <v>1600</v>
      </c>
      <c r="AF1644" t="s">
        <v>54</v>
      </c>
      <c r="AG1644" t="s">
        <v>59</v>
      </c>
      <c r="AI1644" t="s">
        <v>60</v>
      </c>
      <c r="AJ1644" t="s">
        <v>60</v>
      </c>
      <c r="AK1644" s="5">
        <v>46027.438668981478</v>
      </c>
      <c r="AO1644" t="s">
        <v>54</v>
      </c>
      <c r="AP1644">
        <v>0</v>
      </c>
      <c r="AR1644" t="s">
        <v>54</v>
      </c>
      <c r="AS1644" t="s">
        <v>54</v>
      </c>
      <c r="AT1644">
        <v>6611</v>
      </c>
      <c r="AU1644" t="s">
        <v>55</v>
      </c>
    </row>
    <row r="1645" spans="1:47" x14ac:dyDescent="0.25">
      <c r="A1645" t="s">
        <v>47</v>
      </c>
      <c r="B1645" s="1">
        <v>38395</v>
      </c>
      <c r="C1645" t="s">
        <v>48</v>
      </c>
      <c r="D1645" t="s">
        <v>49</v>
      </c>
      <c r="E1645" s="2">
        <v>46027</v>
      </c>
      <c r="F1645" t="s">
        <v>61</v>
      </c>
      <c r="G1645" t="s">
        <v>51</v>
      </c>
      <c r="H1645" s="3">
        <v>13167</v>
      </c>
      <c r="I1645" s="3">
        <v>13167</v>
      </c>
      <c r="J1645">
        <v>0</v>
      </c>
      <c r="K1645" s="3">
        <v>15142.05</v>
      </c>
      <c r="L1645" s="3">
        <v>1604.7</v>
      </c>
      <c r="M1645" s="3">
        <v>994.91</v>
      </c>
      <c r="N1645" t="s">
        <v>52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126</v>
      </c>
      <c r="V1645" t="s">
        <v>56</v>
      </c>
      <c r="W1645" t="s">
        <v>57</v>
      </c>
      <c r="X1645" s="4">
        <v>0</v>
      </c>
      <c r="Y1645" t="s">
        <v>62</v>
      </c>
      <c r="Z1645" s="3"/>
      <c r="AB1645" s="3"/>
      <c r="AE1645" s="3"/>
      <c r="AK1645" s="5"/>
    </row>
    <row r="1646" spans="1:47" x14ac:dyDescent="0.25">
      <c r="A1646" t="s">
        <v>63</v>
      </c>
      <c r="B1646" s="1">
        <v>0</v>
      </c>
      <c r="C1646">
        <v>0</v>
      </c>
      <c r="D1646" s="3">
        <v>1604.7</v>
      </c>
      <c r="E1646" s="2">
        <v>0</v>
      </c>
      <c r="F1646">
        <v>0</v>
      </c>
      <c r="G1646" s="3">
        <v>1600</v>
      </c>
      <c r="H1646" s="3" t="s">
        <v>54</v>
      </c>
      <c r="I1646" s="3" t="s">
        <v>59</v>
      </c>
      <c r="J1646" t="s">
        <v>64</v>
      </c>
      <c r="K1646" s="3" t="s">
        <v>60</v>
      </c>
      <c r="L1646" s="3" t="s">
        <v>60</v>
      </c>
      <c r="M1646" s="3">
        <v>46027.476736111108</v>
      </c>
      <c r="Q1646" t="s">
        <v>54</v>
      </c>
      <c r="R1646">
        <v>0</v>
      </c>
      <c r="T1646" t="s">
        <v>54</v>
      </c>
      <c r="U1646" t="s">
        <v>54</v>
      </c>
      <c r="V1646">
        <v>7006</v>
      </c>
      <c r="W1646" t="s">
        <v>55</v>
      </c>
      <c r="X1646" s="4"/>
      <c r="Z1646" s="3"/>
      <c r="AE1646" s="3"/>
      <c r="AK1646" s="5"/>
    </row>
    <row r="1647" spans="1:47" x14ac:dyDescent="0.25">
      <c r="A1647" t="s">
        <v>47</v>
      </c>
      <c r="B1647" s="1">
        <v>38396</v>
      </c>
      <c r="C1647" t="s">
        <v>48</v>
      </c>
      <c r="D1647" s="3" t="s">
        <v>49</v>
      </c>
      <c r="E1647" s="2">
        <v>46027</v>
      </c>
      <c r="F1647" t="s">
        <v>65</v>
      </c>
      <c r="G1647" s="3" t="s">
        <v>66</v>
      </c>
      <c r="H1647" s="3">
        <v>11994</v>
      </c>
      <c r="I1647" s="3">
        <v>11994</v>
      </c>
      <c r="J1647">
        <v>0</v>
      </c>
      <c r="K1647" s="3">
        <v>13793.1</v>
      </c>
      <c r="L1647" s="3">
        <v>1168</v>
      </c>
      <c r="M1647" s="3">
        <v>724.16</v>
      </c>
      <c r="N1647" t="s">
        <v>52</v>
      </c>
      <c r="O1647" t="s">
        <v>53</v>
      </c>
      <c r="P1647" t="s">
        <v>53</v>
      </c>
      <c r="Q1647" t="s">
        <v>53</v>
      </c>
      <c r="R1647" t="s">
        <v>54</v>
      </c>
      <c r="S1647" t="s">
        <v>54</v>
      </c>
      <c r="T1647" t="s">
        <v>55</v>
      </c>
      <c r="U1647">
        <v>126</v>
      </c>
      <c r="V1647" t="s">
        <v>56</v>
      </c>
      <c r="W1647" t="s">
        <v>67</v>
      </c>
      <c r="X1647" s="4">
        <v>0</v>
      </c>
      <c r="Y1647" t="s">
        <v>58</v>
      </c>
      <c r="Z1647">
        <v>0</v>
      </c>
      <c r="AA1647">
        <v>0</v>
      </c>
      <c r="AB1647" s="3">
        <v>1168</v>
      </c>
      <c r="AC1647">
        <v>0</v>
      </c>
      <c r="AD1647" s="3">
        <v>0</v>
      </c>
      <c r="AE1647" s="3">
        <v>400</v>
      </c>
      <c r="AF1647" t="s">
        <v>54</v>
      </c>
      <c r="AG1647" t="s">
        <v>59</v>
      </c>
      <c r="AI1647" t="s">
        <v>60</v>
      </c>
      <c r="AJ1647" t="s">
        <v>60</v>
      </c>
      <c r="AK1647" s="5">
        <v>46027.627013888887</v>
      </c>
      <c r="AO1647" t="s">
        <v>54</v>
      </c>
      <c r="AP1647">
        <v>0</v>
      </c>
      <c r="AR1647" t="s">
        <v>54</v>
      </c>
      <c r="AS1647" t="s">
        <v>54</v>
      </c>
      <c r="AT1647">
        <v>1269</v>
      </c>
      <c r="AU1647" t="s">
        <v>55</v>
      </c>
    </row>
    <row r="1648" spans="1:47" x14ac:dyDescent="0.25">
      <c r="A1648" t="s">
        <v>47</v>
      </c>
      <c r="B1648" s="1">
        <v>38397</v>
      </c>
      <c r="C1648" t="s">
        <v>48</v>
      </c>
      <c r="D1648" t="s">
        <v>49</v>
      </c>
      <c r="E1648" s="2">
        <v>46028</v>
      </c>
      <c r="F1648" t="s">
        <v>68</v>
      </c>
      <c r="G1648" t="s">
        <v>69</v>
      </c>
      <c r="H1648" s="3">
        <v>3220</v>
      </c>
      <c r="I1648" s="3">
        <v>3220</v>
      </c>
      <c r="J1648">
        <v>0</v>
      </c>
      <c r="K1648" s="3">
        <v>3703</v>
      </c>
      <c r="L1648" s="3">
        <v>516</v>
      </c>
      <c r="M1648" s="3">
        <v>242.52</v>
      </c>
      <c r="N1648" t="s">
        <v>70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76</v>
      </c>
      <c r="V1648" t="s">
        <v>71</v>
      </c>
      <c r="W1648" t="s">
        <v>72</v>
      </c>
      <c r="X1648" s="4">
        <v>0</v>
      </c>
      <c r="Y1648" t="s">
        <v>62</v>
      </c>
      <c r="Z1648" s="3"/>
      <c r="AB1648" s="3"/>
      <c r="AE1648" s="3"/>
      <c r="AK1648" s="5"/>
    </row>
    <row r="1649" spans="1:47" x14ac:dyDescent="0.25">
      <c r="A1649" t="s">
        <v>63</v>
      </c>
      <c r="B1649" s="1">
        <v>0</v>
      </c>
      <c r="C1649">
        <v>0</v>
      </c>
      <c r="D1649" s="3">
        <v>0</v>
      </c>
      <c r="E1649" s="2">
        <v>0</v>
      </c>
      <c r="F1649">
        <v>516</v>
      </c>
      <c r="G1649">
        <v>400</v>
      </c>
      <c r="H1649" s="3" t="s">
        <v>54</v>
      </c>
      <c r="I1649" s="3" t="s">
        <v>59</v>
      </c>
      <c r="K1649" s="3" t="s">
        <v>73</v>
      </c>
      <c r="L1649" s="3" t="s">
        <v>73</v>
      </c>
      <c r="M1649" s="3">
        <v>46028.488078703704</v>
      </c>
      <c r="Q1649" t="s">
        <v>54</v>
      </c>
      <c r="R1649">
        <v>0</v>
      </c>
      <c r="T1649" t="s">
        <v>54</v>
      </c>
      <c r="U1649" t="s">
        <v>54</v>
      </c>
      <c r="V1649">
        <v>139</v>
      </c>
      <c r="W1649" t="s">
        <v>55</v>
      </c>
      <c r="X1649" s="4"/>
      <c r="AK1649" s="5"/>
    </row>
    <row r="1650" spans="1:47" x14ac:dyDescent="0.25">
      <c r="A1650" t="s">
        <v>47</v>
      </c>
      <c r="B1650" s="1">
        <v>38398</v>
      </c>
      <c r="C1650" t="s">
        <v>48</v>
      </c>
      <c r="D1650" t="s">
        <v>49</v>
      </c>
      <c r="E1650" s="2">
        <v>46028</v>
      </c>
      <c r="F1650" t="s">
        <v>74</v>
      </c>
      <c r="G1650" s="3" t="s">
        <v>51</v>
      </c>
      <c r="H1650" s="3">
        <v>3283</v>
      </c>
      <c r="I1650" s="3">
        <v>3283</v>
      </c>
      <c r="J1650">
        <v>0</v>
      </c>
      <c r="K1650" s="3">
        <v>3775.45</v>
      </c>
      <c r="L1650">
        <v>353</v>
      </c>
      <c r="M1650" s="3">
        <v>218.86</v>
      </c>
      <c r="N1650" t="s">
        <v>75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43</v>
      </c>
      <c r="W1650" t="s">
        <v>72</v>
      </c>
      <c r="X1650" s="4">
        <v>0</v>
      </c>
      <c r="Y1650" t="s">
        <v>58</v>
      </c>
      <c r="Z1650">
        <v>0</v>
      </c>
      <c r="AA1650">
        <v>0</v>
      </c>
      <c r="AB1650">
        <v>353</v>
      </c>
      <c r="AC1650">
        <v>0</v>
      </c>
      <c r="AD1650">
        <v>0</v>
      </c>
      <c r="AE1650" s="3">
        <v>200</v>
      </c>
      <c r="AF1650" t="s">
        <v>54</v>
      </c>
      <c r="AG1650" t="s">
        <v>59</v>
      </c>
      <c r="AI1650" t="s">
        <v>73</v>
      </c>
      <c r="AJ1650" t="s">
        <v>73</v>
      </c>
      <c r="AK1650" s="5">
        <v>46044.706817129627</v>
      </c>
      <c r="AO1650" t="s">
        <v>54</v>
      </c>
      <c r="AP1650">
        <v>0</v>
      </c>
      <c r="AR1650" t="s">
        <v>54</v>
      </c>
      <c r="AS1650" t="s">
        <v>54</v>
      </c>
      <c r="AT1650">
        <v>8469</v>
      </c>
      <c r="AU1650" t="s">
        <v>55</v>
      </c>
    </row>
    <row r="1651" spans="1:47" x14ac:dyDescent="0.25">
      <c r="A1651" t="s">
        <v>47</v>
      </c>
      <c r="B1651" s="1">
        <v>38399</v>
      </c>
      <c r="C1651" t="s">
        <v>48</v>
      </c>
      <c r="D1651" t="s">
        <v>49</v>
      </c>
      <c r="E1651" s="2">
        <v>46028</v>
      </c>
      <c r="F1651" t="s">
        <v>76</v>
      </c>
      <c r="G1651" t="s">
        <v>69</v>
      </c>
      <c r="H1651" s="3">
        <v>14397</v>
      </c>
      <c r="I1651" s="3">
        <v>14397</v>
      </c>
      <c r="J1651">
        <v>0</v>
      </c>
      <c r="K1651" s="3">
        <v>16556.55</v>
      </c>
      <c r="L1651" s="3">
        <v>2219.1</v>
      </c>
      <c r="M1651" s="3">
        <v>1042.99</v>
      </c>
      <c r="N1651" t="s">
        <v>77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83</v>
      </c>
      <c r="W1651" t="s">
        <v>78</v>
      </c>
      <c r="X1651" s="4">
        <v>0</v>
      </c>
      <c r="Y1651" t="s">
        <v>58</v>
      </c>
      <c r="Z1651" s="3">
        <v>0</v>
      </c>
      <c r="AA1651">
        <v>0</v>
      </c>
      <c r="AB1651" s="3">
        <v>0</v>
      </c>
      <c r="AC1651">
        <v>0</v>
      </c>
      <c r="AD1651" s="3">
        <v>2219.1</v>
      </c>
      <c r="AE1651" s="3">
        <v>2600</v>
      </c>
      <c r="AF1651" t="s">
        <v>54</v>
      </c>
      <c r="AG1651" t="s">
        <v>59</v>
      </c>
      <c r="AH1651" t="s">
        <v>79</v>
      </c>
      <c r="AI1651" t="s">
        <v>80</v>
      </c>
      <c r="AJ1651" t="s">
        <v>73</v>
      </c>
      <c r="AK1651" s="5">
        <v>46028.701481481483</v>
      </c>
      <c r="AO1651" t="s">
        <v>54</v>
      </c>
      <c r="AP1651">
        <v>0</v>
      </c>
      <c r="AR1651" t="s">
        <v>54</v>
      </c>
      <c r="AS1651" t="s">
        <v>54</v>
      </c>
      <c r="AT1651">
        <v>3870</v>
      </c>
      <c r="AU1651" t="s">
        <v>55</v>
      </c>
    </row>
    <row r="1652" spans="1:47" x14ac:dyDescent="0.25">
      <c r="A1652" t="s">
        <v>47</v>
      </c>
      <c r="B1652" s="1">
        <v>38400</v>
      </c>
      <c r="C1652" t="s">
        <v>48</v>
      </c>
      <c r="D1652" t="s">
        <v>49</v>
      </c>
      <c r="E1652" s="2">
        <v>46028</v>
      </c>
      <c r="F1652" t="s">
        <v>76</v>
      </c>
      <c r="G1652" t="s">
        <v>69</v>
      </c>
      <c r="H1652" s="3">
        <v>14397</v>
      </c>
      <c r="I1652" s="3">
        <v>14397</v>
      </c>
      <c r="J1652">
        <v>0</v>
      </c>
      <c r="K1652" s="3">
        <v>16556.55</v>
      </c>
      <c r="L1652" s="3">
        <v>2219.1</v>
      </c>
      <c r="M1652" s="3">
        <v>1042.99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78</v>
      </c>
      <c r="X1652" s="4">
        <v>0</v>
      </c>
      <c r="Y1652" t="s">
        <v>58</v>
      </c>
      <c r="Z1652" s="3">
        <v>0</v>
      </c>
      <c r="AA1652">
        <v>0</v>
      </c>
      <c r="AB1652" s="3">
        <v>0</v>
      </c>
      <c r="AC1652">
        <v>0</v>
      </c>
      <c r="AD1652" s="3">
        <v>2219.1</v>
      </c>
      <c r="AE1652" s="3">
        <v>2600</v>
      </c>
      <c r="AF1652" t="s">
        <v>54</v>
      </c>
      <c r="AG1652" t="s">
        <v>59</v>
      </c>
      <c r="AH1652" t="s">
        <v>79</v>
      </c>
      <c r="AI1652" t="s">
        <v>80</v>
      </c>
      <c r="AJ1652" t="s">
        <v>73</v>
      </c>
      <c r="AK1652" s="5">
        <v>46028.703252314815</v>
      </c>
      <c r="AO1652" t="s">
        <v>54</v>
      </c>
      <c r="AP1652">
        <v>0</v>
      </c>
      <c r="AR1652" t="s">
        <v>54</v>
      </c>
      <c r="AS1652" t="s">
        <v>54</v>
      </c>
      <c r="AT1652">
        <v>3870</v>
      </c>
      <c r="AU1652" t="s">
        <v>55</v>
      </c>
    </row>
    <row r="1653" spans="1:47" x14ac:dyDescent="0.25">
      <c r="A1653" t="s">
        <v>81</v>
      </c>
      <c r="B1653" s="1">
        <v>38401</v>
      </c>
      <c r="C1653" t="s">
        <v>48</v>
      </c>
      <c r="D1653" s="3" t="s">
        <v>49</v>
      </c>
      <c r="E1653" s="2">
        <v>46029</v>
      </c>
      <c r="F1653" t="s">
        <v>82</v>
      </c>
      <c r="G1653" s="3" t="s">
        <v>83</v>
      </c>
      <c r="H1653" s="3">
        <v>2475</v>
      </c>
      <c r="I1653" s="3">
        <v>2475</v>
      </c>
      <c r="J1653">
        <v>0</v>
      </c>
      <c r="K1653" s="3">
        <v>2475</v>
      </c>
      <c r="L1653" s="3">
        <v>622.75</v>
      </c>
      <c r="M1653" s="3">
        <v>228.55</v>
      </c>
      <c r="N1653" t="s">
        <v>84</v>
      </c>
      <c r="O1653" t="s">
        <v>53</v>
      </c>
      <c r="P1653" t="s">
        <v>53</v>
      </c>
      <c r="Q1653" t="s">
        <v>53</v>
      </c>
      <c r="R1653" t="s">
        <v>54</v>
      </c>
      <c r="S1653" t="s">
        <v>54</v>
      </c>
      <c r="T1653" t="s">
        <v>55</v>
      </c>
      <c r="U1653">
        <v>9</v>
      </c>
      <c r="V1653" t="s">
        <v>71</v>
      </c>
      <c r="W1653" t="s">
        <v>85</v>
      </c>
      <c r="X1653" s="4">
        <v>0</v>
      </c>
      <c r="Y1653" t="s">
        <v>62</v>
      </c>
      <c r="Z1653" s="3"/>
      <c r="AB1653" s="3"/>
      <c r="AD1653" s="3"/>
      <c r="AE1653" s="3"/>
      <c r="AK1653" s="5"/>
    </row>
    <row r="1654" spans="1:47" x14ac:dyDescent="0.25">
      <c r="A1654" t="s">
        <v>63</v>
      </c>
      <c r="B1654" s="1">
        <v>622.75</v>
      </c>
      <c r="C1654">
        <v>0</v>
      </c>
      <c r="D1654" s="3">
        <v>0</v>
      </c>
      <c r="E1654" s="2">
        <v>0</v>
      </c>
      <c r="F1654">
        <v>0</v>
      </c>
      <c r="G1654" s="3">
        <v>500</v>
      </c>
      <c r="H1654" s="3" t="s">
        <v>54</v>
      </c>
      <c r="I1654" s="3" t="s">
        <v>59</v>
      </c>
      <c r="K1654" s="3" t="s">
        <v>73</v>
      </c>
      <c r="L1654" s="3" t="s">
        <v>73</v>
      </c>
      <c r="M1654" s="3">
        <v>46029.349988425929</v>
      </c>
      <c r="Q1654" t="s">
        <v>54</v>
      </c>
      <c r="R1654">
        <v>0</v>
      </c>
      <c r="T1654" t="s">
        <v>54</v>
      </c>
      <c r="U1654" t="s">
        <v>54</v>
      </c>
      <c r="V1654">
        <v>2154</v>
      </c>
      <c r="W1654" t="s">
        <v>55</v>
      </c>
      <c r="X1654" s="4"/>
      <c r="Z1654" s="3"/>
      <c r="AB1654" s="3"/>
      <c r="AE1654" s="3"/>
      <c r="AK1654" s="5"/>
    </row>
    <row r="1655" spans="1:47" x14ac:dyDescent="0.25">
      <c r="A1655" t="s">
        <v>81</v>
      </c>
      <c r="B1655" s="1">
        <v>38402</v>
      </c>
      <c r="C1655" t="s">
        <v>48</v>
      </c>
      <c r="D1655" t="s">
        <v>49</v>
      </c>
      <c r="E1655" s="2">
        <v>46029</v>
      </c>
      <c r="F1655" t="s">
        <v>86</v>
      </c>
      <c r="G1655" t="s">
        <v>87</v>
      </c>
      <c r="H1655" s="3">
        <v>2475</v>
      </c>
      <c r="I1655" s="3">
        <v>2475</v>
      </c>
      <c r="J1655">
        <v>0</v>
      </c>
      <c r="K1655" s="3">
        <v>2475</v>
      </c>
      <c r="L1655" s="3">
        <v>622.75</v>
      </c>
      <c r="M1655" s="3">
        <v>228.55</v>
      </c>
      <c r="N1655" t="s">
        <v>84</v>
      </c>
      <c r="O1655" t="s">
        <v>53</v>
      </c>
      <c r="P1655" t="s">
        <v>53</v>
      </c>
      <c r="Q1655" t="s">
        <v>53</v>
      </c>
      <c r="R1655" t="s">
        <v>54</v>
      </c>
      <c r="S1655" t="s">
        <v>54</v>
      </c>
      <c r="T1655" t="s">
        <v>55</v>
      </c>
      <c r="U1655">
        <v>9</v>
      </c>
      <c r="W1655" t="s">
        <v>85</v>
      </c>
      <c r="X1655" s="4">
        <v>0</v>
      </c>
      <c r="Y1655" t="s">
        <v>62</v>
      </c>
      <c r="Z1655" s="3"/>
      <c r="AB1655" s="3"/>
      <c r="AE1655" s="3"/>
      <c r="AK1655" s="5"/>
    </row>
    <row r="1656" spans="1:47" x14ac:dyDescent="0.25">
      <c r="A1656" t="s">
        <v>63</v>
      </c>
      <c r="B1656" s="1">
        <v>622.75</v>
      </c>
      <c r="C1656">
        <v>0</v>
      </c>
      <c r="D1656" s="3">
        <v>0</v>
      </c>
      <c r="E1656" s="2">
        <v>0</v>
      </c>
      <c r="F1656">
        <v>0</v>
      </c>
      <c r="G1656" s="3">
        <v>500</v>
      </c>
      <c r="H1656" s="3" t="s">
        <v>54</v>
      </c>
      <c r="I1656" s="3" t="s">
        <v>59</v>
      </c>
      <c r="K1656" s="3" t="s">
        <v>73</v>
      </c>
      <c r="L1656" s="3" t="s">
        <v>73</v>
      </c>
      <c r="M1656" s="3">
        <v>46029.355856481481</v>
      </c>
      <c r="Q1656" t="s">
        <v>54</v>
      </c>
      <c r="R1656">
        <v>0</v>
      </c>
      <c r="T1656" t="s">
        <v>54</v>
      </c>
      <c r="U1656" t="s">
        <v>54</v>
      </c>
      <c r="V1656">
        <v>5254</v>
      </c>
      <c r="W1656" t="s">
        <v>55</v>
      </c>
      <c r="X1656" s="4"/>
      <c r="Z1656" s="3"/>
      <c r="AB1656" s="3"/>
      <c r="AE1656" s="3"/>
      <c r="AK1656" s="5"/>
    </row>
    <row r="1657" spans="1:47" x14ac:dyDescent="0.25">
      <c r="A1657" t="s">
        <v>47</v>
      </c>
      <c r="B1657" s="1">
        <v>38403</v>
      </c>
      <c r="C1657" t="s">
        <v>48</v>
      </c>
      <c r="D1657" s="3" t="s">
        <v>49</v>
      </c>
      <c r="E1657" s="2">
        <v>46029</v>
      </c>
      <c r="F1657" t="s">
        <v>88</v>
      </c>
      <c r="G1657" s="3" t="s">
        <v>89</v>
      </c>
      <c r="H1657" s="3">
        <v>1963.5</v>
      </c>
      <c r="I1657" s="3">
        <v>1963.5</v>
      </c>
      <c r="J1657">
        <v>0</v>
      </c>
      <c r="K1657" s="3">
        <v>2258.0300000000002</v>
      </c>
      <c r="L1657" s="3">
        <v>496.65</v>
      </c>
      <c r="M1657" s="3">
        <v>182.27</v>
      </c>
      <c r="N1657" t="s">
        <v>84</v>
      </c>
      <c r="O1657" t="s">
        <v>53</v>
      </c>
      <c r="P1657" t="s">
        <v>53</v>
      </c>
      <c r="Q1657" t="s">
        <v>53</v>
      </c>
      <c r="R1657" t="s">
        <v>54</v>
      </c>
      <c r="S1657" t="s">
        <v>54</v>
      </c>
      <c r="T1657" t="s">
        <v>55</v>
      </c>
      <c r="U1657">
        <v>9</v>
      </c>
      <c r="V1657" t="s">
        <v>71</v>
      </c>
      <c r="W1657" t="s">
        <v>90</v>
      </c>
      <c r="X1657" s="4">
        <v>0</v>
      </c>
      <c r="Y1657" t="s">
        <v>62</v>
      </c>
      <c r="AB1657" s="3"/>
      <c r="AK1657" s="5"/>
    </row>
    <row r="1658" spans="1:47" x14ac:dyDescent="0.25">
      <c r="A1658" t="s">
        <v>63</v>
      </c>
      <c r="B1658" s="1">
        <v>496.65</v>
      </c>
      <c r="C1658">
        <v>0</v>
      </c>
      <c r="D1658">
        <v>0</v>
      </c>
      <c r="E1658" s="2">
        <v>0</v>
      </c>
      <c r="F1658">
        <v>0</v>
      </c>
      <c r="G1658" s="3">
        <v>550</v>
      </c>
      <c r="H1658" s="3" t="s">
        <v>54</v>
      </c>
      <c r="I1658" s="3" t="s">
        <v>91</v>
      </c>
      <c r="K1658" s="3" t="s">
        <v>92</v>
      </c>
      <c r="L1658" s="3" t="s">
        <v>92</v>
      </c>
      <c r="M1658" s="3">
        <v>46029.364594907405</v>
      </c>
      <c r="Q1658" t="s">
        <v>54</v>
      </c>
      <c r="R1658">
        <v>0</v>
      </c>
      <c r="T1658" t="s">
        <v>54</v>
      </c>
      <c r="U1658" t="s">
        <v>54</v>
      </c>
      <c r="V1658">
        <v>2291</v>
      </c>
      <c r="W1658" t="s">
        <v>55</v>
      </c>
      <c r="X1658" s="4"/>
      <c r="Z1658" s="3"/>
      <c r="AB1658" s="3"/>
      <c r="AE1658" s="3"/>
      <c r="AK1658" s="5"/>
    </row>
    <row r="1659" spans="1:47" x14ac:dyDescent="0.25">
      <c r="A1659" t="s">
        <v>47</v>
      </c>
      <c r="B1659" s="1">
        <v>38404</v>
      </c>
      <c r="C1659" t="s">
        <v>48</v>
      </c>
      <c r="D1659" t="s">
        <v>49</v>
      </c>
      <c r="E1659" s="2">
        <v>46029</v>
      </c>
      <c r="F1659" t="s">
        <v>93</v>
      </c>
      <c r="G1659" t="s">
        <v>94</v>
      </c>
      <c r="H1659" s="3">
        <v>2031.3</v>
      </c>
      <c r="I1659" s="3">
        <v>2031.3</v>
      </c>
      <c r="J1659">
        <v>0</v>
      </c>
      <c r="K1659" s="3">
        <v>2335.9899999999998</v>
      </c>
      <c r="L1659" s="3">
        <v>86.12</v>
      </c>
      <c r="M1659" s="3">
        <v>57.47</v>
      </c>
      <c r="N1659" t="s">
        <v>84</v>
      </c>
      <c r="O1659" t="s">
        <v>53</v>
      </c>
      <c r="P1659" t="s">
        <v>53</v>
      </c>
      <c r="Q1659" t="s">
        <v>53</v>
      </c>
      <c r="R1659" t="s">
        <v>54</v>
      </c>
      <c r="S1659" t="s">
        <v>54</v>
      </c>
      <c r="T1659" t="s">
        <v>55</v>
      </c>
      <c r="U1659">
        <v>9</v>
      </c>
      <c r="V1659" t="s">
        <v>71</v>
      </c>
      <c r="W1659" t="s">
        <v>95</v>
      </c>
      <c r="X1659" s="4">
        <v>0</v>
      </c>
      <c r="Y1659" t="s">
        <v>62</v>
      </c>
      <c r="AB1659" s="3"/>
      <c r="AD1659" s="3"/>
      <c r="AE1659" s="3"/>
      <c r="AK1659" s="5"/>
    </row>
    <row r="1660" spans="1:47" x14ac:dyDescent="0.25">
      <c r="A1660" t="s">
        <v>63</v>
      </c>
      <c r="B1660" s="1">
        <v>0</v>
      </c>
      <c r="C1660">
        <v>0</v>
      </c>
      <c r="D1660">
        <v>86.12</v>
      </c>
      <c r="E1660" s="2">
        <v>0</v>
      </c>
      <c r="F1660">
        <v>0</v>
      </c>
      <c r="G1660">
        <v>90</v>
      </c>
      <c r="H1660" s="3" t="s">
        <v>54</v>
      </c>
      <c r="I1660" s="3" t="s">
        <v>59</v>
      </c>
      <c r="K1660" s="3" t="s">
        <v>73</v>
      </c>
      <c r="L1660" s="3" t="s">
        <v>73</v>
      </c>
      <c r="M1660" s="3">
        <v>46029.448912037034</v>
      </c>
      <c r="Q1660" t="s">
        <v>54</v>
      </c>
      <c r="R1660">
        <v>0</v>
      </c>
      <c r="T1660" t="s">
        <v>54</v>
      </c>
      <c r="U1660" t="s">
        <v>54</v>
      </c>
      <c r="V1660">
        <v>924</v>
      </c>
      <c r="W1660" t="s">
        <v>55</v>
      </c>
      <c r="X1660" s="4"/>
      <c r="AK1660" s="5"/>
    </row>
    <row r="1661" spans="1:47" x14ac:dyDescent="0.25">
      <c r="A1661" t="s">
        <v>96</v>
      </c>
      <c r="B1661" s="1">
        <v>38405</v>
      </c>
      <c r="C1661" t="s">
        <v>48</v>
      </c>
      <c r="D1661" t="s">
        <v>49</v>
      </c>
      <c r="E1661" s="2">
        <v>46029</v>
      </c>
      <c r="F1661" t="s">
        <v>97</v>
      </c>
      <c r="G1661" s="3" t="s">
        <v>94</v>
      </c>
      <c r="H1661" s="3">
        <v>11976</v>
      </c>
      <c r="I1661" s="3">
        <v>11976</v>
      </c>
      <c r="J1661">
        <v>0</v>
      </c>
      <c r="K1661" s="3">
        <v>11976</v>
      </c>
      <c r="L1661" s="3">
        <v>2923.2</v>
      </c>
      <c r="M1661" s="3">
        <v>1072.81</v>
      </c>
      <c r="N1661" t="s">
        <v>98</v>
      </c>
      <c r="O1661" t="s">
        <v>53</v>
      </c>
      <c r="P1661" t="s">
        <v>53</v>
      </c>
      <c r="Q1661" t="s">
        <v>53</v>
      </c>
      <c r="R1661" t="s">
        <v>54</v>
      </c>
      <c r="S1661" t="s">
        <v>54</v>
      </c>
      <c r="T1661" t="s">
        <v>55</v>
      </c>
      <c r="U1661">
        <v>167</v>
      </c>
      <c r="V1661" t="s">
        <v>99</v>
      </c>
      <c r="W1661" t="s">
        <v>100</v>
      </c>
      <c r="X1661" s="4">
        <v>0</v>
      </c>
      <c r="Y1661" t="s">
        <v>58</v>
      </c>
      <c r="Z1661" s="3">
        <v>2923.2</v>
      </c>
      <c r="AA1661">
        <v>0</v>
      </c>
      <c r="AB1661">
        <v>0</v>
      </c>
      <c r="AC1661">
        <v>0</v>
      </c>
      <c r="AD1661" s="3">
        <v>0</v>
      </c>
      <c r="AE1661" s="3">
        <v>2400</v>
      </c>
      <c r="AF1661" t="s">
        <v>54</v>
      </c>
      <c r="AG1661" t="s">
        <v>59</v>
      </c>
      <c r="AI1661" t="s">
        <v>73</v>
      </c>
      <c r="AJ1661" t="s">
        <v>73</v>
      </c>
      <c r="AK1661" s="5">
        <v>46029.466469907406</v>
      </c>
      <c r="AO1661" t="s">
        <v>54</v>
      </c>
      <c r="AP1661">
        <v>0</v>
      </c>
      <c r="AR1661" t="s">
        <v>54</v>
      </c>
      <c r="AS1661" t="s">
        <v>54</v>
      </c>
      <c r="AT1661">
        <v>2778</v>
      </c>
      <c r="AU1661" t="s">
        <v>55</v>
      </c>
    </row>
    <row r="1662" spans="1:47" x14ac:dyDescent="0.25">
      <c r="A1662" t="s">
        <v>47</v>
      </c>
      <c r="B1662" s="1">
        <v>38406</v>
      </c>
      <c r="C1662" t="s">
        <v>48</v>
      </c>
      <c r="D1662" t="s">
        <v>49</v>
      </c>
      <c r="E1662" s="2">
        <v>46029</v>
      </c>
      <c r="F1662" t="s">
        <v>101</v>
      </c>
      <c r="G1662" t="s">
        <v>94</v>
      </c>
      <c r="H1662" s="3">
        <v>6440</v>
      </c>
      <c r="I1662" s="3">
        <v>6440</v>
      </c>
      <c r="J1662">
        <v>0</v>
      </c>
      <c r="K1662" s="3">
        <v>7406</v>
      </c>
      <c r="L1662" s="3">
        <v>1150</v>
      </c>
      <c r="M1662" s="3">
        <v>426.06</v>
      </c>
      <c r="N1662" t="s">
        <v>84</v>
      </c>
      <c r="O1662" t="s">
        <v>53</v>
      </c>
      <c r="P1662" t="s">
        <v>53</v>
      </c>
      <c r="Q1662" t="s">
        <v>53</v>
      </c>
      <c r="R1662" t="s">
        <v>54</v>
      </c>
      <c r="S1662" t="s">
        <v>54</v>
      </c>
      <c r="T1662" t="s">
        <v>55</v>
      </c>
      <c r="U1662">
        <v>9</v>
      </c>
      <c r="V1662" t="s">
        <v>71</v>
      </c>
      <c r="W1662" t="s">
        <v>102</v>
      </c>
      <c r="X1662" s="4">
        <v>0</v>
      </c>
      <c r="Y1662" t="s">
        <v>58</v>
      </c>
      <c r="Z1662" s="3">
        <v>1150</v>
      </c>
      <c r="AA1662">
        <v>0</v>
      </c>
      <c r="AB1662">
        <v>0</v>
      </c>
      <c r="AC1662">
        <v>0</v>
      </c>
      <c r="AD1662" s="3">
        <v>0</v>
      </c>
      <c r="AE1662" s="3">
        <v>2000</v>
      </c>
      <c r="AF1662" t="s">
        <v>54</v>
      </c>
      <c r="AG1662" t="s">
        <v>59</v>
      </c>
      <c r="AH1662" t="s">
        <v>103</v>
      </c>
      <c r="AI1662" t="s">
        <v>92</v>
      </c>
      <c r="AJ1662" t="s">
        <v>92</v>
      </c>
      <c r="AK1662" s="5">
        <v>46029.47457175926</v>
      </c>
      <c r="AO1662" t="s">
        <v>54</v>
      </c>
      <c r="AP1662">
        <v>0</v>
      </c>
      <c r="AR1662" t="s">
        <v>54</v>
      </c>
      <c r="AS1662" t="s">
        <v>54</v>
      </c>
      <c r="AT1662">
        <v>161</v>
      </c>
      <c r="AU1662" t="s">
        <v>55</v>
      </c>
    </row>
    <row r="1663" spans="1:47" x14ac:dyDescent="0.25">
      <c r="A1663" t="s">
        <v>47</v>
      </c>
      <c r="B1663" s="1">
        <v>38407</v>
      </c>
      <c r="C1663" t="s">
        <v>48</v>
      </c>
      <c r="D1663" t="s">
        <v>49</v>
      </c>
      <c r="E1663" s="2">
        <v>46029</v>
      </c>
      <c r="F1663" t="s">
        <v>50</v>
      </c>
      <c r="G1663" t="s">
        <v>51</v>
      </c>
      <c r="H1663" s="3">
        <v>4183.2</v>
      </c>
      <c r="I1663" s="3">
        <v>4183.2</v>
      </c>
      <c r="J1663">
        <v>0</v>
      </c>
      <c r="K1663" s="3">
        <v>4810.68</v>
      </c>
      <c r="L1663" s="3">
        <v>596.64</v>
      </c>
      <c r="M1663" s="3">
        <v>232.69</v>
      </c>
      <c r="N1663" t="s">
        <v>52</v>
      </c>
      <c r="O1663" t="s">
        <v>53</v>
      </c>
      <c r="P1663" t="s">
        <v>53</v>
      </c>
      <c r="Q1663" t="s">
        <v>53</v>
      </c>
      <c r="R1663" t="s">
        <v>54</v>
      </c>
      <c r="S1663" t="s">
        <v>54</v>
      </c>
      <c r="T1663" t="s">
        <v>55</v>
      </c>
      <c r="U1663">
        <v>126</v>
      </c>
      <c r="V1663" t="s">
        <v>56</v>
      </c>
      <c r="W1663" t="s">
        <v>57</v>
      </c>
      <c r="X1663" s="4">
        <v>0</v>
      </c>
      <c r="Y1663" t="s">
        <v>58</v>
      </c>
      <c r="Z1663" s="3">
        <v>596.64</v>
      </c>
      <c r="AA1663">
        <v>0</v>
      </c>
      <c r="AB1663" s="3">
        <v>0</v>
      </c>
      <c r="AC1663">
        <v>0</v>
      </c>
      <c r="AD1663" s="3">
        <v>0</v>
      </c>
      <c r="AE1663" s="3">
        <v>240</v>
      </c>
      <c r="AF1663" t="s">
        <v>54</v>
      </c>
      <c r="AG1663" t="s">
        <v>59</v>
      </c>
      <c r="AI1663" t="s">
        <v>60</v>
      </c>
      <c r="AJ1663" t="s">
        <v>60</v>
      </c>
      <c r="AK1663" s="5">
        <v>46029.629131944443</v>
      </c>
      <c r="AO1663" t="s">
        <v>54</v>
      </c>
      <c r="AP1663">
        <v>0</v>
      </c>
      <c r="AR1663" t="s">
        <v>54</v>
      </c>
      <c r="AS1663" t="s">
        <v>54</v>
      </c>
      <c r="AT1663">
        <v>6611</v>
      </c>
      <c r="AU1663" t="s">
        <v>55</v>
      </c>
    </row>
    <row r="1664" spans="1:47" x14ac:dyDescent="0.25">
      <c r="A1664" t="s">
        <v>96</v>
      </c>
      <c r="B1664" s="1">
        <v>38408</v>
      </c>
      <c r="C1664" t="s">
        <v>48</v>
      </c>
      <c r="D1664" t="s">
        <v>49</v>
      </c>
      <c r="E1664" s="2">
        <v>46030</v>
      </c>
      <c r="F1664" t="s">
        <v>104</v>
      </c>
      <c r="G1664" t="s">
        <v>89</v>
      </c>
      <c r="H1664" s="3">
        <v>4680</v>
      </c>
      <c r="I1664" s="3">
        <v>4680</v>
      </c>
      <c r="J1664">
        <v>0</v>
      </c>
      <c r="K1664" s="3">
        <v>4680</v>
      </c>
      <c r="L1664" s="3">
        <v>674</v>
      </c>
      <c r="M1664" s="3">
        <v>257.26</v>
      </c>
      <c r="N1664" t="s">
        <v>52</v>
      </c>
      <c r="O1664" t="s">
        <v>53</v>
      </c>
      <c r="P1664" t="s">
        <v>53</v>
      </c>
      <c r="Q1664" t="s">
        <v>53</v>
      </c>
      <c r="R1664" t="s">
        <v>54</v>
      </c>
      <c r="S1664" t="s">
        <v>54</v>
      </c>
      <c r="T1664" t="s">
        <v>55</v>
      </c>
      <c r="U1664">
        <v>126</v>
      </c>
      <c r="V1664" t="s">
        <v>56</v>
      </c>
      <c r="W1664" t="s">
        <v>72</v>
      </c>
      <c r="X1664" s="4">
        <v>0</v>
      </c>
      <c r="Y1664" t="s">
        <v>58</v>
      </c>
      <c r="Z1664">
        <v>674</v>
      </c>
      <c r="AA1664">
        <v>0</v>
      </c>
      <c r="AB1664" s="3">
        <v>0</v>
      </c>
      <c r="AC1664">
        <v>0</v>
      </c>
      <c r="AD1664">
        <v>0</v>
      </c>
      <c r="AE1664" s="3">
        <v>1200</v>
      </c>
      <c r="AF1664" t="s">
        <v>54</v>
      </c>
      <c r="AG1664" t="s">
        <v>59</v>
      </c>
      <c r="AI1664" t="s">
        <v>73</v>
      </c>
      <c r="AJ1664" t="s">
        <v>73</v>
      </c>
      <c r="AK1664" s="5">
        <v>46030.464837962965</v>
      </c>
      <c r="AO1664" t="s">
        <v>54</v>
      </c>
      <c r="AP1664">
        <v>0</v>
      </c>
      <c r="AR1664" t="s">
        <v>54</v>
      </c>
      <c r="AS1664" t="s">
        <v>54</v>
      </c>
      <c r="AT1664">
        <v>7057</v>
      </c>
      <c r="AU1664" t="s">
        <v>55</v>
      </c>
    </row>
    <row r="1665" spans="1:47" x14ac:dyDescent="0.25">
      <c r="A1665" t="s">
        <v>81</v>
      </c>
      <c r="B1665" s="1">
        <v>38409</v>
      </c>
      <c r="C1665" t="s">
        <v>48</v>
      </c>
      <c r="D1665" t="s">
        <v>49</v>
      </c>
      <c r="E1665" s="2">
        <v>46030</v>
      </c>
      <c r="F1665" t="s">
        <v>105</v>
      </c>
      <c r="G1665" t="s">
        <v>94</v>
      </c>
      <c r="H1665" s="3">
        <v>6444</v>
      </c>
      <c r="I1665" s="3">
        <v>6444</v>
      </c>
      <c r="J1665">
        <v>0</v>
      </c>
      <c r="K1665" s="3">
        <v>6444</v>
      </c>
      <c r="L1665" s="3">
        <v>550.79999999999995</v>
      </c>
      <c r="M1665" s="3">
        <v>341.5</v>
      </c>
      <c r="N1665" t="s">
        <v>106</v>
      </c>
      <c r="O1665" t="s">
        <v>53</v>
      </c>
      <c r="P1665" t="s">
        <v>53</v>
      </c>
      <c r="Q1665" t="s">
        <v>53</v>
      </c>
      <c r="R1665" t="s">
        <v>54</v>
      </c>
      <c r="S1665" t="s">
        <v>54</v>
      </c>
      <c r="T1665" t="s">
        <v>55</v>
      </c>
      <c r="U1665">
        <v>145</v>
      </c>
      <c r="W1665" t="s">
        <v>107</v>
      </c>
      <c r="X1665" s="4">
        <v>0</v>
      </c>
      <c r="Y1665" t="s">
        <v>62</v>
      </c>
      <c r="AB1665" s="3"/>
      <c r="AE1665" s="3"/>
      <c r="AK1665" s="5"/>
    </row>
    <row r="1666" spans="1:47" x14ac:dyDescent="0.25">
      <c r="A1666" t="s">
        <v>63</v>
      </c>
      <c r="B1666" s="1">
        <v>0</v>
      </c>
      <c r="C1666">
        <v>0</v>
      </c>
      <c r="D1666">
        <v>550.79999999999995</v>
      </c>
      <c r="E1666" s="2">
        <v>0</v>
      </c>
      <c r="F1666">
        <v>0</v>
      </c>
      <c r="G1666" s="3">
        <v>400</v>
      </c>
      <c r="H1666" s="3" t="s">
        <v>54</v>
      </c>
      <c r="I1666" s="3" t="s">
        <v>59</v>
      </c>
      <c r="K1666" s="3" t="s">
        <v>73</v>
      </c>
      <c r="L1666" s="3" t="s">
        <v>73</v>
      </c>
      <c r="M1666" s="3">
        <v>46031.342152777775</v>
      </c>
      <c r="Q1666" t="s">
        <v>54</v>
      </c>
      <c r="R1666">
        <v>0</v>
      </c>
      <c r="T1666" t="s">
        <v>54</v>
      </c>
      <c r="U1666" t="s">
        <v>54</v>
      </c>
      <c r="V1666">
        <v>8632</v>
      </c>
      <c r="W1666" t="s">
        <v>55</v>
      </c>
      <c r="X1666" s="4"/>
      <c r="AB1666" s="3"/>
      <c r="AE1666" s="3"/>
      <c r="AK1666" s="5"/>
    </row>
    <row r="1667" spans="1:47" x14ac:dyDescent="0.25">
      <c r="A1667" t="s">
        <v>47</v>
      </c>
      <c r="B1667" s="1">
        <v>38410</v>
      </c>
      <c r="C1667" t="s">
        <v>48</v>
      </c>
      <c r="D1667" t="s">
        <v>49</v>
      </c>
      <c r="E1667" s="2">
        <v>46030</v>
      </c>
      <c r="F1667" t="s">
        <v>108</v>
      </c>
      <c r="G1667" t="s">
        <v>109</v>
      </c>
      <c r="H1667" s="3">
        <v>60090</v>
      </c>
      <c r="I1667" s="3">
        <v>60090</v>
      </c>
      <c r="J1667">
        <v>0</v>
      </c>
      <c r="K1667" s="3">
        <v>60090</v>
      </c>
      <c r="L1667" s="3">
        <v>7701</v>
      </c>
      <c r="M1667" s="3">
        <v>4774.62</v>
      </c>
      <c r="N1667" t="s">
        <v>84</v>
      </c>
      <c r="O1667" t="s">
        <v>53</v>
      </c>
      <c r="P1667" t="s">
        <v>53</v>
      </c>
      <c r="Q1667" t="s">
        <v>53</v>
      </c>
      <c r="R1667" t="s">
        <v>54</v>
      </c>
      <c r="S1667" t="s">
        <v>54</v>
      </c>
      <c r="T1667" t="s">
        <v>55</v>
      </c>
      <c r="U1667">
        <v>9</v>
      </c>
      <c r="V1667" t="s">
        <v>56</v>
      </c>
      <c r="W1667" t="s">
        <v>110</v>
      </c>
      <c r="X1667" s="4">
        <v>0</v>
      </c>
      <c r="Y1667" t="s">
        <v>58</v>
      </c>
      <c r="Z1667">
        <v>0</v>
      </c>
      <c r="AA1667">
        <v>0</v>
      </c>
      <c r="AB1667" s="3">
        <v>7701</v>
      </c>
      <c r="AC1667">
        <v>0</v>
      </c>
      <c r="AD1667" s="3">
        <v>0</v>
      </c>
      <c r="AE1667" s="3">
        <v>9000</v>
      </c>
      <c r="AF1667" t="s">
        <v>54</v>
      </c>
      <c r="AG1667" t="s">
        <v>59</v>
      </c>
      <c r="AI1667" t="s">
        <v>92</v>
      </c>
      <c r="AJ1667" t="s">
        <v>92</v>
      </c>
      <c r="AK1667" s="5">
        <v>46030.667002314818</v>
      </c>
      <c r="AO1667" t="s">
        <v>54</v>
      </c>
      <c r="AP1667">
        <v>0</v>
      </c>
      <c r="AR1667" t="s">
        <v>54</v>
      </c>
      <c r="AS1667" t="s">
        <v>54</v>
      </c>
      <c r="AT1667">
        <v>3124</v>
      </c>
      <c r="AU1667" t="s">
        <v>55</v>
      </c>
    </row>
    <row r="1668" spans="1:47" x14ac:dyDescent="0.25">
      <c r="A1668" t="s">
        <v>47</v>
      </c>
      <c r="B1668" s="1">
        <v>38411</v>
      </c>
      <c r="C1668" t="s">
        <v>48</v>
      </c>
      <c r="D1668" t="s">
        <v>49</v>
      </c>
      <c r="E1668" s="2">
        <v>46030</v>
      </c>
      <c r="F1668" t="s">
        <v>111</v>
      </c>
      <c r="G1668" t="s">
        <v>69</v>
      </c>
      <c r="H1668" s="3">
        <v>15300</v>
      </c>
      <c r="I1668" s="3">
        <v>15300</v>
      </c>
      <c r="J1668">
        <v>0</v>
      </c>
      <c r="K1668" s="3">
        <v>17595</v>
      </c>
      <c r="L1668" s="3">
        <v>3492</v>
      </c>
      <c r="M1668" s="3">
        <v>1361.88</v>
      </c>
      <c r="N1668" t="s">
        <v>52</v>
      </c>
      <c r="O1668" t="s">
        <v>53</v>
      </c>
      <c r="P1668" t="s">
        <v>53</v>
      </c>
      <c r="Q1668" t="s">
        <v>53</v>
      </c>
      <c r="R1668" t="s">
        <v>54</v>
      </c>
      <c r="S1668" t="s">
        <v>54</v>
      </c>
      <c r="T1668" t="s">
        <v>55</v>
      </c>
      <c r="U1668">
        <v>126</v>
      </c>
      <c r="V1668" t="s">
        <v>56</v>
      </c>
      <c r="W1668" t="s">
        <v>95</v>
      </c>
      <c r="X1668" s="4">
        <v>0</v>
      </c>
      <c r="Y1668" t="s">
        <v>58</v>
      </c>
      <c r="Z1668" s="3">
        <v>3492</v>
      </c>
      <c r="AA1668">
        <v>0</v>
      </c>
      <c r="AB1668" s="3">
        <v>0</v>
      </c>
      <c r="AC1668">
        <v>0</v>
      </c>
      <c r="AD1668" s="3">
        <v>0</v>
      </c>
      <c r="AE1668" s="3">
        <v>3000</v>
      </c>
      <c r="AF1668" t="s">
        <v>54</v>
      </c>
      <c r="AG1668" t="s">
        <v>59</v>
      </c>
      <c r="AI1668" t="s">
        <v>60</v>
      </c>
      <c r="AJ1668" t="s">
        <v>60</v>
      </c>
      <c r="AK1668" s="5">
        <v>46030.933159722219</v>
      </c>
      <c r="AO1668" t="s">
        <v>54</v>
      </c>
      <c r="AP1668">
        <v>0</v>
      </c>
      <c r="AR1668" t="s">
        <v>54</v>
      </c>
      <c r="AS1668" t="s">
        <v>54</v>
      </c>
      <c r="AT1668">
        <v>1877</v>
      </c>
      <c r="AU1668" t="s">
        <v>55</v>
      </c>
    </row>
    <row r="1669" spans="1:47" x14ac:dyDescent="0.25">
      <c r="A1669" t="s">
        <v>47</v>
      </c>
      <c r="B1669" s="1">
        <v>38412</v>
      </c>
      <c r="C1669" t="s">
        <v>48</v>
      </c>
      <c r="D1669" t="s">
        <v>49</v>
      </c>
      <c r="E1669" s="2">
        <v>46030</v>
      </c>
      <c r="F1669" t="s">
        <v>112</v>
      </c>
      <c r="G1669" t="s">
        <v>113</v>
      </c>
      <c r="H1669" s="3">
        <v>870</v>
      </c>
      <c r="I1669" s="3">
        <v>870</v>
      </c>
      <c r="J1669">
        <v>0</v>
      </c>
      <c r="K1669" s="3">
        <v>870</v>
      </c>
      <c r="L1669" s="3">
        <v>143.4</v>
      </c>
      <c r="M1669" s="3">
        <v>55.93</v>
      </c>
      <c r="N1669" t="s">
        <v>52</v>
      </c>
      <c r="O1669" t="s">
        <v>53</v>
      </c>
      <c r="P1669" t="s">
        <v>53</v>
      </c>
      <c r="Q1669" t="s">
        <v>53</v>
      </c>
      <c r="R1669" t="s">
        <v>54</v>
      </c>
      <c r="S1669" t="s">
        <v>54</v>
      </c>
      <c r="T1669" t="s">
        <v>55</v>
      </c>
      <c r="U1669">
        <v>126</v>
      </c>
      <c r="V1669" t="s">
        <v>56</v>
      </c>
      <c r="W1669" t="s">
        <v>114</v>
      </c>
      <c r="X1669" s="4">
        <v>0</v>
      </c>
      <c r="Y1669" t="s">
        <v>58</v>
      </c>
      <c r="Z1669" s="3">
        <v>143.4</v>
      </c>
      <c r="AA1669">
        <v>0</v>
      </c>
      <c r="AB1669">
        <v>0</v>
      </c>
      <c r="AC1669">
        <v>0</v>
      </c>
      <c r="AD1669" s="3">
        <v>0</v>
      </c>
      <c r="AE1669" s="3">
        <v>600</v>
      </c>
      <c r="AF1669" t="s">
        <v>54</v>
      </c>
      <c r="AG1669" t="s">
        <v>59</v>
      </c>
      <c r="AH1669" t="s">
        <v>115</v>
      </c>
      <c r="AI1669" t="s">
        <v>60</v>
      </c>
      <c r="AJ1669" t="s">
        <v>60</v>
      </c>
      <c r="AK1669" s="5">
        <v>46030.999918981484</v>
      </c>
      <c r="AO1669" t="s">
        <v>54</v>
      </c>
      <c r="AP1669">
        <v>0</v>
      </c>
      <c r="AR1669" t="s">
        <v>54</v>
      </c>
      <c r="AS1669" t="s">
        <v>54</v>
      </c>
      <c r="AT1669">
        <v>4089</v>
      </c>
      <c r="AU1669" t="s">
        <v>55</v>
      </c>
    </row>
    <row r="1670" spans="1:47" x14ac:dyDescent="0.25">
      <c r="A1670" t="s">
        <v>47</v>
      </c>
      <c r="B1670" s="1">
        <v>38413</v>
      </c>
      <c r="C1670" t="s">
        <v>48</v>
      </c>
      <c r="D1670" t="s">
        <v>49</v>
      </c>
      <c r="E1670" s="2">
        <v>46031</v>
      </c>
      <c r="F1670" t="s">
        <v>93</v>
      </c>
      <c r="G1670" t="s">
        <v>94</v>
      </c>
      <c r="H1670" s="3">
        <v>2031.3</v>
      </c>
      <c r="I1670" s="3">
        <v>2031.3</v>
      </c>
      <c r="J1670">
        <v>0</v>
      </c>
      <c r="K1670" s="3">
        <v>2335.9899999999998</v>
      </c>
      <c r="L1670" s="3">
        <v>86.12</v>
      </c>
      <c r="M1670" s="3">
        <v>57.47</v>
      </c>
      <c r="N1670" t="s">
        <v>84</v>
      </c>
      <c r="O1670" t="s">
        <v>53</v>
      </c>
      <c r="P1670" t="s">
        <v>53</v>
      </c>
      <c r="Q1670" t="s">
        <v>53</v>
      </c>
      <c r="R1670" t="s">
        <v>54</v>
      </c>
      <c r="S1670" t="s">
        <v>54</v>
      </c>
      <c r="T1670" t="s">
        <v>55</v>
      </c>
      <c r="U1670">
        <v>9</v>
      </c>
      <c r="V1670" t="s">
        <v>71</v>
      </c>
      <c r="W1670" t="s">
        <v>95</v>
      </c>
      <c r="X1670" s="4">
        <v>0</v>
      </c>
      <c r="Y1670" t="s">
        <v>62</v>
      </c>
      <c r="AD1670" s="3"/>
      <c r="AE1670" s="3"/>
      <c r="AK1670" s="5"/>
    </row>
    <row r="1671" spans="1:47" x14ac:dyDescent="0.25">
      <c r="A1671" t="s">
        <v>63</v>
      </c>
      <c r="B1671" s="1">
        <v>0</v>
      </c>
      <c r="C1671">
        <v>0</v>
      </c>
      <c r="D1671">
        <v>86.12</v>
      </c>
      <c r="E1671" s="2">
        <v>0</v>
      </c>
      <c r="F1671">
        <v>0</v>
      </c>
      <c r="G1671">
        <v>90</v>
      </c>
      <c r="H1671" s="3" t="s">
        <v>54</v>
      </c>
      <c r="I1671" s="3" t="s">
        <v>59</v>
      </c>
      <c r="K1671" s="3" t="s">
        <v>73</v>
      </c>
      <c r="L1671" s="3" t="s">
        <v>73</v>
      </c>
      <c r="M1671" s="3">
        <v>46034.353900462964</v>
      </c>
      <c r="Q1671" t="s">
        <v>54</v>
      </c>
      <c r="R1671">
        <v>0</v>
      </c>
      <c r="T1671" t="s">
        <v>54</v>
      </c>
      <c r="U1671" t="s">
        <v>54</v>
      </c>
      <c r="V1671">
        <v>924</v>
      </c>
      <c r="W1671" t="s">
        <v>55</v>
      </c>
      <c r="X1671" s="4"/>
      <c r="Z1671" s="3"/>
      <c r="AD1671" s="3"/>
      <c r="AE1671" s="3"/>
      <c r="AK1671" s="5"/>
    </row>
    <row r="1672" spans="1:47" x14ac:dyDescent="0.25">
      <c r="A1672" t="s">
        <v>81</v>
      </c>
      <c r="B1672" s="1">
        <v>38414</v>
      </c>
      <c r="C1672" t="s">
        <v>48</v>
      </c>
      <c r="D1672" t="s">
        <v>49</v>
      </c>
      <c r="E1672" s="2">
        <v>46031</v>
      </c>
      <c r="F1672" t="s">
        <v>116</v>
      </c>
      <c r="G1672" t="s">
        <v>66</v>
      </c>
      <c r="H1672" s="3">
        <v>13230</v>
      </c>
      <c r="I1672" s="3">
        <v>13230</v>
      </c>
      <c r="J1672">
        <v>0</v>
      </c>
      <c r="K1672" s="3">
        <v>13230</v>
      </c>
      <c r="L1672" s="3">
        <v>3669</v>
      </c>
      <c r="M1672" s="3">
        <v>1346.52</v>
      </c>
      <c r="N1672" t="s">
        <v>84</v>
      </c>
      <c r="O1672" t="s">
        <v>53</v>
      </c>
      <c r="P1672" t="s">
        <v>53</v>
      </c>
      <c r="Q1672" t="s">
        <v>53</v>
      </c>
      <c r="R1672" t="s">
        <v>54</v>
      </c>
      <c r="S1672" t="s">
        <v>54</v>
      </c>
      <c r="T1672" t="s">
        <v>55</v>
      </c>
      <c r="U1672">
        <v>9</v>
      </c>
      <c r="W1672" t="s">
        <v>117</v>
      </c>
      <c r="X1672" s="4">
        <v>0</v>
      </c>
      <c r="Y1672" t="s">
        <v>62</v>
      </c>
      <c r="Z1672" s="3"/>
      <c r="AD1672" s="3"/>
      <c r="AE1672" s="3"/>
      <c r="AK1672" s="5"/>
    </row>
    <row r="1673" spans="1:47" x14ac:dyDescent="0.25">
      <c r="A1673" t="s">
        <v>63</v>
      </c>
      <c r="B1673" s="1">
        <v>3669</v>
      </c>
      <c r="C1673">
        <v>0</v>
      </c>
      <c r="D1673">
        <v>0</v>
      </c>
      <c r="E1673" s="2">
        <v>0</v>
      </c>
      <c r="F1673">
        <v>0</v>
      </c>
      <c r="G1673" s="3">
        <v>3000</v>
      </c>
      <c r="H1673" s="3" t="s">
        <v>54</v>
      </c>
      <c r="I1673" s="3" t="s">
        <v>59</v>
      </c>
      <c r="K1673" s="3" t="s">
        <v>73</v>
      </c>
      <c r="L1673" s="3" t="s">
        <v>73</v>
      </c>
      <c r="M1673" s="3">
        <v>46031.577048611114</v>
      </c>
      <c r="Q1673" t="s">
        <v>54</v>
      </c>
      <c r="R1673">
        <v>0</v>
      </c>
      <c r="T1673" t="s">
        <v>54</v>
      </c>
      <c r="U1673" t="s">
        <v>54</v>
      </c>
      <c r="V1673">
        <v>8826</v>
      </c>
      <c r="W1673" t="s">
        <v>55</v>
      </c>
      <c r="X1673" s="4"/>
      <c r="Z1673" s="3"/>
      <c r="AD1673" s="3"/>
      <c r="AE1673" s="3"/>
      <c r="AK1673" s="5"/>
    </row>
    <row r="1674" spans="1:47" x14ac:dyDescent="0.25">
      <c r="A1674" t="s">
        <v>47</v>
      </c>
      <c r="B1674" s="1">
        <v>38415</v>
      </c>
      <c r="C1674" t="s">
        <v>48</v>
      </c>
      <c r="D1674" t="s">
        <v>49</v>
      </c>
      <c r="E1674" s="2">
        <v>46031</v>
      </c>
      <c r="F1674" t="s">
        <v>118</v>
      </c>
      <c r="G1674" s="3" t="s">
        <v>119</v>
      </c>
      <c r="H1674" s="3">
        <v>1680</v>
      </c>
      <c r="I1674" s="3">
        <v>1680</v>
      </c>
      <c r="J1674">
        <v>0</v>
      </c>
      <c r="K1674" s="3">
        <v>1932</v>
      </c>
      <c r="L1674" s="3">
        <v>261.13</v>
      </c>
      <c r="M1674" s="3">
        <v>150.15</v>
      </c>
      <c r="N1674" t="s">
        <v>77</v>
      </c>
      <c r="O1674" t="s">
        <v>53</v>
      </c>
      <c r="P1674" t="s">
        <v>53</v>
      </c>
      <c r="Q1674" t="s">
        <v>53</v>
      </c>
      <c r="R1674" t="s">
        <v>54</v>
      </c>
      <c r="S1674" t="s">
        <v>54</v>
      </c>
      <c r="T1674" t="s">
        <v>55</v>
      </c>
      <c r="U1674">
        <v>83</v>
      </c>
      <c r="W1674" t="s">
        <v>85</v>
      </c>
      <c r="X1674" s="4">
        <v>0</v>
      </c>
      <c r="Y1674" t="s">
        <v>58</v>
      </c>
      <c r="Z1674">
        <v>0</v>
      </c>
      <c r="AA1674">
        <v>0</v>
      </c>
      <c r="AB1674">
        <v>261.13</v>
      </c>
      <c r="AC1674">
        <v>0</v>
      </c>
      <c r="AD1674" s="3">
        <v>0</v>
      </c>
      <c r="AE1674" s="3">
        <v>125</v>
      </c>
      <c r="AF1674" t="s">
        <v>54</v>
      </c>
      <c r="AG1674" t="s">
        <v>59</v>
      </c>
      <c r="AI1674" t="s">
        <v>80</v>
      </c>
      <c r="AJ1674" t="s">
        <v>73</v>
      </c>
      <c r="AK1674" s="5">
        <v>46031.623749999999</v>
      </c>
      <c r="AO1674" t="s">
        <v>54</v>
      </c>
      <c r="AP1674">
        <v>0</v>
      </c>
      <c r="AR1674" t="s">
        <v>54</v>
      </c>
      <c r="AS1674" t="s">
        <v>54</v>
      </c>
      <c r="AT1674">
        <v>4900</v>
      </c>
      <c r="AU1674" t="s">
        <v>55</v>
      </c>
    </row>
    <row r="1675" spans="1:47" x14ac:dyDescent="0.25">
      <c r="A1675" t="s">
        <v>47</v>
      </c>
      <c r="B1675" s="1">
        <v>38416</v>
      </c>
      <c r="C1675" t="s">
        <v>48</v>
      </c>
      <c r="D1675" t="s">
        <v>49</v>
      </c>
      <c r="E1675" s="2">
        <v>46031</v>
      </c>
      <c r="F1675" s="3" t="s">
        <v>118</v>
      </c>
      <c r="G1675" s="3" t="s">
        <v>119</v>
      </c>
      <c r="H1675" s="3">
        <v>1680</v>
      </c>
      <c r="I1675" s="3">
        <v>1680</v>
      </c>
      <c r="J1675">
        <v>0</v>
      </c>
      <c r="K1675" s="3">
        <v>1932</v>
      </c>
      <c r="L1675" s="3">
        <v>261.13</v>
      </c>
      <c r="M1675" s="3">
        <v>150.15</v>
      </c>
      <c r="N1675" t="s">
        <v>77</v>
      </c>
      <c r="O1675" t="s">
        <v>53</v>
      </c>
      <c r="P1675" t="s">
        <v>53</v>
      </c>
      <c r="Q1675" t="s">
        <v>53</v>
      </c>
      <c r="R1675" t="s">
        <v>54</v>
      </c>
      <c r="S1675" t="s">
        <v>54</v>
      </c>
      <c r="T1675" t="s">
        <v>55</v>
      </c>
      <c r="U1675">
        <v>83</v>
      </c>
      <c r="W1675" t="s">
        <v>85</v>
      </c>
      <c r="X1675" s="4">
        <v>0</v>
      </c>
      <c r="Y1675" t="s">
        <v>58</v>
      </c>
      <c r="Z1675">
        <v>0</v>
      </c>
      <c r="AA1675">
        <v>0</v>
      </c>
      <c r="AB1675">
        <v>261.13</v>
      </c>
      <c r="AC1675">
        <v>0</v>
      </c>
      <c r="AD1675">
        <v>0</v>
      </c>
      <c r="AE1675" s="3">
        <v>125</v>
      </c>
      <c r="AF1675" t="s">
        <v>54</v>
      </c>
      <c r="AG1675" t="s">
        <v>59</v>
      </c>
      <c r="AI1675" t="s">
        <v>80</v>
      </c>
      <c r="AJ1675" t="s">
        <v>73</v>
      </c>
      <c r="AK1675" s="5">
        <v>46031.623969907407</v>
      </c>
      <c r="AO1675" t="s">
        <v>54</v>
      </c>
      <c r="AP1675">
        <v>0</v>
      </c>
      <c r="AR1675" t="s">
        <v>54</v>
      </c>
      <c r="AS1675" t="s">
        <v>54</v>
      </c>
      <c r="AT1675">
        <v>4900</v>
      </c>
      <c r="AU1675" t="s">
        <v>55</v>
      </c>
    </row>
    <row r="1676" spans="1:47" x14ac:dyDescent="0.25">
      <c r="A1676" t="s">
        <v>96</v>
      </c>
      <c r="B1676" s="1">
        <v>38417</v>
      </c>
      <c r="C1676" t="s">
        <v>48</v>
      </c>
      <c r="D1676" t="s">
        <v>49</v>
      </c>
      <c r="E1676" s="2">
        <v>46031</v>
      </c>
      <c r="F1676" s="3" t="s">
        <v>120</v>
      </c>
      <c r="G1676" s="3" t="s">
        <v>69</v>
      </c>
      <c r="H1676" s="3">
        <v>30005.5</v>
      </c>
      <c r="I1676" s="3">
        <v>30005.5</v>
      </c>
      <c r="J1676">
        <v>0</v>
      </c>
      <c r="K1676" s="3">
        <v>30005.5</v>
      </c>
      <c r="L1676" s="3">
        <v>5101.55</v>
      </c>
      <c r="M1676" s="3">
        <v>2397.73</v>
      </c>
      <c r="N1676" t="s">
        <v>77</v>
      </c>
      <c r="O1676" t="s">
        <v>53</v>
      </c>
      <c r="P1676" t="s">
        <v>53</v>
      </c>
      <c r="Q1676" t="s">
        <v>53</v>
      </c>
      <c r="R1676" t="s">
        <v>54</v>
      </c>
      <c r="S1676" t="s">
        <v>54</v>
      </c>
      <c r="T1676" t="s">
        <v>55</v>
      </c>
      <c r="U1676">
        <v>83</v>
      </c>
      <c r="V1676" t="s">
        <v>121</v>
      </c>
      <c r="W1676" t="s">
        <v>122</v>
      </c>
      <c r="X1676" s="4">
        <v>0</v>
      </c>
      <c r="Y1676" t="s">
        <v>58</v>
      </c>
      <c r="Z1676">
        <v>0</v>
      </c>
      <c r="AA1676">
        <v>0</v>
      </c>
      <c r="AB1676">
        <v>0</v>
      </c>
      <c r="AC1676">
        <v>0</v>
      </c>
      <c r="AD1676" s="3">
        <v>5101.55</v>
      </c>
      <c r="AE1676" s="3">
        <v>5750</v>
      </c>
      <c r="AF1676" t="s">
        <v>54</v>
      </c>
      <c r="AG1676" t="s">
        <v>59</v>
      </c>
      <c r="AH1676" t="s">
        <v>79</v>
      </c>
      <c r="AI1676" t="s">
        <v>80</v>
      </c>
      <c r="AJ1676" t="s">
        <v>73</v>
      </c>
      <c r="AK1676" s="5">
        <v>46031.642685185187</v>
      </c>
      <c r="AO1676" t="s">
        <v>54</v>
      </c>
      <c r="AP1676">
        <v>0</v>
      </c>
      <c r="AR1676" t="s">
        <v>54</v>
      </c>
      <c r="AS1676" t="s">
        <v>54</v>
      </c>
      <c r="AT1676">
        <v>6081</v>
      </c>
      <c r="AU1676" t="s">
        <v>55</v>
      </c>
    </row>
    <row r="1677" spans="1:47" x14ac:dyDescent="0.25">
      <c r="A1677" t="s">
        <v>96</v>
      </c>
      <c r="B1677" s="1">
        <v>38418</v>
      </c>
      <c r="C1677" t="s">
        <v>48</v>
      </c>
      <c r="D1677" t="s">
        <v>49</v>
      </c>
      <c r="E1677" s="2">
        <v>46031</v>
      </c>
      <c r="F1677" t="s">
        <v>120</v>
      </c>
      <c r="G1677" t="s">
        <v>69</v>
      </c>
      <c r="H1677" s="3">
        <v>30005.5</v>
      </c>
      <c r="I1677" s="3">
        <v>30005.5</v>
      </c>
      <c r="J1677">
        <v>0</v>
      </c>
      <c r="K1677" s="3">
        <v>30005.5</v>
      </c>
      <c r="L1677" s="3">
        <v>5101.55</v>
      </c>
      <c r="M1677" s="3">
        <v>2397.73</v>
      </c>
      <c r="N1677" t="s">
        <v>77</v>
      </c>
      <c r="O1677" t="s">
        <v>53</v>
      </c>
      <c r="P1677" t="s">
        <v>53</v>
      </c>
      <c r="Q1677" t="s">
        <v>53</v>
      </c>
      <c r="R1677" t="s">
        <v>54</v>
      </c>
      <c r="S1677" t="s">
        <v>54</v>
      </c>
      <c r="T1677" t="s">
        <v>55</v>
      </c>
      <c r="U1677">
        <v>83</v>
      </c>
      <c r="V1677" t="s">
        <v>121</v>
      </c>
      <c r="W1677" t="s">
        <v>122</v>
      </c>
      <c r="X1677" s="4">
        <v>0</v>
      </c>
      <c r="Y1677" t="s">
        <v>58</v>
      </c>
      <c r="Z1677">
        <v>0</v>
      </c>
      <c r="AA1677">
        <v>0</v>
      </c>
      <c r="AB1677" s="3">
        <v>0</v>
      </c>
      <c r="AC1677">
        <v>0</v>
      </c>
      <c r="AD1677" s="3">
        <v>5101.55</v>
      </c>
      <c r="AE1677" s="3">
        <v>5750</v>
      </c>
      <c r="AF1677" t="s">
        <v>54</v>
      </c>
      <c r="AG1677" t="s">
        <v>59</v>
      </c>
      <c r="AH1677" t="s">
        <v>79</v>
      </c>
      <c r="AI1677" t="s">
        <v>80</v>
      </c>
      <c r="AJ1677" t="s">
        <v>73</v>
      </c>
      <c r="AK1677" s="5">
        <v>46031.644004629627</v>
      </c>
      <c r="AO1677" t="s">
        <v>54</v>
      </c>
      <c r="AP1677">
        <v>0</v>
      </c>
      <c r="AR1677" t="s">
        <v>54</v>
      </c>
      <c r="AS1677" t="s">
        <v>54</v>
      </c>
      <c r="AT1677">
        <v>6081</v>
      </c>
      <c r="AU1677" t="s">
        <v>55</v>
      </c>
    </row>
    <row r="1678" spans="1:47" x14ac:dyDescent="0.25">
      <c r="A1678" t="s">
        <v>96</v>
      </c>
      <c r="B1678" s="1">
        <v>38420</v>
      </c>
      <c r="C1678" t="s">
        <v>48</v>
      </c>
      <c r="D1678" t="s">
        <v>49</v>
      </c>
      <c r="E1678" s="2">
        <v>46031</v>
      </c>
      <c r="F1678" s="3" t="s">
        <v>120</v>
      </c>
      <c r="G1678" s="3" t="s">
        <v>69</v>
      </c>
      <c r="H1678" s="3">
        <v>30005.5</v>
      </c>
      <c r="I1678" s="3">
        <v>30005.5</v>
      </c>
      <c r="J1678">
        <v>0</v>
      </c>
      <c r="K1678" s="3">
        <v>30005.5</v>
      </c>
      <c r="L1678" s="3">
        <v>5101.55</v>
      </c>
      <c r="M1678" s="3">
        <v>2397.73</v>
      </c>
      <c r="N1678" t="s">
        <v>77</v>
      </c>
      <c r="O1678" t="s">
        <v>53</v>
      </c>
      <c r="P1678" t="s">
        <v>53</v>
      </c>
      <c r="Q1678" t="s">
        <v>53</v>
      </c>
      <c r="R1678" t="s">
        <v>54</v>
      </c>
      <c r="S1678" t="s">
        <v>54</v>
      </c>
      <c r="T1678" t="s">
        <v>55</v>
      </c>
      <c r="U1678">
        <v>83</v>
      </c>
      <c r="V1678" t="s">
        <v>121</v>
      </c>
      <c r="W1678" t="s">
        <v>122</v>
      </c>
      <c r="X1678" s="4">
        <v>0</v>
      </c>
      <c r="Y1678" t="s">
        <v>58</v>
      </c>
      <c r="Z1678" s="3">
        <v>0</v>
      </c>
      <c r="AA1678">
        <v>0</v>
      </c>
      <c r="AB1678" s="3">
        <v>0</v>
      </c>
      <c r="AC1678">
        <v>0</v>
      </c>
      <c r="AD1678" s="3">
        <v>5101.55</v>
      </c>
      <c r="AE1678" s="3">
        <v>5750</v>
      </c>
      <c r="AF1678" t="s">
        <v>54</v>
      </c>
      <c r="AG1678" t="s">
        <v>59</v>
      </c>
      <c r="AH1678" t="s">
        <v>79</v>
      </c>
      <c r="AI1678" t="s">
        <v>73</v>
      </c>
      <c r="AJ1678" t="s">
        <v>73</v>
      </c>
      <c r="AK1678" s="5">
        <v>46031.644270833334</v>
      </c>
      <c r="AO1678" t="s">
        <v>54</v>
      </c>
      <c r="AP1678">
        <v>0</v>
      </c>
      <c r="AR1678" t="s">
        <v>54</v>
      </c>
      <c r="AS1678" t="s">
        <v>54</v>
      </c>
      <c r="AT1678">
        <v>6081</v>
      </c>
      <c r="AU1678" t="s">
        <v>55</v>
      </c>
    </row>
    <row r="1679" spans="1:47" x14ac:dyDescent="0.25">
      <c r="A1679" t="s">
        <v>96</v>
      </c>
      <c r="B1679" s="1">
        <v>38421</v>
      </c>
      <c r="C1679" t="s">
        <v>48</v>
      </c>
      <c r="D1679" t="s">
        <v>49</v>
      </c>
      <c r="E1679" s="2">
        <v>46031</v>
      </c>
      <c r="F1679" t="s">
        <v>120</v>
      </c>
      <c r="G1679" t="s">
        <v>69</v>
      </c>
      <c r="H1679" s="3">
        <v>30005.5</v>
      </c>
      <c r="I1679" s="3">
        <v>30005.5</v>
      </c>
      <c r="J1679">
        <v>0</v>
      </c>
      <c r="K1679" s="3">
        <v>30005.5</v>
      </c>
      <c r="L1679" s="3">
        <v>5101.55</v>
      </c>
      <c r="M1679" s="3">
        <v>2397.73</v>
      </c>
      <c r="N1679" t="s">
        <v>77</v>
      </c>
      <c r="O1679" t="s">
        <v>53</v>
      </c>
      <c r="P1679" t="s">
        <v>53</v>
      </c>
      <c r="Q1679" t="s">
        <v>53</v>
      </c>
      <c r="R1679" t="s">
        <v>54</v>
      </c>
      <c r="S1679" t="s">
        <v>54</v>
      </c>
      <c r="T1679" t="s">
        <v>55</v>
      </c>
      <c r="U1679">
        <v>83</v>
      </c>
      <c r="V1679" t="s">
        <v>121</v>
      </c>
      <c r="W1679" t="s">
        <v>122</v>
      </c>
      <c r="X1679" s="4">
        <v>0</v>
      </c>
      <c r="Y1679" t="s">
        <v>58</v>
      </c>
      <c r="Z1679" s="3">
        <v>0</v>
      </c>
      <c r="AA1679">
        <v>0</v>
      </c>
      <c r="AB1679">
        <v>0</v>
      </c>
      <c r="AC1679">
        <v>0</v>
      </c>
      <c r="AD1679" s="3">
        <v>5101.55</v>
      </c>
      <c r="AE1679" s="3">
        <v>5750</v>
      </c>
      <c r="AF1679" t="s">
        <v>54</v>
      </c>
      <c r="AG1679" t="s">
        <v>59</v>
      </c>
      <c r="AH1679" t="s">
        <v>79</v>
      </c>
      <c r="AI1679" t="s">
        <v>73</v>
      </c>
      <c r="AJ1679" t="s">
        <v>73</v>
      </c>
      <c r="AK1679" s="5">
        <v>46031.644467592596</v>
      </c>
      <c r="AO1679" t="s">
        <v>54</v>
      </c>
      <c r="AP1679">
        <v>0</v>
      </c>
      <c r="AR1679" t="s">
        <v>54</v>
      </c>
      <c r="AS1679" t="s">
        <v>54</v>
      </c>
      <c r="AT1679">
        <v>6081</v>
      </c>
      <c r="AU1679" t="s">
        <v>55</v>
      </c>
    </row>
    <row r="1680" spans="1:47" x14ac:dyDescent="0.25">
      <c r="A1680" t="s">
        <v>96</v>
      </c>
      <c r="B1680" s="1">
        <v>38422</v>
      </c>
      <c r="C1680" t="s">
        <v>48</v>
      </c>
      <c r="D1680" s="3" t="s">
        <v>49</v>
      </c>
      <c r="E1680" s="2">
        <v>46031</v>
      </c>
      <c r="F1680" t="s">
        <v>120</v>
      </c>
      <c r="G1680" t="s">
        <v>69</v>
      </c>
      <c r="H1680" s="3">
        <v>30005.5</v>
      </c>
      <c r="I1680" s="3">
        <v>30005.5</v>
      </c>
      <c r="J1680">
        <v>0</v>
      </c>
      <c r="K1680" s="3">
        <v>30005.5</v>
      </c>
      <c r="L1680" s="3">
        <v>5101.55</v>
      </c>
      <c r="M1680" s="3">
        <v>2397.73</v>
      </c>
      <c r="N1680" t="s">
        <v>77</v>
      </c>
      <c r="O1680" t="s">
        <v>53</v>
      </c>
      <c r="P1680" t="s">
        <v>53</v>
      </c>
      <c r="Q1680" t="s">
        <v>53</v>
      </c>
      <c r="R1680" t="s">
        <v>54</v>
      </c>
      <c r="S1680" t="s">
        <v>54</v>
      </c>
      <c r="T1680" t="s">
        <v>55</v>
      </c>
      <c r="U1680">
        <v>83</v>
      </c>
      <c r="V1680" t="s">
        <v>121</v>
      </c>
      <c r="W1680" t="s">
        <v>122</v>
      </c>
      <c r="X1680" s="4">
        <v>0</v>
      </c>
      <c r="Y1680" t="s">
        <v>58</v>
      </c>
      <c r="Z1680" s="3">
        <v>0</v>
      </c>
      <c r="AA1680">
        <v>0</v>
      </c>
      <c r="AB1680" s="3">
        <v>0</v>
      </c>
      <c r="AC1680">
        <v>0</v>
      </c>
      <c r="AD1680" s="3">
        <v>5101.55</v>
      </c>
      <c r="AE1680" s="3">
        <v>5750</v>
      </c>
      <c r="AF1680" t="s">
        <v>54</v>
      </c>
      <c r="AG1680" t="s">
        <v>59</v>
      </c>
      <c r="AH1680" t="s">
        <v>79</v>
      </c>
      <c r="AI1680" t="s">
        <v>73</v>
      </c>
      <c r="AJ1680" t="s">
        <v>73</v>
      </c>
      <c r="AK1680" s="5">
        <v>46031.644791666666</v>
      </c>
      <c r="AO1680" t="s">
        <v>54</v>
      </c>
      <c r="AP1680">
        <v>0</v>
      </c>
      <c r="AR1680" t="s">
        <v>54</v>
      </c>
      <c r="AS1680" t="s">
        <v>54</v>
      </c>
      <c r="AT1680">
        <v>6081</v>
      </c>
      <c r="AU1680" t="s">
        <v>55</v>
      </c>
    </row>
    <row r="1681" spans="1:47" x14ac:dyDescent="0.25">
      <c r="A1681" t="s">
        <v>96</v>
      </c>
      <c r="B1681" s="1">
        <v>38423</v>
      </c>
      <c r="C1681" t="s">
        <v>48</v>
      </c>
      <c r="D1681" t="s">
        <v>49</v>
      </c>
      <c r="E1681" s="2">
        <v>46031</v>
      </c>
      <c r="F1681" t="s">
        <v>120</v>
      </c>
      <c r="G1681" t="s">
        <v>69</v>
      </c>
      <c r="H1681" s="3">
        <v>30005.5</v>
      </c>
      <c r="I1681" s="3">
        <v>30005.5</v>
      </c>
      <c r="J1681">
        <v>0</v>
      </c>
      <c r="K1681" s="3">
        <v>30005.5</v>
      </c>
      <c r="L1681" s="3">
        <v>5101.55</v>
      </c>
      <c r="M1681" s="3">
        <v>2397.73</v>
      </c>
      <c r="N1681" t="s">
        <v>77</v>
      </c>
      <c r="O1681" t="s">
        <v>53</v>
      </c>
      <c r="P1681" t="s">
        <v>53</v>
      </c>
      <c r="Q1681" t="s">
        <v>53</v>
      </c>
      <c r="R1681" t="s">
        <v>54</v>
      </c>
      <c r="S1681" t="s">
        <v>54</v>
      </c>
      <c r="T1681" t="s">
        <v>55</v>
      </c>
      <c r="U1681">
        <v>83</v>
      </c>
      <c r="V1681" t="s">
        <v>121</v>
      </c>
      <c r="W1681" t="s">
        <v>122</v>
      </c>
      <c r="X1681" s="4">
        <v>0</v>
      </c>
      <c r="Y1681" t="s">
        <v>58</v>
      </c>
      <c r="Z1681">
        <v>0</v>
      </c>
      <c r="AA1681">
        <v>0</v>
      </c>
      <c r="AB1681">
        <v>0</v>
      </c>
      <c r="AC1681">
        <v>0</v>
      </c>
      <c r="AD1681" s="3">
        <v>5101.55</v>
      </c>
      <c r="AE1681" s="3">
        <v>5750</v>
      </c>
      <c r="AF1681" t="s">
        <v>54</v>
      </c>
      <c r="AG1681" t="s">
        <v>59</v>
      </c>
      <c r="AH1681" t="s">
        <v>79</v>
      </c>
      <c r="AI1681" t="s">
        <v>73</v>
      </c>
      <c r="AJ1681" t="s">
        <v>73</v>
      </c>
      <c r="AK1681" s="5">
        <v>46031.644618055558</v>
      </c>
      <c r="AO1681" t="s">
        <v>54</v>
      </c>
      <c r="AP1681">
        <v>0</v>
      </c>
      <c r="AR1681" t="s">
        <v>54</v>
      </c>
      <c r="AS1681" t="s">
        <v>54</v>
      </c>
      <c r="AT1681">
        <v>6081</v>
      </c>
      <c r="AU1681" t="s">
        <v>55</v>
      </c>
    </row>
    <row r="1682" spans="1:47" x14ac:dyDescent="0.25">
      <c r="A1682" t="s">
        <v>47</v>
      </c>
      <c r="B1682" s="1">
        <v>38426</v>
      </c>
      <c r="C1682" t="s">
        <v>48</v>
      </c>
      <c r="D1682" t="s">
        <v>49</v>
      </c>
      <c r="E1682" s="2">
        <v>46031</v>
      </c>
      <c r="F1682" s="3" t="s">
        <v>123</v>
      </c>
      <c r="G1682" s="3" t="s">
        <v>124</v>
      </c>
      <c r="H1682" s="3">
        <v>11330</v>
      </c>
      <c r="I1682" s="3">
        <v>11330</v>
      </c>
      <c r="J1682">
        <v>0</v>
      </c>
      <c r="K1682" s="3">
        <v>11330</v>
      </c>
      <c r="L1682" s="3">
        <v>1922</v>
      </c>
      <c r="M1682" s="3">
        <v>903.34</v>
      </c>
      <c r="N1682" t="s">
        <v>52</v>
      </c>
      <c r="O1682" t="s">
        <v>53</v>
      </c>
      <c r="P1682" t="s">
        <v>53</v>
      </c>
      <c r="Q1682" t="s">
        <v>53</v>
      </c>
      <c r="R1682" t="s">
        <v>54</v>
      </c>
      <c r="S1682" t="s">
        <v>54</v>
      </c>
      <c r="T1682" t="s">
        <v>55</v>
      </c>
      <c r="U1682">
        <v>126</v>
      </c>
      <c r="V1682" t="s">
        <v>56</v>
      </c>
      <c r="W1682" t="s">
        <v>95</v>
      </c>
      <c r="X1682" s="4">
        <v>0</v>
      </c>
      <c r="Y1682" t="s">
        <v>58</v>
      </c>
      <c r="Z1682">
        <v>0</v>
      </c>
      <c r="AA1682">
        <v>0</v>
      </c>
      <c r="AB1682">
        <v>0</v>
      </c>
      <c r="AC1682">
        <v>0</v>
      </c>
      <c r="AD1682" s="3">
        <v>1922</v>
      </c>
      <c r="AE1682" s="3">
        <v>2000</v>
      </c>
      <c r="AF1682" t="s">
        <v>54</v>
      </c>
      <c r="AG1682" t="s">
        <v>59</v>
      </c>
      <c r="AI1682" t="s">
        <v>60</v>
      </c>
      <c r="AJ1682" t="s">
        <v>60</v>
      </c>
      <c r="AK1682" s="5">
        <v>46031.674016203702</v>
      </c>
      <c r="AO1682" t="s">
        <v>54</v>
      </c>
      <c r="AP1682">
        <v>0</v>
      </c>
      <c r="AR1682" t="s">
        <v>54</v>
      </c>
      <c r="AS1682" t="s">
        <v>54</v>
      </c>
      <c r="AT1682">
        <v>8466</v>
      </c>
      <c r="AU1682" t="s">
        <v>55</v>
      </c>
    </row>
    <row r="1683" spans="1:47" x14ac:dyDescent="0.25">
      <c r="A1683" t="s">
        <v>96</v>
      </c>
      <c r="B1683" s="1">
        <v>38427</v>
      </c>
      <c r="C1683" t="s">
        <v>48</v>
      </c>
      <c r="D1683" t="s">
        <v>49</v>
      </c>
      <c r="E1683" s="2">
        <v>46034</v>
      </c>
      <c r="F1683" t="s">
        <v>125</v>
      </c>
      <c r="G1683" s="3" t="s">
        <v>66</v>
      </c>
      <c r="H1683" s="3">
        <v>17968</v>
      </c>
      <c r="I1683" s="3">
        <v>17968</v>
      </c>
      <c r="J1683">
        <v>0</v>
      </c>
      <c r="K1683" s="3">
        <v>17968</v>
      </c>
      <c r="L1683" s="3">
        <v>2654.4</v>
      </c>
      <c r="M1683" s="3">
        <v>1474.99</v>
      </c>
      <c r="N1683" t="s">
        <v>52</v>
      </c>
      <c r="O1683" t="s">
        <v>53</v>
      </c>
      <c r="P1683" t="s">
        <v>53</v>
      </c>
      <c r="Q1683" t="s">
        <v>53</v>
      </c>
      <c r="R1683" t="s">
        <v>54</v>
      </c>
      <c r="S1683" t="s">
        <v>54</v>
      </c>
      <c r="T1683" t="s">
        <v>55</v>
      </c>
      <c r="U1683">
        <v>126</v>
      </c>
      <c r="V1683" t="s">
        <v>56</v>
      </c>
      <c r="W1683" t="s">
        <v>72</v>
      </c>
      <c r="X1683" s="4">
        <v>0</v>
      </c>
      <c r="Y1683" t="s">
        <v>58</v>
      </c>
      <c r="Z1683">
        <v>0</v>
      </c>
      <c r="AA1683">
        <v>0</v>
      </c>
      <c r="AB1683" s="3">
        <v>1524.8</v>
      </c>
      <c r="AC1683">
        <v>0</v>
      </c>
      <c r="AD1683" s="3">
        <v>1129.5999999999999</v>
      </c>
      <c r="AE1683" s="3">
        <v>1000</v>
      </c>
      <c r="AF1683" t="s">
        <v>54</v>
      </c>
      <c r="AG1683" t="s">
        <v>59</v>
      </c>
      <c r="AI1683" t="s">
        <v>60</v>
      </c>
      <c r="AJ1683" t="s">
        <v>73</v>
      </c>
      <c r="AK1683" s="5">
        <v>46034.643159722225</v>
      </c>
      <c r="AO1683" t="s">
        <v>54</v>
      </c>
      <c r="AP1683">
        <v>0</v>
      </c>
      <c r="AR1683" t="s">
        <v>54</v>
      </c>
      <c r="AS1683" t="s">
        <v>54</v>
      </c>
      <c r="AT1683">
        <v>5443</v>
      </c>
      <c r="AU1683" t="s">
        <v>55</v>
      </c>
    </row>
    <row r="1684" spans="1:47" x14ac:dyDescent="0.25">
      <c r="A1684" t="s">
        <v>47</v>
      </c>
      <c r="B1684" s="3">
        <v>38428</v>
      </c>
      <c r="C1684" t="s">
        <v>48</v>
      </c>
      <c r="D1684" t="s">
        <v>49</v>
      </c>
      <c r="E1684" s="2">
        <v>46035</v>
      </c>
      <c r="F1684" s="3" t="s">
        <v>126</v>
      </c>
      <c r="G1684" s="3" t="s">
        <v>89</v>
      </c>
      <c r="H1684" s="3">
        <v>5120</v>
      </c>
      <c r="I1684" s="3">
        <v>5120</v>
      </c>
      <c r="J1684">
        <v>0</v>
      </c>
      <c r="K1684" s="3">
        <v>5888</v>
      </c>
      <c r="L1684" s="3">
        <v>620.5</v>
      </c>
      <c r="M1684" s="3">
        <v>384.71</v>
      </c>
      <c r="N1684" t="s">
        <v>84</v>
      </c>
      <c r="O1684" t="s">
        <v>53</v>
      </c>
      <c r="P1684" t="s">
        <v>53</v>
      </c>
      <c r="Q1684" t="s">
        <v>53</v>
      </c>
      <c r="R1684" t="s">
        <v>54</v>
      </c>
      <c r="S1684" t="s">
        <v>54</v>
      </c>
      <c r="T1684" t="s">
        <v>55</v>
      </c>
      <c r="U1684">
        <v>9</v>
      </c>
      <c r="V1684" t="s">
        <v>71</v>
      </c>
      <c r="W1684" t="s">
        <v>95</v>
      </c>
      <c r="X1684" s="4">
        <v>0</v>
      </c>
      <c r="Y1684" t="s">
        <v>58</v>
      </c>
      <c r="Z1684">
        <v>0</v>
      </c>
      <c r="AA1684">
        <v>0</v>
      </c>
      <c r="AB1684" s="3">
        <v>620.5</v>
      </c>
      <c r="AC1684">
        <v>0</v>
      </c>
      <c r="AD1684" s="3">
        <v>0</v>
      </c>
      <c r="AE1684" s="3">
        <v>500</v>
      </c>
      <c r="AF1684" t="s">
        <v>54</v>
      </c>
      <c r="AG1684" t="s">
        <v>59</v>
      </c>
      <c r="AI1684" t="s">
        <v>73</v>
      </c>
      <c r="AJ1684" t="s">
        <v>73</v>
      </c>
      <c r="AK1684" s="5">
        <v>46035.417569444442</v>
      </c>
      <c r="AO1684" t="s">
        <v>54</v>
      </c>
      <c r="AP1684">
        <v>0</v>
      </c>
      <c r="AR1684" t="s">
        <v>54</v>
      </c>
      <c r="AS1684" t="s">
        <v>54</v>
      </c>
      <c r="AT1684">
        <v>3204</v>
      </c>
      <c r="AU1684" t="s">
        <v>55</v>
      </c>
    </row>
    <row r="1685" spans="1:47" x14ac:dyDescent="0.25">
      <c r="A1685" t="s">
        <v>47</v>
      </c>
      <c r="B1685" s="1">
        <v>38429</v>
      </c>
      <c r="C1685" t="s">
        <v>48</v>
      </c>
      <c r="D1685" t="s">
        <v>49</v>
      </c>
      <c r="E1685" s="2">
        <v>46035</v>
      </c>
      <c r="F1685" t="s">
        <v>126</v>
      </c>
      <c r="G1685" t="s">
        <v>89</v>
      </c>
      <c r="H1685" s="3">
        <v>5120</v>
      </c>
      <c r="I1685" s="3">
        <v>5120</v>
      </c>
      <c r="J1685">
        <v>0</v>
      </c>
      <c r="K1685" s="3">
        <v>5888</v>
      </c>
      <c r="L1685" s="3">
        <v>620.5</v>
      </c>
      <c r="M1685" s="3">
        <v>384.71</v>
      </c>
      <c r="N1685" t="s">
        <v>84</v>
      </c>
      <c r="O1685" t="s">
        <v>53</v>
      </c>
      <c r="P1685" t="s">
        <v>53</v>
      </c>
      <c r="Q1685" t="s">
        <v>53</v>
      </c>
      <c r="R1685" t="s">
        <v>54</v>
      </c>
      <c r="S1685" t="s">
        <v>54</v>
      </c>
      <c r="T1685" t="s">
        <v>55</v>
      </c>
      <c r="U1685">
        <v>9</v>
      </c>
      <c r="V1685" t="s">
        <v>71</v>
      </c>
      <c r="W1685" t="s">
        <v>95</v>
      </c>
      <c r="X1685" s="4">
        <v>0</v>
      </c>
      <c r="Y1685" t="s">
        <v>58</v>
      </c>
      <c r="Z1685">
        <v>0</v>
      </c>
      <c r="AA1685">
        <v>0</v>
      </c>
      <c r="AB1685">
        <v>620.5</v>
      </c>
      <c r="AC1685">
        <v>0</v>
      </c>
      <c r="AD1685">
        <v>0</v>
      </c>
      <c r="AE1685" s="3">
        <v>500</v>
      </c>
      <c r="AF1685" t="s">
        <v>54</v>
      </c>
      <c r="AG1685" t="s">
        <v>59</v>
      </c>
      <c r="AI1685" t="s">
        <v>73</v>
      </c>
      <c r="AJ1685" t="s">
        <v>73</v>
      </c>
      <c r="AK1685" s="5">
        <v>46035.417627314811</v>
      </c>
      <c r="AO1685" t="s">
        <v>54</v>
      </c>
      <c r="AP1685">
        <v>0</v>
      </c>
      <c r="AR1685" t="s">
        <v>54</v>
      </c>
      <c r="AS1685" t="s">
        <v>54</v>
      </c>
      <c r="AT1685">
        <v>3204</v>
      </c>
      <c r="AU1685" t="s">
        <v>55</v>
      </c>
    </row>
    <row r="1686" spans="1:47" x14ac:dyDescent="0.25">
      <c r="A1686" t="s">
        <v>47</v>
      </c>
      <c r="B1686" s="1">
        <v>38430</v>
      </c>
      <c r="C1686" t="s">
        <v>48</v>
      </c>
      <c r="D1686" s="3" t="s">
        <v>49</v>
      </c>
      <c r="E1686" s="2">
        <v>46035</v>
      </c>
      <c r="F1686" t="s">
        <v>126</v>
      </c>
      <c r="G1686" s="3" t="s">
        <v>89</v>
      </c>
      <c r="H1686" s="3">
        <v>2925</v>
      </c>
      <c r="I1686" s="3">
        <v>2925</v>
      </c>
      <c r="J1686">
        <v>0</v>
      </c>
      <c r="K1686" s="3">
        <v>3363.75</v>
      </c>
      <c r="L1686" s="3">
        <v>372.5</v>
      </c>
      <c r="M1686" s="3">
        <v>230.95</v>
      </c>
      <c r="N1686" t="s">
        <v>84</v>
      </c>
      <c r="O1686" t="s">
        <v>53</v>
      </c>
      <c r="P1686" t="s">
        <v>53</v>
      </c>
      <c r="Q1686" t="s">
        <v>53</v>
      </c>
      <c r="R1686" t="s">
        <v>54</v>
      </c>
      <c r="S1686" t="s">
        <v>54</v>
      </c>
      <c r="T1686" t="s">
        <v>55</v>
      </c>
      <c r="U1686">
        <v>9</v>
      </c>
      <c r="V1686" t="s">
        <v>71</v>
      </c>
      <c r="W1686" t="s">
        <v>95</v>
      </c>
      <c r="X1686" s="4">
        <v>0</v>
      </c>
      <c r="Y1686" t="s">
        <v>58</v>
      </c>
      <c r="Z1686">
        <v>0</v>
      </c>
      <c r="AA1686" s="3">
        <v>0</v>
      </c>
      <c r="AB1686">
        <v>372.5</v>
      </c>
      <c r="AC1686">
        <v>0</v>
      </c>
      <c r="AD1686" s="3">
        <v>0</v>
      </c>
      <c r="AE1686" s="3">
        <v>500</v>
      </c>
      <c r="AF1686" t="s">
        <v>54</v>
      </c>
      <c r="AG1686" t="s">
        <v>59</v>
      </c>
      <c r="AI1686" t="s">
        <v>73</v>
      </c>
      <c r="AJ1686" t="s">
        <v>73</v>
      </c>
      <c r="AK1686" s="5">
        <v>46035.460555555554</v>
      </c>
      <c r="AO1686" t="s">
        <v>54</v>
      </c>
      <c r="AP1686">
        <v>0</v>
      </c>
      <c r="AR1686" t="s">
        <v>54</v>
      </c>
      <c r="AS1686" t="s">
        <v>54</v>
      </c>
      <c r="AT1686">
        <v>3204</v>
      </c>
      <c r="AU1686" t="s">
        <v>55</v>
      </c>
    </row>
    <row r="1687" spans="1:47" x14ac:dyDescent="0.25">
      <c r="A1687" t="s">
        <v>96</v>
      </c>
      <c r="B1687" s="1">
        <v>38431</v>
      </c>
      <c r="C1687" t="s">
        <v>48</v>
      </c>
      <c r="D1687" t="s">
        <v>49</v>
      </c>
      <c r="E1687" s="2">
        <v>46035</v>
      </c>
      <c r="F1687" t="s">
        <v>127</v>
      </c>
      <c r="G1687" t="s">
        <v>109</v>
      </c>
      <c r="H1687" s="3">
        <v>1278.5</v>
      </c>
      <c r="I1687" s="3">
        <v>1278.5</v>
      </c>
      <c r="J1687">
        <v>0</v>
      </c>
      <c r="K1687" s="3">
        <v>1278.5</v>
      </c>
      <c r="L1687" s="3">
        <v>207.5</v>
      </c>
      <c r="M1687" s="3">
        <v>92.13</v>
      </c>
      <c r="N1687" t="s">
        <v>84</v>
      </c>
      <c r="O1687" t="s">
        <v>53</v>
      </c>
      <c r="P1687" t="s">
        <v>53</v>
      </c>
      <c r="Q1687" t="s">
        <v>53</v>
      </c>
      <c r="R1687" t="s">
        <v>54</v>
      </c>
      <c r="S1687" t="s">
        <v>54</v>
      </c>
      <c r="T1687" t="s">
        <v>55</v>
      </c>
      <c r="U1687">
        <v>9</v>
      </c>
      <c r="V1687" t="s">
        <v>71</v>
      </c>
      <c r="W1687" t="s">
        <v>114</v>
      </c>
      <c r="X1687" s="4">
        <v>0</v>
      </c>
      <c r="Y1687" t="s">
        <v>62</v>
      </c>
      <c r="Z1687" s="3"/>
      <c r="AD1687" s="3"/>
      <c r="AE1687" s="3"/>
      <c r="AK1687" s="5"/>
    </row>
    <row r="1688" spans="1:47" x14ac:dyDescent="0.25">
      <c r="A1688" t="s">
        <v>63</v>
      </c>
      <c r="B1688" s="1">
        <v>207.5</v>
      </c>
      <c r="C1688">
        <v>0</v>
      </c>
      <c r="D1688">
        <v>0</v>
      </c>
      <c r="E1688" s="2">
        <v>0</v>
      </c>
      <c r="F1688">
        <v>0</v>
      </c>
      <c r="G1688">
        <v>50</v>
      </c>
      <c r="H1688" s="3" t="s">
        <v>54</v>
      </c>
      <c r="I1688" s="3" t="s">
        <v>59</v>
      </c>
      <c r="J1688" t="s">
        <v>128</v>
      </c>
      <c r="K1688" s="3" t="s">
        <v>73</v>
      </c>
      <c r="L1688" s="3" t="s">
        <v>73</v>
      </c>
      <c r="M1688" s="3">
        <v>46035.491793981484</v>
      </c>
      <c r="Q1688" t="s">
        <v>54</v>
      </c>
      <c r="R1688">
        <v>0</v>
      </c>
      <c r="T1688" t="s">
        <v>54</v>
      </c>
      <c r="U1688" t="s">
        <v>54</v>
      </c>
      <c r="V1688">
        <v>4963</v>
      </c>
      <c r="W1688" t="s">
        <v>55</v>
      </c>
      <c r="X1688" s="4"/>
      <c r="Z1688" s="3"/>
      <c r="AD1688" s="3"/>
      <c r="AE1688" s="3"/>
      <c r="AK1688" s="5"/>
    </row>
    <row r="1689" spans="1:47" x14ac:dyDescent="0.25">
      <c r="A1689" t="s">
        <v>96</v>
      </c>
      <c r="B1689" s="1">
        <v>38432</v>
      </c>
      <c r="C1689" t="s">
        <v>48</v>
      </c>
      <c r="D1689" t="s">
        <v>49</v>
      </c>
      <c r="E1689" s="2">
        <v>46035</v>
      </c>
      <c r="F1689" t="s">
        <v>127</v>
      </c>
      <c r="G1689" t="s">
        <v>109</v>
      </c>
      <c r="H1689" s="3">
        <v>2557</v>
      </c>
      <c r="I1689" s="3">
        <v>2557</v>
      </c>
      <c r="J1689">
        <v>0</v>
      </c>
      <c r="K1689" s="3">
        <v>2557</v>
      </c>
      <c r="L1689" s="3">
        <v>415</v>
      </c>
      <c r="M1689" s="3">
        <v>184.26</v>
      </c>
      <c r="N1689" t="s">
        <v>84</v>
      </c>
      <c r="O1689" t="s">
        <v>53</v>
      </c>
      <c r="P1689" t="s">
        <v>53</v>
      </c>
      <c r="Q1689" t="s">
        <v>53</v>
      </c>
      <c r="R1689" t="s">
        <v>54</v>
      </c>
      <c r="S1689" t="s">
        <v>54</v>
      </c>
      <c r="T1689" t="s">
        <v>55</v>
      </c>
      <c r="U1689">
        <v>9</v>
      </c>
      <c r="V1689" t="s">
        <v>71</v>
      </c>
      <c r="W1689" t="s">
        <v>114</v>
      </c>
      <c r="X1689" s="4">
        <v>0</v>
      </c>
      <c r="Y1689" t="s">
        <v>62</v>
      </c>
      <c r="AD1689" s="3"/>
      <c r="AE1689" s="3"/>
      <c r="AK1689" s="5"/>
    </row>
    <row r="1690" spans="1:47" x14ac:dyDescent="0.25">
      <c r="A1690" t="s">
        <v>63</v>
      </c>
      <c r="B1690" s="1">
        <v>415</v>
      </c>
      <c r="C1690">
        <v>0</v>
      </c>
      <c r="D1690">
        <v>0</v>
      </c>
      <c r="E1690" s="2">
        <v>0</v>
      </c>
      <c r="F1690">
        <v>0</v>
      </c>
      <c r="G1690" s="3">
        <v>100</v>
      </c>
      <c r="H1690" s="3" t="s">
        <v>54</v>
      </c>
      <c r="I1690" s="3" t="s">
        <v>59</v>
      </c>
      <c r="J1690" t="s">
        <v>128</v>
      </c>
      <c r="K1690" s="3" t="s">
        <v>73</v>
      </c>
      <c r="L1690" s="3" t="s">
        <v>73</v>
      </c>
      <c r="M1690" s="3">
        <v>46035.490428240744</v>
      </c>
      <c r="Q1690" t="s">
        <v>54</v>
      </c>
      <c r="R1690">
        <v>0</v>
      </c>
      <c r="T1690" t="s">
        <v>54</v>
      </c>
      <c r="U1690" t="s">
        <v>54</v>
      </c>
      <c r="V1690">
        <v>4963</v>
      </c>
      <c r="W1690" t="s">
        <v>55</v>
      </c>
      <c r="X1690" s="4"/>
      <c r="AD1690" s="3"/>
      <c r="AE1690" s="3"/>
      <c r="AK1690" s="5"/>
    </row>
    <row r="1691" spans="1:47" x14ac:dyDescent="0.25">
      <c r="A1691" t="s">
        <v>47</v>
      </c>
      <c r="B1691" s="1">
        <v>38433</v>
      </c>
      <c r="C1691" t="s">
        <v>48</v>
      </c>
      <c r="D1691" t="s">
        <v>49</v>
      </c>
      <c r="E1691" s="2">
        <v>46035</v>
      </c>
      <c r="F1691" t="s">
        <v>129</v>
      </c>
      <c r="G1691" t="s">
        <v>130</v>
      </c>
      <c r="H1691" s="3">
        <v>6480</v>
      </c>
      <c r="I1691" s="3">
        <v>6480</v>
      </c>
      <c r="J1691">
        <v>0</v>
      </c>
      <c r="K1691" s="3">
        <v>7452</v>
      </c>
      <c r="L1691" s="3">
        <v>1164</v>
      </c>
      <c r="M1691" s="3">
        <v>488.88</v>
      </c>
      <c r="N1691" t="s">
        <v>52</v>
      </c>
      <c r="O1691" t="s">
        <v>53</v>
      </c>
      <c r="P1691" t="s">
        <v>53</v>
      </c>
      <c r="Q1691" t="s">
        <v>53</v>
      </c>
      <c r="R1691" t="s">
        <v>54</v>
      </c>
      <c r="S1691" t="s">
        <v>54</v>
      </c>
      <c r="T1691" t="s">
        <v>55</v>
      </c>
      <c r="U1691">
        <v>126</v>
      </c>
      <c r="V1691" t="s">
        <v>56</v>
      </c>
      <c r="W1691" t="s">
        <v>131</v>
      </c>
      <c r="X1691" s="4">
        <v>0</v>
      </c>
      <c r="Y1691" t="s">
        <v>62</v>
      </c>
      <c r="AD1691" s="3"/>
      <c r="AE1691" s="3"/>
      <c r="AK1691" s="5"/>
    </row>
    <row r="1692" spans="1:47" x14ac:dyDescent="0.25">
      <c r="A1692" t="s">
        <v>63</v>
      </c>
      <c r="B1692" s="1">
        <v>1164</v>
      </c>
      <c r="C1692">
        <v>0</v>
      </c>
      <c r="D1692" s="3">
        <v>0</v>
      </c>
      <c r="E1692" s="2">
        <v>0</v>
      </c>
      <c r="F1692">
        <v>0</v>
      </c>
      <c r="G1692" s="3">
        <v>1000</v>
      </c>
      <c r="H1692" s="3" t="s">
        <v>54</v>
      </c>
      <c r="I1692" s="3" t="s">
        <v>59</v>
      </c>
      <c r="K1692" s="3" t="s">
        <v>73</v>
      </c>
      <c r="L1692" s="3" t="s">
        <v>73</v>
      </c>
      <c r="M1692" s="3">
        <v>46035.629131944443</v>
      </c>
      <c r="Q1692" t="s">
        <v>54</v>
      </c>
      <c r="R1692">
        <v>0</v>
      </c>
      <c r="T1692" t="s">
        <v>54</v>
      </c>
      <c r="U1692" t="s">
        <v>54</v>
      </c>
      <c r="V1692">
        <v>6379</v>
      </c>
      <c r="W1692" t="s">
        <v>55</v>
      </c>
      <c r="X1692" s="4"/>
      <c r="AD1692" s="3"/>
      <c r="AE1692" s="3"/>
      <c r="AK1692" s="5"/>
    </row>
    <row r="1693" spans="1:47" x14ac:dyDescent="0.25">
      <c r="A1693" t="s">
        <v>81</v>
      </c>
      <c r="B1693" s="1">
        <v>38434</v>
      </c>
      <c r="C1693" t="s">
        <v>48</v>
      </c>
      <c r="D1693" t="s">
        <v>49</v>
      </c>
      <c r="E1693" s="2">
        <v>46035</v>
      </c>
      <c r="F1693" t="s">
        <v>132</v>
      </c>
      <c r="G1693" s="3" t="s">
        <v>87</v>
      </c>
      <c r="H1693" s="3">
        <v>6760</v>
      </c>
      <c r="I1693" s="3">
        <v>6760</v>
      </c>
      <c r="J1693">
        <v>0</v>
      </c>
      <c r="K1693" s="3">
        <v>6760</v>
      </c>
      <c r="L1693" s="3">
        <v>1184</v>
      </c>
      <c r="M1693" s="3">
        <v>680.8</v>
      </c>
      <c r="N1693" t="s">
        <v>77</v>
      </c>
      <c r="O1693" t="s">
        <v>53</v>
      </c>
      <c r="P1693" t="s">
        <v>53</v>
      </c>
      <c r="Q1693" t="s">
        <v>53</v>
      </c>
      <c r="R1693" t="s">
        <v>54</v>
      </c>
      <c r="S1693" t="s">
        <v>54</v>
      </c>
      <c r="T1693" t="s">
        <v>55</v>
      </c>
      <c r="U1693">
        <v>83</v>
      </c>
      <c r="V1693" t="s">
        <v>56</v>
      </c>
      <c r="W1693">
        <v>0</v>
      </c>
      <c r="X1693" s="4">
        <v>0</v>
      </c>
      <c r="Y1693" t="s">
        <v>58</v>
      </c>
      <c r="Z1693">
        <v>0</v>
      </c>
      <c r="AA1693" s="3">
        <v>0</v>
      </c>
      <c r="AB1693" s="3">
        <v>1184</v>
      </c>
      <c r="AC1693">
        <v>0</v>
      </c>
      <c r="AD1693" s="3">
        <v>0</v>
      </c>
      <c r="AE1693" s="3">
        <v>2000</v>
      </c>
      <c r="AF1693" t="s">
        <v>54</v>
      </c>
      <c r="AG1693" t="s">
        <v>59</v>
      </c>
      <c r="AI1693" t="s">
        <v>80</v>
      </c>
      <c r="AJ1693" t="s">
        <v>73</v>
      </c>
      <c r="AK1693" s="5">
        <v>46035.724131944444</v>
      </c>
      <c r="AO1693" t="s">
        <v>54</v>
      </c>
      <c r="AP1693">
        <v>0</v>
      </c>
      <c r="AR1693" t="s">
        <v>54</v>
      </c>
      <c r="AS1693" t="s">
        <v>54</v>
      </c>
      <c r="AT1693">
        <v>5289</v>
      </c>
      <c r="AU1693" t="s">
        <v>55</v>
      </c>
    </row>
    <row r="1694" spans="1:47" x14ac:dyDescent="0.25">
      <c r="A1694" t="s">
        <v>47</v>
      </c>
      <c r="B1694" s="1">
        <v>38435</v>
      </c>
      <c r="C1694" t="s">
        <v>48</v>
      </c>
      <c r="D1694" t="s">
        <v>49</v>
      </c>
      <c r="E1694" s="2">
        <v>46035</v>
      </c>
      <c r="F1694" t="s">
        <v>133</v>
      </c>
      <c r="G1694" s="3" t="s">
        <v>89</v>
      </c>
      <c r="H1694" s="3">
        <v>10630</v>
      </c>
      <c r="I1694" s="3">
        <v>10630</v>
      </c>
      <c r="J1694">
        <v>0</v>
      </c>
      <c r="K1694" s="3">
        <v>12224.5</v>
      </c>
      <c r="L1694" s="3">
        <v>1685</v>
      </c>
      <c r="M1694" s="3">
        <v>876.2</v>
      </c>
      <c r="N1694" t="s">
        <v>52</v>
      </c>
      <c r="O1694" t="s">
        <v>53</v>
      </c>
      <c r="P1694" t="s">
        <v>53</v>
      </c>
      <c r="Q1694" t="s">
        <v>53</v>
      </c>
      <c r="R1694" t="s">
        <v>54</v>
      </c>
      <c r="S1694" t="s">
        <v>54</v>
      </c>
      <c r="T1694" t="s">
        <v>55</v>
      </c>
      <c r="U1694">
        <v>126</v>
      </c>
      <c r="V1694" t="s">
        <v>56</v>
      </c>
      <c r="W1694" t="s">
        <v>134</v>
      </c>
      <c r="X1694" s="4">
        <v>0</v>
      </c>
      <c r="Y1694" t="s">
        <v>58</v>
      </c>
      <c r="Z1694">
        <v>0</v>
      </c>
      <c r="AA1694">
        <v>0</v>
      </c>
      <c r="AB1694" s="3">
        <v>0</v>
      </c>
      <c r="AC1694">
        <v>0</v>
      </c>
      <c r="AD1694" s="3">
        <v>1685</v>
      </c>
      <c r="AE1694" s="3">
        <v>1000</v>
      </c>
      <c r="AF1694" t="s">
        <v>54</v>
      </c>
      <c r="AG1694" t="s">
        <v>59</v>
      </c>
      <c r="AI1694" t="s">
        <v>60</v>
      </c>
      <c r="AJ1694" t="s">
        <v>60</v>
      </c>
      <c r="AK1694" s="5">
        <v>46035.861909722225</v>
      </c>
      <c r="AO1694" t="s">
        <v>54</v>
      </c>
      <c r="AP1694">
        <v>0</v>
      </c>
      <c r="AR1694" t="s">
        <v>54</v>
      </c>
      <c r="AS1694" t="s">
        <v>54</v>
      </c>
      <c r="AT1694">
        <v>6130</v>
      </c>
      <c r="AU1694" t="s">
        <v>55</v>
      </c>
    </row>
    <row r="1695" spans="1:47" x14ac:dyDescent="0.25">
      <c r="A1695" t="s">
        <v>47</v>
      </c>
      <c r="B1695" s="1">
        <v>38436</v>
      </c>
      <c r="C1695" t="s">
        <v>48</v>
      </c>
      <c r="D1695" t="s">
        <v>49</v>
      </c>
      <c r="E1695" s="2">
        <v>46036</v>
      </c>
      <c r="F1695" t="s">
        <v>50</v>
      </c>
      <c r="G1695" t="s">
        <v>51</v>
      </c>
      <c r="H1695" s="3">
        <v>28250</v>
      </c>
      <c r="I1695" s="3">
        <v>28250</v>
      </c>
      <c r="J1695">
        <v>0</v>
      </c>
      <c r="K1695" s="3">
        <v>32487.5</v>
      </c>
      <c r="L1695" s="3">
        <v>5860</v>
      </c>
      <c r="M1695" s="3">
        <v>2216.1799999999998</v>
      </c>
      <c r="N1695" t="s">
        <v>52</v>
      </c>
      <c r="O1695" t="s">
        <v>53</v>
      </c>
      <c r="P1695" t="s">
        <v>53</v>
      </c>
      <c r="Q1695" t="s">
        <v>53</v>
      </c>
      <c r="R1695" t="s">
        <v>54</v>
      </c>
      <c r="S1695" t="s">
        <v>54</v>
      </c>
      <c r="T1695" t="s">
        <v>55</v>
      </c>
      <c r="U1695">
        <v>126</v>
      </c>
      <c r="V1695" t="s">
        <v>56</v>
      </c>
      <c r="W1695" t="s">
        <v>57</v>
      </c>
      <c r="X1695" s="4">
        <v>0</v>
      </c>
      <c r="Y1695" t="s">
        <v>58</v>
      </c>
      <c r="Z1695" s="3">
        <v>5860</v>
      </c>
      <c r="AA1695">
        <v>0</v>
      </c>
      <c r="AB1695">
        <v>0</v>
      </c>
      <c r="AC1695">
        <v>0</v>
      </c>
      <c r="AD1695" s="3">
        <v>0</v>
      </c>
      <c r="AE1695" s="3">
        <v>10000</v>
      </c>
      <c r="AF1695" t="s">
        <v>54</v>
      </c>
      <c r="AG1695" t="s">
        <v>59</v>
      </c>
      <c r="AI1695" t="s">
        <v>92</v>
      </c>
      <c r="AJ1695" t="s">
        <v>73</v>
      </c>
      <c r="AK1695" s="5">
        <v>46036.454861111109</v>
      </c>
      <c r="AO1695" t="s">
        <v>54</v>
      </c>
      <c r="AP1695">
        <v>0</v>
      </c>
      <c r="AR1695" t="s">
        <v>54</v>
      </c>
      <c r="AS1695" t="s">
        <v>54</v>
      </c>
      <c r="AT1695">
        <v>6611</v>
      </c>
      <c r="AU1695" t="s">
        <v>55</v>
      </c>
    </row>
    <row r="1696" spans="1:47" x14ac:dyDescent="0.25">
      <c r="A1696" t="s">
        <v>47</v>
      </c>
      <c r="B1696" s="1">
        <v>38437</v>
      </c>
      <c r="C1696" t="s">
        <v>48</v>
      </c>
      <c r="D1696" t="s">
        <v>49</v>
      </c>
      <c r="E1696" s="2">
        <v>46036</v>
      </c>
      <c r="F1696" t="s">
        <v>135</v>
      </c>
      <c r="G1696" t="s">
        <v>94</v>
      </c>
      <c r="H1696" s="3">
        <v>9330</v>
      </c>
      <c r="I1696" s="3">
        <v>9330</v>
      </c>
      <c r="J1696">
        <v>0</v>
      </c>
      <c r="K1696" s="3">
        <v>9330</v>
      </c>
      <c r="L1696" s="3">
        <v>1983.5</v>
      </c>
      <c r="M1696" s="3">
        <v>667.84</v>
      </c>
      <c r="N1696" t="s">
        <v>52</v>
      </c>
      <c r="O1696" t="s">
        <v>53</v>
      </c>
      <c r="P1696" t="s">
        <v>53</v>
      </c>
      <c r="Q1696" t="s">
        <v>53</v>
      </c>
      <c r="R1696" t="s">
        <v>54</v>
      </c>
      <c r="S1696" t="s">
        <v>54</v>
      </c>
      <c r="T1696" t="s">
        <v>55</v>
      </c>
      <c r="U1696">
        <v>126</v>
      </c>
      <c r="V1696" t="s">
        <v>56</v>
      </c>
      <c r="W1696" t="s">
        <v>117</v>
      </c>
      <c r="X1696" s="4">
        <v>0</v>
      </c>
      <c r="Y1696" t="s">
        <v>62</v>
      </c>
      <c r="Z1696" s="3"/>
      <c r="AE1696" s="3"/>
      <c r="AK1696" s="5"/>
    </row>
    <row r="1697" spans="1:47" x14ac:dyDescent="0.25">
      <c r="A1697" t="s">
        <v>63</v>
      </c>
      <c r="B1697" s="1">
        <v>1983.5</v>
      </c>
      <c r="C1697">
        <v>0</v>
      </c>
      <c r="D1697">
        <v>0</v>
      </c>
      <c r="E1697" s="2">
        <v>0</v>
      </c>
      <c r="F1697">
        <v>0</v>
      </c>
      <c r="G1697" s="3">
        <v>25000</v>
      </c>
      <c r="H1697" s="3" t="s">
        <v>54</v>
      </c>
      <c r="I1697" s="3" t="s">
        <v>59</v>
      </c>
      <c r="K1697" s="3" t="s">
        <v>73</v>
      </c>
      <c r="L1697" s="3" t="s">
        <v>73</v>
      </c>
      <c r="M1697" s="3">
        <v>46037.328819444447</v>
      </c>
      <c r="Q1697" t="s">
        <v>54</v>
      </c>
      <c r="R1697">
        <v>0</v>
      </c>
      <c r="T1697" t="s">
        <v>54</v>
      </c>
      <c r="U1697" t="s">
        <v>54</v>
      </c>
      <c r="V1697">
        <v>3366</v>
      </c>
      <c r="W1697" t="s">
        <v>55</v>
      </c>
      <c r="X1697" s="4"/>
      <c r="AK1697" s="5"/>
    </row>
    <row r="1698" spans="1:47" x14ac:dyDescent="0.25">
      <c r="A1698" t="s">
        <v>47</v>
      </c>
      <c r="B1698" s="1">
        <v>38438</v>
      </c>
      <c r="C1698" t="s">
        <v>48</v>
      </c>
      <c r="D1698" s="3" t="s">
        <v>49</v>
      </c>
      <c r="E1698" s="2">
        <v>46037</v>
      </c>
      <c r="F1698" t="s">
        <v>101</v>
      </c>
      <c r="G1698" s="3" t="s">
        <v>94</v>
      </c>
      <c r="H1698" s="3">
        <v>23030</v>
      </c>
      <c r="I1698" s="3">
        <v>23030</v>
      </c>
      <c r="J1698">
        <v>0</v>
      </c>
      <c r="K1698" s="3">
        <v>26484.5</v>
      </c>
      <c r="L1698" s="3">
        <v>3401</v>
      </c>
      <c r="M1698" s="3">
        <v>1902.72</v>
      </c>
      <c r="N1698" t="s">
        <v>84</v>
      </c>
      <c r="O1698" t="s">
        <v>53</v>
      </c>
      <c r="P1698" t="s">
        <v>53</v>
      </c>
      <c r="Q1698" t="s">
        <v>53</v>
      </c>
      <c r="R1698" t="s">
        <v>54</v>
      </c>
      <c r="S1698" t="s">
        <v>54</v>
      </c>
      <c r="T1698" t="s">
        <v>55</v>
      </c>
      <c r="U1698">
        <v>9</v>
      </c>
      <c r="V1698" t="s">
        <v>71</v>
      </c>
      <c r="W1698" t="s">
        <v>102</v>
      </c>
      <c r="X1698" s="4">
        <v>0</v>
      </c>
      <c r="Y1698" t="s">
        <v>58</v>
      </c>
      <c r="Z1698">
        <v>710</v>
      </c>
      <c r="AA1698">
        <v>0</v>
      </c>
      <c r="AB1698" s="3">
        <v>2691</v>
      </c>
      <c r="AC1698">
        <v>0</v>
      </c>
      <c r="AD1698">
        <v>0</v>
      </c>
      <c r="AE1698" s="3">
        <v>2000</v>
      </c>
      <c r="AF1698" t="s">
        <v>54</v>
      </c>
      <c r="AG1698" t="s">
        <v>59</v>
      </c>
      <c r="AH1698" t="s">
        <v>103</v>
      </c>
      <c r="AI1698" t="s">
        <v>92</v>
      </c>
      <c r="AJ1698" t="s">
        <v>92</v>
      </c>
      <c r="AK1698" s="5">
        <v>46037.309687499997</v>
      </c>
      <c r="AO1698" t="s">
        <v>54</v>
      </c>
      <c r="AP1698">
        <v>0</v>
      </c>
      <c r="AR1698" t="s">
        <v>54</v>
      </c>
      <c r="AS1698" t="s">
        <v>54</v>
      </c>
      <c r="AT1698">
        <v>161</v>
      </c>
      <c r="AU1698" t="s">
        <v>55</v>
      </c>
    </row>
    <row r="1699" spans="1:47" x14ac:dyDescent="0.25">
      <c r="A1699" t="s">
        <v>136</v>
      </c>
      <c r="B1699" s="1">
        <v>38439</v>
      </c>
      <c r="C1699" t="s">
        <v>48</v>
      </c>
      <c r="D1699" t="s">
        <v>49</v>
      </c>
      <c r="E1699" s="2">
        <v>46037</v>
      </c>
      <c r="F1699" t="s">
        <v>406</v>
      </c>
      <c r="G1699" t="s">
        <v>138</v>
      </c>
      <c r="H1699" s="3">
        <v>16100</v>
      </c>
      <c r="I1699" s="3">
        <v>16100</v>
      </c>
      <c r="J1699">
        <v>0</v>
      </c>
      <c r="K1699" s="3">
        <v>16100</v>
      </c>
      <c r="L1699" s="3">
        <v>4892</v>
      </c>
      <c r="M1699" s="3">
        <v>2141.16</v>
      </c>
      <c r="N1699" t="s">
        <v>52</v>
      </c>
      <c r="O1699" t="s">
        <v>53</v>
      </c>
      <c r="P1699" t="s">
        <v>53</v>
      </c>
      <c r="Q1699" t="s">
        <v>53</v>
      </c>
      <c r="R1699" t="s">
        <v>54</v>
      </c>
      <c r="S1699" t="s">
        <v>54</v>
      </c>
      <c r="T1699" t="s">
        <v>55</v>
      </c>
      <c r="U1699">
        <v>126</v>
      </c>
      <c r="V1699" t="s">
        <v>56</v>
      </c>
      <c r="W1699" t="s">
        <v>114</v>
      </c>
      <c r="X1699" s="4">
        <v>0</v>
      </c>
      <c r="Y1699" t="s">
        <v>62</v>
      </c>
      <c r="AB1699" s="3"/>
      <c r="AE1699" s="3"/>
      <c r="AK1699" s="5"/>
    </row>
    <row r="1700" spans="1:47" x14ac:dyDescent="0.25">
      <c r="A1700" t="s">
        <v>63</v>
      </c>
      <c r="B1700" s="1">
        <v>4892</v>
      </c>
      <c r="C1700">
        <v>0</v>
      </c>
      <c r="D1700" s="3">
        <v>0</v>
      </c>
      <c r="E1700" s="2">
        <v>0</v>
      </c>
      <c r="F1700">
        <v>0</v>
      </c>
      <c r="G1700" s="3">
        <v>3000</v>
      </c>
      <c r="H1700" s="3" t="s">
        <v>54</v>
      </c>
      <c r="I1700" s="3" t="s">
        <v>59</v>
      </c>
      <c r="J1700" t="s">
        <v>182</v>
      </c>
      <c r="K1700" s="3" t="s">
        <v>60</v>
      </c>
      <c r="L1700" s="3" t="s">
        <v>60</v>
      </c>
      <c r="M1700" s="3">
        <v>46037.491076388891</v>
      </c>
      <c r="Q1700" t="s">
        <v>54</v>
      </c>
      <c r="R1700">
        <v>0</v>
      </c>
      <c r="T1700" t="s">
        <v>54</v>
      </c>
      <c r="U1700" t="s">
        <v>54</v>
      </c>
      <c r="V1700">
        <v>8571</v>
      </c>
      <c r="W1700" t="s">
        <v>55</v>
      </c>
      <c r="X1700" s="4"/>
      <c r="AD1700" s="3"/>
      <c r="AE1700" s="3"/>
      <c r="AK1700" s="5"/>
    </row>
    <row r="1701" spans="1:47" x14ac:dyDescent="0.25">
      <c r="A1701" t="s">
        <v>47</v>
      </c>
      <c r="B1701" s="1">
        <v>38440</v>
      </c>
      <c r="C1701" t="s">
        <v>48</v>
      </c>
      <c r="D1701" t="s">
        <v>49</v>
      </c>
      <c r="E1701" s="2">
        <v>46037</v>
      </c>
      <c r="F1701" t="s">
        <v>139</v>
      </c>
      <c r="G1701" s="3" t="s">
        <v>89</v>
      </c>
      <c r="H1701" s="3">
        <v>3600</v>
      </c>
      <c r="I1701" s="3">
        <v>3600</v>
      </c>
      <c r="J1701">
        <v>0</v>
      </c>
      <c r="K1701" s="3">
        <v>4140</v>
      </c>
      <c r="L1701" s="3">
        <v>439</v>
      </c>
      <c r="M1701" s="3">
        <v>272.18</v>
      </c>
      <c r="N1701" t="s">
        <v>52</v>
      </c>
      <c r="O1701" t="s">
        <v>53</v>
      </c>
      <c r="P1701" t="s">
        <v>53</v>
      </c>
      <c r="Q1701" t="s">
        <v>53</v>
      </c>
      <c r="R1701" t="s">
        <v>54</v>
      </c>
      <c r="S1701" t="s">
        <v>54</v>
      </c>
      <c r="T1701" t="s">
        <v>55</v>
      </c>
      <c r="U1701">
        <v>126</v>
      </c>
      <c r="V1701" t="s">
        <v>56</v>
      </c>
      <c r="W1701" t="s">
        <v>95</v>
      </c>
      <c r="X1701" s="4">
        <v>0</v>
      </c>
      <c r="Y1701" t="s">
        <v>58</v>
      </c>
      <c r="Z1701">
        <v>0</v>
      </c>
      <c r="AA1701">
        <v>0</v>
      </c>
      <c r="AB1701">
        <v>439</v>
      </c>
      <c r="AC1701">
        <v>0</v>
      </c>
      <c r="AD1701">
        <v>0</v>
      </c>
      <c r="AE1701">
        <v>500</v>
      </c>
      <c r="AF1701" t="s">
        <v>54</v>
      </c>
      <c r="AG1701" t="s">
        <v>59</v>
      </c>
      <c r="AI1701" t="s">
        <v>73</v>
      </c>
      <c r="AJ1701" t="s">
        <v>73</v>
      </c>
      <c r="AK1701" s="5">
        <v>46037.576493055552</v>
      </c>
      <c r="AO1701" t="s">
        <v>54</v>
      </c>
      <c r="AP1701">
        <v>0</v>
      </c>
      <c r="AR1701" t="s">
        <v>54</v>
      </c>
      <c r="AS1701" t="s">
        <v>54</v>
      </c>
      <c r="AT1701">
        <v>7224</v>
      </c>
      <c r="AU1701" t="s">
        <v>55</v>
      </c>
    </row>
    <row r="1702" spans="1:47" x14ac:dyDescent="0.25">
      <c r="A1702" t="s">
        <v>81</v>
      </c>
      <c r="B1702" s="1">
        <v>38442</v>
      </c>
      <c r="C1702" t="s">
        <v>48</v>
      </c>
      <c r="D1702" t="s">
        <v>49</v>
      </c>
      <c r="E1702" s="2">
        <v>46037</v>
      </c>
      <c r="F1702" t="s">
        <v>140</v>
      </c>
      <c r="G1702" s="3" t="s">
        <v>141</v>
      </c>
      <c r="H1702" s="3">
        <v>8146</v>
      </c>
      <c r="I1702" s="3">
        <v>8146</v>
      </c>
      <c r="J1702">
        <v>0</v>
      </c>
      <c r="K1702" s="3">
        <v>8146</v>
      </c>
      <c r="L1702" s="3">
        <v>2266.9</v>
      </c>
      <c r="M1702" s="3">
        <v>736.75</v>
      </c>
      <c r="N1702" t="s">
        <v>77</v>
      </c>
      <c r="O1702" t="s">
        <v>53</v>
      </c>
      <c r="P1702" t="s">
        <v>53</v>
      </c>
      <c r="Q1702" t="s">
        <v>53</v>
      </c>
      <c r="R1702" t="s">
        <v>54</v>
      </c>
      <c r="S1702" t="s">
        <v>54</v>
      </c>
      <c r="T1702" t="s">
        <v>55</v>
      </c>
      <c r="U1702">
        <v>83</v>
      </c>
      <c r="W1702" t="s">
        <v>72</v>
      </c>
      <c r="X1702" s="4">
        <v>0</v>
      </c>
      <c r="Y1702" t="s">
        <v>58</v>
      </c>
      <c r="Z1702" s="3">
        <v>2266.9</v>
      </c>
      <c r="AA1702">
        <v>0</v>
      </c>
      <c r="AB1702">
        <v>0</v>
      </c>
      <c r="AC1702">
        <v>0</v>
      </c>
      <c r="AD1702">
        <v>0</v>
      </c>
      <c r="AE1702" s="3">
        <v>2300</v>
      </c>
      <c r="AF1702" t="s">
        <v>54</v>
      </c>
      <c r="AG1702" t="s">
        <v>59</v>
      </c>
      <c r="AH1702" t="s">
        <v>103</v>
      </c>
      <c r="AI1702" t="s">
        <v>80</v>
      </c>
      <c r="AJ1702" t="s">
        <v>73</v>
      </c>
      <c r="AK1702" s="5">
        <v>46038.333622685182</v>
      </c>
      <c r="AO1702" t="s">
        <v>54</v>
      </c>
      <c r="AP1702">
        <v>0</v>
      </c>
      <c r="AR1702" t="s">
        <v>54</v>
      </c>
      <c r="AS1702" t="s">
        <v>54</v>
      </c>
      <c r="AT1702">
        <v>3465</v>
      </c>
      <c r="AU1702" t="s">
        <v>55</v>
      </c>
    </row>
    <row r="1703" spans="1:47" x14ac:dyDescent="0.25">
      <c r="A1703" t="s">
        <v>96</v>
      </c>
      <c r="B1703" s="1">
        <v>38443</v>
      </c>
      <c r="C1703" t="s">
        <v>48</v>
      </c>
      <c r="D1703" t="s">
        <v>49</v>
      </c>
      <c r="E1703" s="2">
        <v>46037</v>
      </c>
      <c r="F1703" t="s">
        <v>142</v>
      </c>
      <c r="G1703" t="s">
        <v>94</v>
      </c>
      <c r="H1703" s="3">
        <v>4122</v>
      </c>
      <c r="I1703" s="3">
        <v>4122</v>
      </c>
      <c r="J1703">
        <v>0</v>
      </c>
      <c r="K1703" s="3">
        <v>4122</v>
      </c>
      <c r="L1703" s="3">
        <v>1069.2</v>
      </c>
      <c r="M1703" s="3">
        <v>310.07</v>
      </c>
      <c r="N1703" t="s">
        <v>106</v>
      </c>
      <c r="O1703" t="s">
        <v>53</v>
      </c>
      <c r="P1703" t="s">
        <v>53</v>
      </c>
      <c r="Q1703" t="s">
        <v>53</v>
      </c>
      <c r="R1703" t="s">
        <v>54</v>
      </c>
      <c r="S1703" t="s">
        <v>54</v>
      </c>
      <c r="T1703" t="s">
        <v>55</v>
      </c>
      <c r="U1703">
        <v>145</v>
      </c>
      <c r="W1703" t="s">
        <v>143</v>
      </c>
      <c r="X1703" s="4">
        <v>0</v>
      </c>
      <c r="Y1703" t="s">
        <v>62</v>
      </c>
      <c r="Z1703" s="3"/>
      <c r="AB1703" s="3"/>
      <c r="AD1703" s="3"/>
      <c r="AE1703" s="3"/>
      <c r="AK1703" s="5"/>
    </row>
    <row r="1704" spans="1:47" x14ac:dyDescent="0.25">
      <c r="A1704" t="s">
        <v>63</v>
      </c>
      <c r="B1704" s="1">
        <v>1069.2</v>
      </c>
      <c r="C1704">
        <v>0</v>
      </c>
      <c r="D1704">
        <v>0</v>
      </c>
      <c r="E1704" s="2">
        <v>0</v>
      </c>
      <c r="F1704">
        <v>0</v>
      </c>
      <c r="G1704" s="3">
        <v>1800</v>
      </c>
      <c r="H1704" s="3" t="s">
        <v>54</v>
      </c>
      <c r="I1704" s="3" t="s">
        <v>59</v>
      </c>
      <c r="J1704" t="s">
        <v>144</v>
      </c>
      <c r="K1704" s="3" t="s">
        <v>73</v>
      </c>
      <c r="L1704" s="3" t="s">
        <v>73</v>
      </c>
      <c r="M1704" s="3">
        <v>46037.664467592593</v>
      </c>
      <c r="Q1704" t="s">
        <v>54</v>
      </c>
      <c r="R1704">
        <v>0</v>
      </c>
      <c r="T1704" t="s">
        <v>54</v>
      </c>
      <c r="U1704" t="s">
        <v>54</v>
      </c>
      <c r="V1704">
        <v>8241</v>
      </c>
      <c r="W1704" t="s">
        <v>55</v>
      </c>
      <c r="X1704" s="4"/>
      <c r="Z1704" s="3"/>
      <c r="AB1704" s="3"/>
      <c r="AD1704" s="3"/>
      <c r="AE1704" s="3"/>
      <c r="AK1704" s="5"/>
    </row>
    <row r="1705" spans="1:47" x14ac:dyDescent="0.25">
      <c r="A1705" t="s">
        <v>96</v>
      </c>
      <c r="B1705" s="3">
        <v>38444</v>
      </c>
      <c r="C1705" t="s">
        <v>48</v>
      </c>
      <c r="D1705" s="3" t="s">
        <v>49</v>
      </c>
      <c r="E1705" s="2">
        <v>46037</v>
      </c>
      <c r="F1705" t="s">
        <v>145</v>
      </c>
      <c r="G1705" s="3" t="s">
        <v>66</v>
      </c>
      <c r="H1705" s="3">
        <v>15024</v>
      </c>
      <c r="I1705" s="3">
        <v>15024</v>
      </c>
      <c r="J1705">
        <v>0</v>
      </c>
      <c r="K1705" s="3">
        <v>15024</v>
      </c>
      <c r="L1705" s="3">
        <v>2781.6</v>
      </c>
      <c r="M1705" s="3">
        <v>1307.3499999999999</v>
      </c>
      <c r="N1705" t="s">
        <v>106</v>
      </c>
      <c r="O1705" t="s">
        <v>53</v>
      </c>
      <c r="P1705" t="s">
        <v>53</v>
      </c>
      <c r="Q1705" t="s">
        <v>53</v>
      </c>
      <c r="R1705" t="s">
        <v>54</v>
      </c>
      <c r="S1705" t="s">
        <v>54</v>
      </c>
      <c r="T1705" t="s">
        <v>55</v>
      </c>
      <c r="U1705">
        <v>145</v>
      </c>
      <c r="V1705" t="s">
        <v>146</v>
      </c>
      <c r="W1705" t="s">
        <v>147</v>
      </c>
      <c r="X1705" s="4">
        <v>0</v>
      </c>
      <c r="Y1705" t="s">
        <v>58</v>
      </c>
      <c r="Z1705" s="3">
        <v>0</v>
      </c>
      <c r="AA1705">
        <v>0</v>
      </c>
      <c r="AB1705">
        <v>0</v>
      </c>
      <c r="AC1705">
        <v>0</v>
      </c>
      <c r="AD1705" s="3">
        <v>2781.6</v>
      </c>
      <c r="AE1705" s="3">
        <v>2400</v>
      </c>
      <c r="AF1705" t="s">
        <v>54</v>
      </c>
      <c r="AG1705" t="s">
        <v>59</v>
      </c>
      <c r="AI1705" t="s">
        <v>73</v>
      </c>
      <c r="AJ1705" t="s">
        <v>73</v>
      </c>
      <c r="AK1705" s="5">
        <v>46037.702175925922</v>
      </c>
      <c r="AO1705" t="s">
        <v>54</v>
      </c>
      <c r="AP1705">
        <v>0</v>
      </c>
      <c r="AR1705" t="s">
        <v>54</v>
      </c>
      <c r="AS1705" t="s">
        <v>54</v>
      </c>
      <c r="AT1705">
        <v>1301</v>
      </c>
      <c r="AU1705" t="s">
        <v>55</v>
      </c>
    </row>
    <row r="1706" spans="1:47" x14ac:dyDescent="0.25">
      <c r="A1706" t="s">
        <v>96</v>
      </c>
      <c r="B1706" s="1">
        <v>38445</v>
      </c>
      <c r="C1706" t="s">
        <v>48</v>
      </c>
      <c r="D1706" t="s">
        <v>49</v>
      </c>
      <c r="E1706" s="2">
        <v>46037</v>
      </c>
      <c r="F1706" t="s">
        <v>145</v>
      </c>
      <c r="G1706" t="s">
        <v>66</v>
      </c>
      <c r="H1706" s="3">
        <v>18780</v>
      </c>
      <c r="I1706" s="3">
        <v>18780</v>
      </c>
      <c r="J1706">
        <v>0</v>
      </c>
      <c r="K1706" s="3">
        <v>18780</v>
      </c>
      <c r="L1706" s="3">
        <v>3477</v>
      </c>
      <c r="M1706" s="3">
        <v>1634.19</v>
      </c>
      <c r="N1706" t="s">
        <v>106</v>
      </c>
      <c r="O1706" t="s">
        <v>53</v>
      </c>
      <c r="P1706" t="s">
        <v>53</v>
      </c>
      <c r="Q1706" t="s">
        <v>53</v>
      </c>
      <c r="R1706" t="s">
        <v>54</v>
      </c>
      <c r="S1706" t="s">
        <v>54</v>
      </c>
      <c r="T1706" t="s">
        <v>55</v>
      </c>
      <c r="U1706">
        <v>145</v>
      </c>
      <c r="V1706" t="s">
        <v>146</v>
      </c>
      <c r="W1706" t="s">
        <v>147</v>
      </c>
      <c r="X1706" s="4">
        <v>0</v>
      </c>
      <c r="Y1706" t="s">
        <v>58</v>
      </c>
      <c r="Z1706" s="3">
        <v>0</v>
      </c>
      <c r="AA1706">
        <v>0</v>
      </c>
      <c r="AB1706">
        <v>0</v>
      </c>
      <c r="AC1706">
        <v>0</v>
      </c>
      <c r="AD1706" s="3">
        <v>3477</v>
      </c>
      <c r="AE1706" s="3">
        <v>3000</v>
      </c>
      <c r="AF1706" t="s">
        <v>54</v>
      </c>
      <c r="AG1706" t="s">
        <v>59</v>
      </c>
      <c r="AI1706" t="s">
        <v>73</v>
      </c>
      <c r="AJ1706" t="s">
        <v>73</v>
      </c>
      <c r="AK1706" s="5">
        <v>46037.702291666668</v>
      </c>
      <c r="AO1706" t="s">
        <v>54</v>
      </c>
      <c r="AP1706">
        <v>0</v>
      </c>
      <c r="AR1706" t="s">
        <v>54</v>
      </c>
      <c r="AS1706" t="s">
        <v>54</v>
      </c>
      <c r="AT1706">
        <v>1301</v>
      </c>
      <c r="AU1706" t="s">
        <v>55</v>
      </c>
    </row>
    <row r="1707" spans="1:47" x14ac:dyDescent="0.25">
      <c r="A1707" t="s">
        <v>81</v>
      </c>
      <c r="B1707" s="1">
        <v>38446</v>
      </c>
      <c r="C1707" t="s">
        <v>48</v>
      </c>
      <c r="D1707" t="s">
        <v>49</v>
      </c>
      <c r="E1707" s="2">
        <v>46037</v>
      </c>
      <c r="F1707" t="s">
        <v>145</v>
      </c>
      <c r="G1707" s="3" t="s">
        <v>66</v>
      </c>
      <c r="H1707" s="3">
        <v>22536</v>
      </c>
      <c r="I1707" s="3">
        <v>22536</v>
      </c>
      <c r="J1707">
        <v>0</v>
      </c>
      <c r="K1707" s="3">
        <v>22536</v>
      </c>
      <c r="L1707" s="3">
        <v>4172.3999999999996</v>
      </c>
      <c r="M1707" s="3">
        <v>1961.03</v>
      </c>
      <c r="N1707" t="s">
        <v>106</v>
      </c>
      <c r="O1707" t="s">
        <v>53</v>
      </c>
      <c r="P1707" t="s">
        <v>53</v>
      </c>
      <c r="Q1707" t="s">
        <v>53</v>
      </c>
      <c r="R1707" t="s">
        <v>54</v>
      </c>
      <c r="S1707" t="s">
        <v>54</v>
      </c>
      <c r="T1707" t="s">
        <v>55</v>
      </c>
      <c r="U1707">
        <v>145</v>
      </c>
      <c r="V1707" t="s">
        <v>146</v>
      </c>
      <c r="W1707" t="s">
        <v>147</v>
      </c>
      <c r="X1707" s="4">
        <v>0</v>
      </c>
      <c r="Y1707" t="s">
        <v>58</v>
      </c>
      <c r="Z1707">
        <v>0</v>
      </c>
      <c r="AA1707">
        <v>0</v>
      </c>
      <c r="AB1707">
        <v>0</v>
      </c>
      <c r="AC1707">
        <v>0</v>
      </c>
      <c r="AD1707" s="3">
        <v>4172.3999999999996</v>
      </c>
      <c r="AE1707" s="3">
        <v>3600</v>
      </c>
      <c r="AF1707" t="s">
        <v>54</v>
      </c>
      <c r="AG1707" t="s">
        <v>59</v>
      </c>
      <c r="AI1707" t="s">
        <v>73</v>
      </c>
      <c r="AJ1707" t="s">
        <v>73</v>
      </c>
      <c r="AK1707" s="5">
        <v>46037.702465277776</v>
      </c>
      <c r="AO1707" t="s">
        <v>54</v>
      </c>
      <c r="AP1707">
        <v>0</v>
      </c>
      <c r="AR1707" t="s">
        <v>54</v>
      </c>
      <c r="AS1707" t="s">
        <v>54</v>
      </c>
      <c r="AT1707">
        <v>1301</v>
      </c>
      <c r="AU1707" t="s">
        <v>55</v>
      </c>
    </row>
    <row r="1708" spans="1:47" x14ac:dyDescent="0.25">
      <c r="A1708" t="s">
        <v>81</v>
      </c>
      <c r="B1708" s="3">
        <v>38447</v>
      </c>
      <c r="C1708" t="s">
        <v>48</v>
      </c>
      <c r="D1708" t="s">
        <v>49</v>
      </c>
      <c r="E1708" s="2">
        <v>46037</v>
      </c>
      <c r="F1708" t="s">
        <v>145</v>
      </c>
      <c r="G1708" s="3" t="s">
        <v>66</v>
      </c>
      <c r="H1708" s="3">
        <v>26292</v>
      </c>
      <c r="I1708" s="3">
        <v>26292</v>
      </c>
      <c r="J1708">
        <v>0</v>
      </c>
      <c r="K1708" s="3">
        <v>26292</v>
      </c>
      <c r="L1708" s="3">
        <v>4867.8</v>
      </c>
      <c r="M1708" s="3">
        <v>2287.87</v>
      </c>
      <c r="N1708" t="s">
        <v>106</v>
      </c>
      <c r="O1708" t="s">
        <v>53</v>
      </c>
      <c r="P1708" t="s">
        <v>53</v>
      </c>
      <c r="Q1708" t="s">
        <v>53</v>
      </c>
      <c r="R1708" t="s">
        <v>54</v>
      </c>
      <c r="S1708" t="s">
        <v>54</v>
      </c>
      <c r="T1708" t="s">
        <v>55</v>
      </c>
      <c r="U1708">
        <v>145</v>
      </c>
      <c r="V1708" t="s">
        <v>146</v>
      </c>
      <c r="W1708" t="s">
        <v>147</v>
      </c>
      <c r="X1708" s="4">
        <v>0</v>
      </c>
      <c r="Y1708" t="s">
        <v>58</v>
      </c>
      <c r="Z1708">
        <v>0</v>
      </c>
      <c r="AA1708">
        <v>0</v>
      </c>
      <c r="AB1708" s="3">
        <v>0</v>
      </c>
      <c r="AC1708">
        <v>0</v>
      </c>
      <c r="AD1708" s="3">
        <v>4867.8</v>
      </c>
      <c r="AE1708" s="3">
        <v>4200</v>
      </c>
      <c r="AF1708" t="s">
        <v>54</v>
      </c>
      <c r="AG1708" t="s">
        <v>59</v>
      </c>
      <c r="AI1708" t="s">
        <v>73</v>
      </c>
      <c r="AJ1708" t="s">
        <v>73</v>
      </c>
      <c r="AK1708" s="5">
        <v>46037.702615740738</v>
      </c>
      <c r="AO1708" t="s">
        <v>54</v>
      </c>
      <c r="AP1708">
        <v>0</v>
      </c>
      <c r="AR1708" t="s">
        <v>54</v>
      </c>
      <c r="AS1708" t="s">
        <v>54</v>
      </c>
      <c r="AT1708">
        <v>1301</v>
      </c>
      <c r="AU1708" t="s">
        <v>55</v>
      </c>
    </row>
    <row r="1709" spans="1:47" x14ac:dyDescent="0.25">
      <c r="A1709" t="s">
        <v>81</v>
      </c>
      <c r="B1709" s="1">
        <v>38448</v>
      </c>
      <c r="C1709" t="s">
        <v>48</v>
      </c>
      <c r="D1709" t="s">
        <v>49</v>
      </c>
      <c r="E1709" s="2">
        <v>46037</v>
      </c>
      <c r="F1709" t="s">
        <v>145</v>
      </c>
      <c r="G1709" t="s">
        <v>66</v>
      </c>
      <c r="H1709" s="3">
        <v>26292</v>
      </c>
      <c r="I1709" s="3">
        <v>26292</v>
      </c>
      <c r="J1709">
        <v>0</v>
      </c>
      <c r="K1709" s="3">
        <v>26292</v>
      </c>
      <c r="L1709" s="3">
        <v>4867.8</v>
      </c>
      <c r="M1709" s="3">
        <v>2287.87</v>
      </c>
      <c r="N1709" t="s">
        <v>106</v>
      </c>
      <c r="O1709" t="s">
        <v>53</v>
      </c>
      <c r="P1709" t="s">
        <v>53</v>
      </c>
      <c r="Q1709" t="s">
        <v>53</v>
      </c>
      <c r="R1709" t="s">
        <v>54</v>
      </c>
      <c r="S1709" t="s">
        <v>54</v>
      </c>
      <c r="T1709" t="s">
        <v>55</v>
      </c>
      <c r="U1709">
        <v>145</v>
      </c>
      <c r="V1709" t="s">
        <v>146</v>
      </c>
      <c r="W1709" t="s">
        <v>147</v>
      </c>
      <c r="X1709" s="4">
        <v>0</v>
      </c>
      <c r="Y1709" t="s">
        <v>58</v>
      </c>
      <c r="Z1709">
        <v>0</v>
      </c>
      <c r="AA1709">
        <v>0</v>
      </c>
      <c r="AB1709" s="3">
        <v>0</v>
      </c>
      <c r="AC1709">
        <v>0</v>
      </c>
      <c r="AD1709" s="3">
        <v>4867.8</v>
      </c>
      <c r="AE1709" s="3">
        <v>4200</v>
      </c>
      <c r="AF1709" t="s">
        <v>54</v>
      </c>
      <c r="AG1709" t="s">
        <v>59</v>
      </c>
      <c r="AI1709" t="s">
        <v>73</v>
      </c>
      <c r="AJ1709" t="s">
        <v>73</v>
      </c>
      <c r="AK1709" s="5">
        <v>46037.702766203707</v>
      </c>
      <c r="AO1709" t="s">
        <v>54</v>
      </c>
      <c r="AP1709">
        <v>0</v>
      </c>
      <c r="AR1709" t="s">
        <v>54</v>
      </c>
      <c r="AS1709" t="s">
        <v>54</v>
      </c>
      <c r="AT1709">
        <v>1301</v>
      </c>
      <c r="AU1709" t="s">
        <v>55</v>
      </c>
    </row>
    <row r="1710" spans="1:47" x14ac:dyDescent="0.25">
      <c r="A1710" t="s">
        <v>81</v>
      </c>
      <c r="B1710" s="1">
        <v>38449</v>
      </c>
      <c r="C1710" t="s">
        <v>48</v>
      </c>
      <c r="D1710" t="s">
        <v>49</v>
      </c>
      <c r="E1710" s="2">
        <v>46037</v>
      </c>
      <c r="F1710" t="s">
        <v>145</v>
      </c>
      <c r="G1710" s="3" t="s">
        <v>66</v>
      </c>
      <c r="H1710" s="3">
        <v>26292</v>
      </c>
      <c r="I1710" s="3">
        <v>26292</v>
      </c>
      <c r="J1710">
        <v>0</v>
      </c>
      <c r="K1710" s="3">
        <v>26292</v>
      </c>
      <c r="L1710" s="3">
        <v>4867.8</v>
      </c>
      <c r="M1710" s="3">
        <v>2287.87</v>
      </c>
      <c r="N1710" t="s">
        <v>106</v>
      </c>
      <c r="O1710" t="s">
        <v>53</v>
      </c>
      <c r="P1710" t="s">
        <v>53</v>
      </c>
      <c r="Q1710" t="s">
        <v>53</v>
      </c>
      <c r="R1710" t="s">
        <v>54</v>
      </c>
      <c r="S1710" t="s">
        <v>54</v>
      </c>
      <c r="T1710" t="s">
        <v>55</v>
      </c>
      <c r="U1710">
        <v>145</v>
      </c>
      <c r="V1710" t="s">
        <v>146</v>
      </c>
      <c r="W1710" t="s">
        <v>147</v>
      </c>
      <c r="X1710" s="4">
        <v>0</v>
      </c>
      <c r="Y1710" t="s">
        <v>58</v>
      </c>
      <c r="Z1710">
        <v>0</v>
      </c>
      <c r="AA1710">
        <v>0</v>
      </c>
      <c r="AB1710">
        <v>0</v>
      </c>
      <c r="AC1710">
        <v>0</v>
      </c>
      <c r="AD1710" s="3">
        <v>4867.8</v>
      </c>
      <c r="AE1710" s="3">
        <v>4200</v>
      </c>
      <c r="AF1710" t="s">
        <v>54</v>
      </c>
      <c r="AG1710" t="s">
        <v>59</v>
      </c>
      <c r="AI1710" t="s">
        <v>73</v>
      </c>
      <c r="AJ1710" t="s">
        <v>73</v>
      </c>
      <c r="AK1710" s="5">
        <v>46037.702893518515</v>
      </c>
      <c r="AO1710" t="s">
        <v>54</v>
      </c>
      <c r="AP1710">
        <v>0</v>
      </c>
      <c r="AR1710" t="s">
        <v>54</v>
      </c>
      <c r="AS1710" t="s">
        <v>54</v>
      </c>
      <c r="AT1710">
        <v>1301</v>
      </c>
      <c r="AU1710" t="s">
        <v>55</v>
      </c>
    </row>
    <row r="1711" spans="1:47" x14ac:dyDescent="0.25">
      <c r="A1711" t="s">
        <v>47</v>
      </c>
      <c r="B1711" s="3">
        <v>38450</v>
      </c>
      <c r="C1711" t="s">
        <v>48</v>
      </c>
      <c r="D1711" t="s">
        <v>49</v>
      </c>
      <c r="E1711" s="2">
        <v>46037</v>
      </c>
      <c r="F1711" t="s">
        <v>88</v>
      </c>
      <c r="G1711" s="3" t="s">
        <v>89</v>
      </c>
      <c r="H1711" s="3">
        <v>2105</v>
      </c>
      <c r="I1711" s="3">
        <v>2105</v>
      </c>
      <c r="J1711">
        <v>0</v>
      </c>
      <c r="K1711" s="3">
        <v>2420.75</v>
      </c>
      <c r="L1711" s="3">
        <v>473</v>
      </c>
      <c r="M1711" s="3">
        <v>173.59</v>
      </c>
      <c r="N1711" t="s">
        <v>84</v>
      </c>
      <c r="O1711" t="s">
        <v>53</v>
      </c>
      <c r="P1711" t="s">
        <v>53</v>
      </c>
      <c r="Q1711" t="s">
        <v>53</v>
      </c>
      <c r="R1711" t="s">
        <v>54</v>
      </c>
      <c r="S1711" t="s">
        <v>54</v>
      </c>
      <c r="T1711" t="s">
        <v>55</v>
      </c>
      <c r="U1711">
        <v>9</v>
      </c>
      <c r="V1711" t="s">
        <v>71</v>
      </c>
      <c r="W1711" t="s">
        <v>90</v>
      </c>
      <c r="X1711" s="4">
        <v>0</v>
      </c>
      <c r="Y1711" t="s">
        <v>62</v>
      </c>
      <c r="AD1711" s="3"/>
      <c r="AE1711" s="3"/>
      <c r="AK1711" s="5"/>
    </row>
    <row r="1712" spans="1:47" x14ac:dyDescent="0.25">
      <c r="A1712" t="s">
        <v>63</v>
      </c>
      <c r="B1712" s="1">
        <v>473</v>
      </c>
      <c r="C1712">
        <v>0</v>
      </c>
      <c r="D1712">
        <v>0</v>
      </c>
      <c r="E1712" s="2">
        <v>0</v>
      </c>
      <c r="F1712">
        <v>0</v>
      </c>
      <c r="G1712">
        <v>500</v>
      </c>
      <c r="H1712" s="3" t="s">
        <v>54</v>
      </c>
      <c r="I1712" s="3" t="s">
        <v>91</v>
      </c>
      <c r="K1712" s="3" t="s">
        <v>73</v>
      </c>
      <c r="L1712" s="3" t="s">
        <v>73</v>
      </c>
      <c r="M1712" s="3">
        <v>46041.431597222225</v>
      </c>
      <c r="Q1712" t="s">
        <v>54</v>
      </c>
      <c r="R1712">
        <v>0</v>
      </c>
      <c r="T1712" t="s">
        <v>54</v>
      </c>
      <c r="U1712" t="s">
        <v>54</v>
      </c>
      <c r="V1712">
        <v>2291</v>
      </c>
      <c r="W1712" t="s">
        <v>55</v>
      </c>
      <c r="X1712" s="4"/>
      <c r="Z1712" s="3"/>
      <c r="AE1712" s="3"/>
      <c r="AK1712" s="5"/>
    </row>
    <row r="1713" spans="1:47" x14ac:dyDescent="0.25">
      <c r="A1713" t="s">
        <v>47</v>
      </c>
      <c r="B1713" s="1">
        <v>38451</v>
      </c>
      <c r="C1713" t="s">
        <v>48</v>
      </c>
      <c r="D1713" t="s">
        <v>49</v>
      </c>
      <c r="E1713" s="2">
        <v>46038</v>
      </c>
      <c r="F1713" t="s">
        <v>148</v>
      </c>
      <c r="G1713" t="s">
        <v>89</v>
      </c>
      <c r="H1713" s="3">
        <v>33350</v>
      </c>
      <c r="I1713" s="3">
        <v>33350</v>
      </c>
      <c r="J1713">
        <v>0</v>
      </c>
      <c r="K1713" s="3">
        <v>38352.5</v>
      </c>
      <c r="L1713" s="3">
        <v>5077.5</v>
      </c>
      <c r="M1713" s="3">
        <v>3148.05</v>
      </c>
      <c r="N1713" t="s">
        <v>52</v>
      </c>
      <c r="O1713" t="s">
        <v>53</v>
      </c>
      <c r="P1713" t="s">
        <v>53</v>
      </c>
      <c r="Q1713" t="s">
        <v>53</v>
      </c>
      <c r="R1713" t="s">
        <v>54</v>
      </c>
      <c r="S1713" t="s">
        <v>54</v>
      </c>
      <c r="T1713" t="s">
        <v>55</v>
      </c>
      <c r="U1713">
        <v>126</v>
      </c>
      <c r="V1713" t="s">
        <v>56</v>
      </c>
      <c r="W1713" t="s">
        <v>95</v>
      </c>
      <c r="X1713" s="4">
        <v>0</v>
      </c>
      <c r="Y1713" t="s">
        <v>62</v>
      </c>
      <c r="Z1713" s="3"/>
      <c r="AE1713" s="3"/>
      <c r="AK1713" s="5"/>
    </row>
    <row r="1714" spans="1:47" x14ac:dyDescent="0.25">
      <c r="A1714" t="s">
        <v>63</v>
      </c>
      <c r="B1714" s="1">
        <v>0</v>
      </c>
      <c r="C1714">
        <v>0</v>
      </c>
      <c r="D1714" s="3">
        <v>5077.5</v>
      </c>
      <c r="E1714" s="2">
        <v>0</v>
      </c>
      <c r="F1714">
        <v>0</v>
      </c>
      <c r="G1714" s="3">
        <v>2500</v>
      </c>
      <c r="H1714" s="3" t="s">
        <v>54</v>
      </c>
      <c r="I1714" s="3" t="s">
        <v>59</v>
      </c>
      <c r="J1714" t="s">
        <v>149</v>
      </c>
      <c r="K1714" s="3" t="s">
        <v>60</v>
      </c>
      <c r="L1714" s="3" t="s">
        <v>60</v>
      </c>
      <c r="M1714" s="3">
        <v>46038.656400462962</v>
      </c>
      <c r="Q1714" t="s">
        <v>54</v>
      </c>
      <c r="R1714">
        <v>0</v>
      </c>
      <c r="T1714" t="s">
        <v>54</v>
      </c>
      <c r="U1714" t="s">
        <v>54</v>
      </c>
      <c r="V1714">
        <v>8478</v>
      </c>
      <c r="W1714" t="s">
        <v>55</v>
      </c>
      <c r="X1714" s="4"/>
      <c r="AK1714" s="5"/>
    </row>
    <row r="1715" spans="1:47" x14ac:dyDescent="0.25">
      <c r="A1715" t="s">
        <v>47</v>
      </c>
      <c r="B1715" s="3">
        <v>38452</v>
      </c>
      <c r="C1715" t="s">
        <v>48</v>
      </c>
      <c r="D1715" s="3" t="s">
        <v>49</v>
      </c>
      <c r="E1715" s="2">
        <v>46038</v>
      </c>
      <c r="F1715" t="s">
        <v>148</v>
      </c>
      <c r="G1715" s="3" t="s">
        <v>89</v>
      </c>
      <c r="H1715" s="3">
        <v>33350</v>
      </c>
      <c r="I1715" s="3">
        <v>33350</v>
      </c>
      <c r="J1715">
        <v>0</v>
      </c>
      <c r="K1715" s="3">
        <v>38352.5</v>
      </c>
      <c r="L1715" s="3">
        <v>5077.5</v>
      </c>
      <c r="M1715" s="3">
        <v>3148.05</v>
      </c>
      <c r="N1715" t="s">
        <v>52</v>
      </c>
      <c r="O1715" t="s">
        <v>53</v>
      </c>
      <c r="P1715" t="s">
        <v>53</v>
      </c>
      <c r="Q1715" t="s">
        <v>53</v>
      </c>
      <c r="R1715" t="s">
        <v>54</v>
      </c>
      <c r="S1715" t="s">
        <v>54</v>
      </c>
      <c r="T1715" t="s">
        <v>55</v>
      </c>
      <c r="U1715">
        <v>126</v>
      </c>
      <c r="V1715" t="s">
        <v>56</v>
      </c>
      <c r="W1715" t="s">
        <v>95</v>
      </c>
      <c r="X1715" s="4">
        <v>0</v>
      </c>
      <c r="Y1715" t="s">
        <v>62</v>
      </c>
      <c r="AB1715" s="3"/>
      <c r="AD1715" s="3"/>
      <c r="AE1715" s="3"/>
      <c r="AK1715" s="5"/>
    </row>
    <row r="1716" spans="1:47" x14ac:dyDescent="0.25">
      <c r="A1716" t="s">
        <v>63</v>
      </c>
      <c r="B1716" s="1">
        <v>0</v>
      </c>
      <c r="C1716">
        <v>0</v>
      </c>
      <c r="D1716" s="3">
        <v>5077.5</v>
      </c>
      <c r="E1716" s="2">
        <v>0</v>
      </c>
      <c r="F1716">
        <v>0</v>
      </c>
      <c r="G1716" s="3">
        <v>2500</v>
      </c>
      <c r="H1716" s="3" t="s">
        <v>54</v>
      </c>
      <c r="I1716" s="3" t="s">
        <v>59</v>
      </c>
      <c r="J1716" t="s">
        <v>149</v>
      </c>
      <c r="K1716" s="3" t="s">
        <v>60</v>
      </c>
      <c r="L1716" s="3" t="s">
        <v>60</v>
      </c>
      <c r="M1716" s="3">
        <v>46038.658368055556</v>
      </c>
      <c r="Q1716" t="s">
        <v>54</v>
      </c>
      <c r="R1716">
        <v>0</v>
      </c>
      <c r="T1716" t="s">
        <v>54</v>
      </c>
      <c r="U1716" t="s">
        <v>54</v>
      </c>
      <c r="V1716">
        <v>8478</v>
      </c>
      <c r="W1716" t="s">
        <v>55</v>
      </c>
      <c r="X1716" s="4"/>
      <c r="AD1716" s="3"/>
      <c r="AE1716" s="3"/>
      <c r="AK1716" s="5"/>
    </row>
    <row r="1717" spans="1:47" x14ac:dyDescent="0.25">
      <c r="A1717" t="s">
        <v>47</v>
      </c>
      <c r="B1717" s="1">
        <v>38453</v>
      </c>
      <c r="C1717" t="s">
        <v>48</v>
      </c>
      <c r="D1717" s="3" t="s">
        <v>49</v>
      </c>
      <c r="E1717" s="2">
        <v>46038</v>
      </c>
      <c r="F1717" t="s">
        <v>148</v>
      </c>
      <c r="G1717" s="3" t="s">
        <v>89</v>
      </c>
      <c r="H1717" s="3">
        <v>33350</v>
      </c>
      <c r="I1717" s="3">
        <v>33350</v>
      </c>
      <c r="J1717">
        <v>0</v>
      </c>
      <c r="K1717" s="3">
        <v>38352.5</v>
      </c>
      <c r="L1717" s="3">
        <v>5077.5</v>
      </c>
      <c r="M1717" s="3">
        <v>3148.05</v>
      </c>
      <c r="N1717" t="s">
        <v>52</v>
      </c>
      <c r="O1717" t="s">
        <v>53</v>
      </c>
      <c r="P1717" t="s">
        <v>53</v>
      </c>
      <c r="Q1717" t="s">
        <v>53</v>
      </c>
      <c r="R1717" t="s">
        <v>54</v>
      </c>
      <c r="S1717" t="s">
        <v>54</v>
      </c>
      <c r="T1717" t="s">
        <v>55</v>
      </c>
      <c r="U1717">
        <v>126</v>
      </c>
      <c r="V1717" t="s">
        <v>56</v>
      </c>
      <c r="W1717" t="s">
        <v>95</v>
      </c>
      <c r="X1717" s="4">
        <v>0</v>
      </c>
      <c r="Y1717" t="s">
        <v>62</v>
      </c>
      <c r="AD1717" s="3"/>
      <c r="AE1717" s="3"/>
      <c r="AK1717" s="5"/>
    </row>
    <row r="1718" spans="1:47" x14ac:dyDescent="0.25">
      <c r="A1718" t="s">
        <v>63</v>
      </c>
      <c r="B1718" s="1">
        <v>0</v>
      </c>
      <c r="C1718">
        <v>0</v>
      </c>
      <c r="D1718" s="3">
        <v>5077.5</v>
      </c>
      <c r="E1718" s="2">
        <v>0</v>
      </c>
      <c r="F1718">
        <v>0</v>
      </c>
      <c r="G1718" s="3">
        <v>2500</v>
      </c>
      <c r="H1718" s="3" t="s">
        <v>54</v>
      </c>
      <c r="I1718" s="3" t="s">
        <v>59</v>
      </c>
      <c r="J1718" t="s">
        <v>149</v>
      </c>
      <c r="K1718" s="3" t="s">
        <v>60</v>
      </c>
      <c r="L1718" s="3" t="s">
        <v>60</v>
      </c>
      <c r="M1718" s="3">
        <v>46038.659675925926</v>
      </c>
      <c r="Q1718" t="s">
        <v>54</v>
      </c>
      <c r="R1718">
        <v>0</v>
      </c>
      <c r="T1718" t="s">
        <v>54</v>
      </c>
      <c r="U1718" t="s">
        <v>54</v>
      </c>
      <c r="V1718">
        <v>8478</v>
      </c>
      <c r="W1718" t="s">
        <v>55</v>
      </c>
      <c r="X1718" s="4"/>
      <c r="Z1718" s="3"/>
      <c r="AB1718" s="3"/>
      <c r="AD1718" s="3"/>
      <c r="AE1718" s="3"/>
      <c r="AK1718" s="5"/>
    </row>
    <row r="1719" spans="1:47" x14ac:dyDescent="0.25">
      <c r="A1719" t="s">
        <v>47</v>
      </c>
      <c r="B1719" s="1">
        <v>38454</v>
      </c>
      <c r="C1719" t="s">
        <v>48</v>
      </c>
      <c r="D1719" s="3" t="s">
        <v>49</v>
      </c>
      <c r="E1719" s="2">
        <v>46038</v>
      </c>
      <c r="F1719" t="s">
        <v>148</v>
      </c>
      <c r="G1719" s="3" t="s">
        <v>89</v>
      </c>
      <c r="H1719" s="3">
        <v>33350</v>
      </c>
      <c r="I1719" s="3">
        <v>33350</v>
      </c>
      <c r="J1719">
        <v>0</v>
      </c>
      <c r="K1719" s="3">
        <v>38352.5</v>
      </c>
      <c r="L1719" s="3">
        <v>5077.5</v>
      </c>
      <c r="M1719" s="3">
        <v>3148.05</v>
      </c>
      <c r="N1719" t="s">
        <v>52</v>
      </c>
      <c r="O1719" t="s">
        <v>53</v>
      </c>
      <c r="P1719" t="s">
        <v>53</v>
      </c>
      <c r="Q1719" t="s">
        <v>53</v>
      </c>
      <c r="R1719" t="s">
        <v>54</v>
      </c>
      <c r="S1719" t="s">
        <v>54</v>
      </c>
      <c r="T1719" t="s">
        <v>55</v>
      </c>
      <c r="U1719">
        <v>126</v>
      </c>
      <c r="V1719" t="s">
        <v>56</v>
      </c>
      <c r="W1719" t="s">
        <v>95</v>
      </c>
      <c r="X1719" s="4">
        <v>0</v>
      </c>
      <c r="Y1719" t="s">
        <v>62</v>
      </c>
      <c r="Z1719" s="3"/>
      <c r="AB1719" s="3"/>
      <c r="AD1719" s="3"/>
      <c r="AE1719" s="3"/>
      <c r="AK1719" s="5"/>
    </row>
    <row r="1720" spans="1:47" x14ac:dyDescent="0.25">
      <c r="A1720" t="s">
        <v>63</v>
      </c>
      <c r="B1720" s="1">
        <v>0</v>
      </c>
      <c r="C1720">
        <v>0</v>
      </c>
      <c r="D1720" s="3">
        <v>5077.5</v>
      </c>
      <c r="E1720" s="2">
        <v>0</v>
      </c>
      <c r="F1720">
        <v>0</v>
      </c>
      <c r="G1720" s="3">
        <v>2500</v>
      </c>
      <c r="H1720" s="3" t="s">
        <v>54</v>
      </c>
      <c r="I1720" s="3" t="s">
        <v>59</v>
      </c>
      <c r="J1720" t="s">
        <v>149</v>
      </c>
      <c r="K1720" s="3" t="s">
        <v>60</v>
      </c>
      <c r="L1720" s="3" t="s">
        <v>60</v>
      </c>
      <c r="M1720" s="3">
        <v>46038.661157407405</v>
      </c>
      <c r="Q1720" t="s">
        <v>54</v>
      </c>
      <c r="R1720">
        <v>0</v>
      </c>
      <c r="T1720" t="s">
        <v>54</v>
      </c>
      <c r="U1720" t="s">
        <v>54</v>
      </c>
      <c r="V1720">
        <v>8478</v>
      </c>
      <c r="W1720" t="s">
        <v>55</v>
      </c>
      <c r="X1720" s="4"/>
      <c r="AB1720" s="3"/>
      <c r="AD1720" s="3"/>
      <c r="AE1720" s="3"/>
      <c r="AK1720" s="5"/>
    </row>
    <row r="1721" spans="1:47" x14ac:dyDescent="0.25">
      <c r="A1721" t="s">
        <v>96</v>
      </c>
      <c r="B1721" s="1">
        <v>38455</v>
      </c>
      <c r="C1721" t="s">
        <v>48</v>
      </c>
      <c r="D1721" s="3" t="s">
        <v>49</v>
      </c>
      <c r="E1721" s="2">
        <v>46041</v>
      </c>
      <c r="F1721" t="s">
        <v>142</v>
      </c>
      <c r="G1721" s="3" t="s">
        <v>94</v>
      </c>
      <c r="H1721" s="3">
        <v>1962.5</v>
      </c>
      <c r="I1721" s="3">
        <v>1962.5</v>
      </c>
      <c r="J1721">
        <v>0</v>
      </c>
      <c r="K1721" s="3">
        <v>1962.5</v>
      </c>
      <c r="L1721" s="3">
        <v>525</v>
      </c>
      <c r="M1721" s="3">
        <v>152.25</v>
      </c>
      <c r="N1721" t="s">
        <v>106</v>
      </c>
      <c r="O1721" t="s">
        <v>53</v>
      </c>
      <c r="P1721" t="s">
        <v>53</v>
      </c>
      <c r="Q1721" t="s">
        <v>53</v>
      </c>
      <c r="R1721" t="s">
        <v>54</v>
      </c>
      <c r="S1721" t="s">
        <v>54</v>
      </c>
      <c r="T1721" t="s">
        <v>55</v>
      </c>
      <c r="U1721">
        <v>145</v>
      </c>
      <c r="W1721" t="s">
        <v>143</v>
      </c>
      <c r="X1721" s="4">
        <v>0</v>
      </c>
      <c r="Y1721" t="s">
        <v>62</v>
      </c>
      <c r="AD1721" s="3"/>
      <c r="AE1721" s="3"/>
      <c r="AK1721" s="5"/>
    </row>
    <row r="1722" spans="1:47" x14ac:dyDescent="0.25">
      <c r="A1722" t="s">
        <v>63</v>
      </c>
      <c r="B1722" s="1">
        <v>525</v>
      </c>
      <c r="C1722">
        <v>0</v>
      </c>
      <c r="D1722">
        <v>0</v>
      </c>
      <c r="E1722" s="2">
        <v>0</v>
      </c>
      <c r="F1722">
        <v>0</v>
      </c>
      <c r="G1722" s="3">
        <v>1250</v>
      </c>
      <c r="H1722" s="3" t="s">
        <v>54</v>
      </c>
      <c r="I1722" s="3" t="s">
        <v>59</v>
      </c>
      <c r="J1722" t="s">
        <v>144</v>
      </c>
      <c r="K1722" s="3" t="s">
        <v>73</v>
      </c>
      <c r="L1722" s="3" t="s">
        <v>73</v>
      </c>
      <c r="M1722" s="3">
        <v>46041.456805555557</v>
      </c>
      <c r="Q1722" t="s">
        <v>54</v>
      </c>
      <c r="R1722">
        <v>0</v>
      </c>
      <c r="T1722" t="s">
        <v>54</v>
      </c>
      <c r="U1722" t="s">
        <v>54</v>
      </c>
      <c r="V1722">
        <v>8241</v>
      </c>
      <c r="W1722" t="s">
        <v>55</v>
      </c>
      <c r="X1722" s="4"/>
    </row>
    <row r="1723" spans="1:47" x14ac:dyDescent="0.25">
      <c r="A1723" t="s">
        <v>96</v>
      </c>
      <c r="B1723" s="3">
        <v>38456</v>
      </c>
      <c r="C1723" t="s">
        <v>48</v>
      </c>
      <c r="D1723" t="s">
        <v>49</v>
      </c>
      <c r="E1723" s="2">
        <v>46041</v>
      </c>
      <c r="F1723" t="s">
        <v>142</v>
      </c>
      <c r="G1723" s="3" t="s">
        <v>94</v>
      </c>
      <c r="H1723" s="3">
        <v>1962.5</v>
      </c>
      <c r="I1723" s="3">
        <v>1962.5</v>
      </c>
      <c r="J1723">
        <v>0</v>
      </c>
      <c r="K1723" s="3">
        <v>1962.5</v>
      </c>
      <c r="L1723" s="3">
        <v>525</v>
      </c>
      <c r="M1723" s="3">
        <v>152.25</v>
      </c>
      <c r="N1723" t="s">
        <v>106</v>
      </c>
      <c r="O1723" t="s">
        <v>53</v>
      </c>
      <c r="P1723" t="s">
        <v>53</v>
      </c>
      <c r="Q1723" t="s">
        <v>53</v>
      </c>
      <c r="R1723" t="s">
        <v>54</v>
      </c>
      <c r="S1723" t="s">
        <v>54</v>
      </c>
      <c r="T1723" t="s">
        <v>55</v>
      </c>
      <c r="U1723">
        <v>145</v>
      </c>
      <c r="W1723" t="s">
        <v>143</v>
      </c>
      <c r="X1723" s="4">
        <v>0</v>
      </c>
      <c r="Y1723" t="s">
        <v>62</v>
      </c>
    </row>
    <row r="1724" spans="1:47" x14ac:dyDescent="0.25">
      <c r="A1724" t="s">
        <v>63</v>
      </c>
      <c r="B1724" s="1">
        <v>525</v>
      </c>
      <c r="C1724">
        <v>0</v>
      </c>
      <c r="D1724" s="3">
        <v>0</v>
      </c>
      <c r="E1724" s="2">
        <v>0</v>
      </c>
      <c r="F1724">
        <v>0</v>
      </c>
      <c r="G1724" s="3">
        <v>1250</v>
      </c>
      <c r="H1724" s="3" t="s">
        <v>54</v>
      </c>
      <c r="I1724" s="3" t="s">
        <v>59</v>
      </c>
      <c r="J1724" t="s">
        <v>144</v>
      </c>
      <c r="K1724" s="3" t="s">
        <v>73</v>
      </c>
      <c r="L1724" s="3" t="s">
        <v>73</v>
      </c>
      <c r="M1724" s="3">
        <v>46041.456990740742</v>
      </c>
      <c r="Q1724" t="s">
        <v>54</v>
      </c>
      <c r="R1724">
        <v>0</v>
      </c>
      <c r="T1724" t="s">
        <v>54</v>
      </c>
      <c r="U1724" t="s">
        <v>54</v>
      </c>
      <c r="V1724">
        <v>8241</v>
      </c>
      <c r="W1724" t="s">
        <v>55</v>
      </c>
      <c r="X1724" s="4"/>
    </row>
    <row r="1725" spans="1:47" x14ac:dyDescent="0.25">
      <c r="A1725" t="s">
        <v>47</v>
      </c>
      <c r="B1725" s="3">
        <v>38457</v>
      </c>
      <c r="C1725" t="s">
        <v>48</v>
      </c>
      <c r="D1725" s="3" t="s">
        <v>49</v>
      </c>
      <c r="E1725" s="2">
        <v>46041</v>
      </c>
      <c r="F1725" t="s">
        <v>150</v>
      </c>
      <c r="G1725" s="3" t="s">
        <v>66</v>
      </c>
      <c r="H1725" s="3">
        <v>333</v>
      </c>
      <c r="I1725" s="3">
        <v>333</v>
      </c>
      <c r="J1725">
        <v>0</v>
      </c>
      <c r="K1725" s="3">
        <v>382.95</v>
      </c>
      <c r="L1725" s="3">
        <v>83.4</v>
      </c>
      <c r="M1725" s="3">
        <v>29.19</v>
      </c>
      <c r="N1725" t="s">
        <v>84</v>
      </c>
      <c r="O1725" t="s">
        <v>53</v>
      </c>
      <c r="P1725" t="s">
        <v>53</v>
      </c>
      <c r="Q1725" t="s">
        <v>53</v>
      </c>
      <c r="R1725" t="s">
        <v>54</v>
      </c>
      <c r="S1725" t="s">
        <v>54</v>
      </c>
      <c r="T1725" t="s">
        <v>55</v>
      </c>
      <c r="U1725">
        <v>9</v>
      </c>
      <c r="V1725" t="s">
        <v>71</v>
      </c>
      <c r="W1725" t="s">
        <v>57</v>
      </c>
      <c r="X1725" s="4">
        <v>0</v>
      </c>
      <c r="Y1725" t="s">
        <v>58</v>
      </c>
      <c r="Z1725">
        <v>83.4</v>
      </c>
      <c r="AA1725">
        <v>0</v>
      </c>
      <c r="AB1725">
        <v>0</v>
      </c>
      <c r="AC1725">
        <v>0</v>
      </c>
      <c r="AD1725">
        <v>0</v>
      </c>
      <c r="AE1725">
        <v>300</v>
      </c>
      <c r="AF1725" t="s">
        <v>54</v>
      </c>
      <c r="AG1725" t="s">
        <v>59</v>
      </c>
      <c r="AI1725" t="s">
        <v>73</v>
      </c>
      <c r="AJ1725" t="s">
        <v>73</v>
      </c>
      <c r="AK1725" s="5">
        <v>46041.456504629627</v>
      </c>
      <c r="AO1725" t="s">
        <v>54</v>
      </c>
      <c r="AP1725">
        <v>0</v>
      </c>
      <c r="AR1725" t="s">
        <v>54</v>
      </c>
      <c r="AS1725" t="s">
        <v>54</v>
      </c>
      <c r="AT1725">
        <v>1009</v>
      </c>
      <c r="AU1725" t="s">
        <v>55</v>
      </c>
    </row>
    <row r="1726" spans="1:47" x14ac:dyDescent="0.25">
      <c r="A1726" t="s">
        <v>47</v>
      </c>
      <c r="B1726" s="1">
        <v>38459</v>
      </c>
      <c r="C1726" t="s">
        <v>48</v>
      </c>
      <c r="D1726" s="3" t="s">
        <v>49</v>
      </c>
      <c r="E1726" s="2">
        <v>46041</v>
      </c>
      <c r="F1726" t="s">
        <v>150</v>
      </c>
      <c r="G1726" s="3" t="s">
        <v>66</v>
      </c>
      <c r="H1726" s="3">
        <v>333</v>
      </c>
      <c r="I1726" s="3">
        <v>333</v>
      </c>
      <c r="J1726">
        <v>0</v>
      </c>
      <c r="K1726" s="3">
        <v>382.95</v>
      </c>
      <c r="L1726" s="3">
        <v>83.4</v>
      </c>
      <c r="M1726" s="3">
        <v>29.19</v>
      </c>
      <c r="N1726" t="s">
        <v>84</v>
      </c>
      <c r="O1726" t="s">
        <v>53</v>
      </c>
      <c r="P1726" t="s">
        <v>53</v>
      </c>
      <c r="Q1726" t="s">
        <v>53</v>
      </c>
      <c r="R1726" t="s">
        <v>54</v>
      </c>
      <c r="S1726" t="s">
        <v>54</v>
      </c>
      <c r="T1726" t="s">
        <v>55</v>
      </c>
      <c r="U1726">
        <v>9</v>
      </c>
      <c r="V1726" t="s">
        <v>71</v>
      </c>
      <c r="W1726" t="s">
        <v>57</v>
      </c>
      <c r="X1726" s="4">
        <v>0</v>
      </c>
      <c r="Y1726" t="s">
        <v>58</v>
      </c>
      <c r="Z1726">
        <v>83.4</v>
      </c>
      <c r="AA1726">
        <v>0</v>
      </c>
      <c r="AB1726">
        <v>0</v>
      </c>
      <c r="AC1726">
        <v>0</v>
      </c>
      <c r="AD1726" s="3">
        <v>0</v>
      </c>
      <c r="AE1726" s="3">
        <v>300</v>
      </c>
      <c r="AF1726" t="s">
        <v>54</v>
      </c>
      <c r="AG1726" t="s">
        <v>59</v>
      </c>
      <c r="AI1726" t="s">
        <v>73</v>
      </c>
      <c r="AJ1726" t="s">
        <v>73</v>
      </c>
      <c r="AK1726" s="5">
        <v>46041.456585648149</v>
      </c>
      <c r="AO1726" t="s">
        <v>54</v>
      </c>
      <c r="AP1726">
        <v>0</v>
      </c>
      <c r="AR1726" t="s">
        <v>54</v>
      </c>
      <c r="AS1726" t="s">
        <v>54</v>
      </c>
      <c r="AT1726">
        <v>1009</v>
      </c>
      <c r="AU1726" t="s">
        <v>55</v>
      </c>
    </row>
    <row r="1727" spans="1:47" x14ac:dyDescent="0.25">
      <c r="A1727" t="s">
        <v>47</v>
      </c>
      <c r="B1727" s="3">
        <v>38460</v>
      </c>
      <c r="C1727" t="s">
        <v>48</v>
      </c>
      <c r="D1727" s="3" t="s">
        <v>49</v>
      </c>
      <c r="E1727" s="2">
        <v>46041</v>
      </c>
      <c r="F1727" t="s">
        <v>68</v>
      </c>
      <c r="G1727" s="3" t="s">
        <v>69</v>
      </c>
      <c r="H1727" s="3">
        <v>11212</v>
      </c>
      <c r="I1727" s="3">
        <v>11212</v>
      </c>
      <c r="J1727">
        <v>0</v>
      </c>
      <c r="K1727" s="3">
        <v>12893.8</v>
      </c>
      <c r="L1727" s="3">
        <v>1642</v>
      </c>
      <c r="M1727" s="3">
        <v>778.99</v>
      </c>
      <c r="N1727" t="s">
        <v>70</v>
      </c>
      <c r="O1727" t="s">
        <v>53</v>
      </c>
      <c r="P1727" t="s">
        <v>53</v>
      </c>
      <c r="Q1727" t="s">
        <v>53</v>
      </c>
      <c r="R1727" t="s">
        <v>54</v>
      </c>
      <c r="S1727" t="s">
        <v>54</v>
      </c>
      <c r="T1727" t="s">
        <v>55</v>
      </c>
      <c r="U1727">
        <v>76</v>
      </c>
      <c r="V1727" t="s">
        <v>71</v>
      </c>
      <c r="W1727" t="s">
        <v>72</v>
      </c>
      <c r="X1727" s="4">
        <v>0</v>
      </c>
      <c r="Y1727" t="s">
        <v>62</v>
      </c>
      <c r="AK1727" s="5"/>
    </row>
    <row r="1728" spans="1:47" x14ac:dyDescent="0.25">
      <c r="A1728" t="s">
        <v>63</v>
      </c>
      <c r="B1728" s="1">
        <v>512.79999999999995</v>
      </c>
      <c r="C1728">
        <v>0</v>
      </c>
      <c r="D1728" s="3">
        <v>0</v>
      </c>
      <c r="E1728" s="2">
        <v>0</v>
      </c>
      <c r="F1728" s="3">
        <v>1129.2</v>
      </c>
      <c r="G1728" s="3">
        <v>1400</v>
      </c>
      <c r="H1728" s="3" t="s">
        <v>54</v>
      </c>
      <c r="I1728" s="3" t="s">
        <v>59</v>
      </c>
      <c r="K1728" s="3" t="s">
        <v>73</v>
      </c>
      <c r="L1728" s="3" t="s">
        <v>73</v>
      </c>
      <c r="M1728" s="3">
        <v>46041.456666666665</v>
      </c>
      <c r="Q1728" t="s">
        <v>54</v>
      </c>
      <c r="R1728">
        <v>0</v>
      </c>
      <c r="T1728" t="s">
        <v>54</v>
      </c>
      <c r="U1728" t="s">
        <v>54</v>
      </c>
      <c r="V1728">
        <v>139</v>
      </c>
      <c r="W1728" t="s">
        <v>55</v>
      </c>
      <c r="X1728" s="4"/>
      <c r="AB1728" s="3"/>
      <c r="AE1728" s="3"/>
      <c r="AK1728" s="5"/>
    </row>
    <row r="1729" spans="1:47" x14ac:dyDescent="0.25">
      <c r="A1729" t="s">
        <v>96</v>
      </c>
      <c r="B1729" s="1">
        <v>38461</v>
      </c>
      <c r="C1729" t="s">
        <v>48</v>
      </c>
      <c r="D1729" s="3" t="s">
        <v>49</v>
      </c>
      <c r="E1729" s="2">
        <v>46041</v>
      </c>
      <c r="F1729" s="3" t="s">
        <v>151</v>
      </c>
      <c r="G1729" s="3" t="s">
        <v>152</v>
      </c>
      <c r="H1729" s="3">
        <v>9384</v>
      </c>
      <c r="I1729" s="3">
        <v>9384</v>
      </c>
      <c r="J1729">
        <v>0</v>
      </c>
      <c r="K1729" s="3">
        <v>9384</v>
      </c>
      <c r="L1729" s="3">
        <v>1102.4000000000001</v>
      </c>
      <c r="M1729" s="3">
        <v>655.93</v>
      </c>
      <c r="N1729" t="s">
        <v>52</v>
      </c>
      <c r="O1729" t="s">
        <v>53</v>
      </c>
      <c r="P1729" t="s">
        <v>53</v>
      </c>
      <c r="Q1729" t="s">
        <v>53</v>
      </c>
      <c r="R1729" t="s">
        <v>54</v>
      </c>
      <c r="S1729" t="s">
        <v>54</v>
      </c>
      <c r="T1729" t="s">
        <v>55</v>
      </c>
      <c r="U1729">
        <v>126</v>
      </c>
      <c r="V1729" t="s">
        <v>56</v>
      </c>
      <c r="W1729" t="s">
        <v>153</v>
      </c>
      <c r="X1729" s="4">
        <v>0</v>
      </c>
      <c r="Y1729" t="s">
        <v>58</v>
      </c>
      <c r="Z1729">
        <v>0</v>
      </c>
      <c r="AA1729">
        <v>0</v>
      </c>
      <c r="AB1729" s="3">
        <v>1102.4000000000001</v>
      </c>
      <c r="AC1729">
        <v>0</v>
      </c>
      <c r="AD1729" s="3">
        <v>0</v>
      </c>
      <c r="AE1729" s="3">
        <v>800</v>
      </c>
      <c r="AF1729" t="s">
        <v>54</v>
      </c>
      <c r="AG1729" t="s">
        <v>59</v>
      </c>
      <c r="AI1729" t="s">
        <v>73</v>
      </c>
      <c r="AJ1729" t="s">
        <v>73</v>
      </c>
      <c r="AK1729" s="5">
        <v>46041.482766203706</v>
      </c>
      <c r="AO1729" t="s">
        <v>54</v>
      </c>
      <c r="AP1729">
        <v>0</v>
      </c>
      <c r="AR1729" t="s">
        <v>54</v>
      </c>
      <c r="AS1729" t="s">
        <v>54</v>
      </c>
      <c r="AT1729">
        <v>4340</v>
      </c>
      <c r="AU1729" t="s">
        <v>55</v>
      </c>
    </row>
    <row r="1730" spans="1:47" x14ac:dyDescent="0.25">
      <c r="A1730" t="s">
        <v>96</v>
      </c>
      <c r="B1730" s="1">
        <v>38463</v>
      </c>
      <c r="C1730" t="s">
        <v>48</v>
      </c>
      <c r="D1730" s="3" t="s">
        <v>49</v>
      </c>
      <c r="E1730" s="2">
        <v>46042</v>
      </c>
      <c r="F1730" t="s">
        <v>154</v>
      </c>
      <c r="G1730" s="3" t="s">
        <v>66</v>
      </c>
      <c r="H1730" s="3">
        <v>3708</v>
      </c>
      <c r="I1730" s="3">
        <v>3708</v>
      </c>
      <c r="J1730">
        <v>0</v>
      </c>
      <c r="K1730" s="3">
        <v>3708</v>
      </c>
      <c r="L1730" s="3">
        <v>691.2</v>
      </c>
      <c r="M1730" s="3">
        <v>324.86</v>
      </c>
      <c r="N1730" t="s">
        <v>52</v>
      </c>
      <c r="O1730" t="s">
        <v>53</v>
      </c>
      <c r="P1730" t="s">
        <v>53</v>
      </c>
      <c r="Q1730" t="s">
        <v>53</v>
      </c>
      <c r="R1730" t="s">
        <v>54</v>
      </c>
      <c r="S1730" t="s">
        <v>54</v>
      </c>
      <c r="T1730" t="s">
        <v>55</v>
      </c>
      <c r="U1730">
        <v>126</v>
      </c>
      <c r="V1730" t="s">
        <v>56</v>
      </c>
      <c r="W1730" t="s">
        <v>95</v>
      </c>
      <c r="X1730" s="4">
        <v>0</v>
      </c>
      <c r="Y1730" t="s">
        <v>58</v>
      </c>
      <c r="Z1730">
        <v>0</v>
      </c>
      <c r="AA1730">
        <v>0</v>
      </c>
      <c r="AB1730" s="3">
        <v>0</v>
      </c>
      <c r="AC1730">
        <v>0</v>
      </c>
      <c r="AD1730">
        <v>691.2</v>
      </c>
      <c r="AE1730" s="3">
        <v>1200</v>
      </c>
      <c r="AF1730" t="s">
        <v>54</v>
      </c>
      <c r="AG1730" t="s">
        <v>59</v>
      </c>
      <c r="AI1730" t="s">
        <v>73</v>
      </c>
      <c r="AJ1730" t="s">
        <v>92</v>
      </c>
      <c r="AK1730" s="5">
        <v>46042.607210648152</v>
      </c>
      <c r="AO1730" t="s">
        <v>54</v>
      </c>
      <c r="AP1730">
        <v>0</v>
      </c>
      <c r="AR1730" t="s">
        <v>54</v>
      </c>
      <c r="AS1730" t="s">
        <v>54</v>
      </c>
      <c r="AT1730">
        <v>7472</v>
      </c>
      <c r="AU1730" t="s">
        <v>55</v>
      </c>
    </row>
    <row r="1731" spans="1:47" x14ac:dyDescent="0.25">
      <c r="A1731" t="s">
        <v>47</v>
      </c>
      <c r="B1731" s="1">
        <v>38464</v>
      </c>
      <c r="C1731" t="s">
        <v>48</v>
      </c>
      <c r="D1731" s="3" t="s">
        <v>49</v>
      </c>
      <c r="E1731" s="2">
        <v>46042</v>
      </c>
      <c r="F1731" s="3" t="s">
        <v>112</v>
      </c>
      <c r="G1731" s="3" t="s">
        <v>113</v>
      </c>
      <c r="H1731" s="3">
        <v>8160</v>
      </c>
      <c r="I1731" s="3">
        <v>8160</v>
      </c>
      <c r="J1731">
        <v>0</v>
      </c>
      <c r="K1731" s="3">
        <v>8160</v>
      </c>
      <c r="L1731" s="3">
        <v>1118</v>
      </c>
      <c r="M1731" s="3">
        <v>609.30999999999995</v>
      </c>
      <c r="N1731" t="s">
        <v>52</v>
      </c>
      <c r="O1731" t="s">
        <v>53</v>
      </c>
      <c r="P1731" t="s">
        <v>53</v>
      </c>
      <c r="Q1731" t="s">
        <v>53</v>
      </c>
      <c r="R1731" t="s">
        <v>54</v>
      </c>
      <c r="S1731" t="s">
        <v>54</v>
      </c>
      <c r="T1731" t="s">
        <v>55</v>
      </c>
      <c r="U1731">
        <v>126</v>
      </c>
      <c r="V1731" t="s">
        <v>56</v>
      </c>
      <c r="W1731" t="s">
        <v>78</v>
      </c>
      <c r="X1731" s="4">
        <v>0</v>
      </c>
      <c r="Y1731" t="s">
        <v>58</v>
      </c>
      <c r="Z1731" s="3">
        <v>1118</v>
      </c>
      <c r="AA1731">
        <v>0</v>
      </c>
      <c r="AB1731">
        <v>0</v>
      </c>
      <c r="AC1731">
        <v>0</v>
      </c>
      <c r="AD1731">
        <v>0</v>
      </c>
      <c r="AE1731" s="3">
        <v>2000</v>
      </c>
      <c r="AF1731" t="s">
        <v>54</v>
      </c>
      <c r="AG1731" t="s">
        <v>59</v>
      </c>
      <c r="AH1731" t="s">
        <v>115</v>
      </c>
      <c r="AI1731" t="s">
        <v>92</v>
      </c>
      <c r="AJ1731" t="s">
        <v>92</v>
      </c>
      <c r="AK1731" s="5">
        <v>46042.608483796299</v>
      </c>
      <c r="AO1731" t="s">
        <v>54</v>
      </c>
      <c r="AP1731">
        <v>0</v>
      </c>
      <c r="AR1731" t="s">
        <v>54</v>
      </c>
      <c r="AS1731" t="s">
        <v>54</v>
      </c>
      <c r="AT1731">
        <v>4089</v>
      </c>
      <c r="AU1731" t="s">
        <v>55</v>
      </c>
    </row>
    <row r="1732" spans="1:47" x14ac:dyDescent="0.25">
      <c r="A1732" t="s">
        <v>47</v>
      </c>
      <c r="B1732" s="1">
        <v>38465</v>
      </c>
      <c r="C1732" t="s">
        <v>48</v>
      </c>
      <c r="D1732" t="s">
        <v>49</v>
      </c>
      <c r="E1732" s="2">
        <v>46042</v>
      </c>
      <c r="F1732" t="s">
        <v>155</v>
      </c>
      <c r="G1732" s="3" t="s">
        <v>89</v>
      </c>
      <c r="H1732" s="3">
        <v>2239.1999999999998</v>
      </c>
      <c r="I1732" s="3">
        <v>2239.1999999999998</v>
      </c>
      <c r="J1732">
        <v>0</v>
      </c>
      <c r="K1732" s="3">
        <v>2575.08</v>
      </c>
      <c r="L1732" s="3">
        <v>466.56</v>
      </c>
      <c r="M1732" s="3">
        <v>171.23</v>
      </c>
      <c r="N1732" t="s">
        <v>106</v>
      </c>
      <c r="O1732" t="s">
        <v>53</v>
      </c>
      <c r="P1732" t="s">
        <v>53</v>
      </c>
      <c r="Q1732" t="s">
        <v>53</v>
      </c>
      <c r="R1732" t="s">
        <v>54</v>
      </c>
      <c r="S1732" t="s">
        <v>54</v>
      </c>
      <c r="T1732" t="s">
        <v>55</v>
      </c>
      <c r="U1732">
        <v>145</v>
      </c>
      <c r="V1732" t="s">
        <v>146</v>
      </c>
      <c r="W1732" t="s">
        <v>85</v>
      </c>
      <c r="X1732" s="4">
        <v>0</v>
      </c>
      <c r="Y1732" t="s">
        <v>62</v>
      </c>
      <c r="Z1732" s="3"/>
      <c r="AE1732" s="3"/>
      <c r="AK1732" s="5"/>
    </row>
    <row r="1733" spans="1:47" x14ac:dyDescent="0.25">
      <c r="A1733" t="s">
        <v>63</v>
      </c>
      <c r="B1733" s="1">
        <v>466.56</v>
      </c>
      <c r="C1733">
        <v>0</v>
      </c>
      <c r="D1733">
        <v>0</v>
      </c>
      <c r="E1733" s="2">
        <v>0</v>
      </c>
      <c r="F1733">
        <v>0</v>
      </c>
      <c r="G1733" s="3">
        <v>720</v>
      </c>
      <c r="H1733" s="3" t="s">
        <v>54</v>
      </c>
      <c r="I1733" s="3" t="s">
        <v>59</v>
      </c>
      <c r="J1733" t="s">
        <v>149</v>
      </c>
      <c r="K1733" s="3" t="s">
        <v>73</v>
      </c>
      <c r="L1733" t="s">
        <v>73</v>
      </c>
      <c r="M1733" s="3">
        <v>46042.694409722222</v>
      </c>
      <c r="Q1733" t="s">
        <v>54</v>
      </c>
      <c r="R1733">
        <v>0</v>
      </c>
      <c r="T1733" t="s">
        <v>54</v>
      </c>
      <c r="U1733" t="s">
        <v>54</v>
      </c>
      <c r="V1733">
        <v>7814</v>
      </c>
      <c r="W1733" t="s">
        <v>55</v>
      </c>
      <c r="X1733" s="4"/>
    </row>
    <row r="1734" spans="1:47" x14ac:dyDescent="0.25">
      <c r="A1734" t="s">
        <v>96</v>
      </c>
      <c r="B1734" s="1">
        <v>38466</v>
      </c>
      <c r="C1734" t="s">
        <v>48</v>
      </c>
      <c r="D1734" t="s">
        <v>49</v>
      </c>
      <c r="E1734" s="2">
        <v>46043</v>
      </c>
      <c r="F1734" t="s">
        <v>406</v>
      </c>
      <c r="G1734" s="3" t="s">
        <v>138</v>
      </c>
      <c r="H1734" s="3">
        <v>5350</v>
      </c>
      <c r="I1734" s="3">
        <v>5350</v>
      </c>
      <c r="J1734">
        <v>0</v>
      </c>
      <c r="K1734" s="3">
        <v>5350</v>
      </c>
      <c r="L1734" s="3">
        <v>4892</v>
      </c>
      <c r="M1734" s="3">
        <v>2310.08</v>
      </c>
      <c r="N1734" t="s">
        <v>52</v>
      </c>
      <c r="O1734" t="s">
        <v>53</v>
      </c>
      <c r="P1734" t="s">
        <v>53</v>
      </c>
      <c r="Q1734" t="s">
        <v>53</v>
      </c>
      <c r="R1734" t="s">
        <v>54</v>
      </c>
      <c r="S1734" t="s">
        <v>54</v>
      </c>
      <c r="T1734" t="s">
        <v>55</v>
      </c>
      <c r="U1734">
        <v>126</v>
      </c>
      <c r="V1734" t="s">
        <v>56</v>
      </c>
      <c r="W1734">
        <v>0</v>
      </c>
      <c r="X1734" s="4">
        <v>0</v>
      </c>
      <c r="Y1734" t="s">
        <v>62</v>
      </c>
    </row>
    <row r="1735" spans="1:47" x14ac:dyDescent="0.25">
      <c r="A1735" t="s">
        <v>63</v>
      </c>
      <c r="B1735" s="1">
        <v>4892</v>
      </c>
      <c r="C1735">
        <v>0</v>
      </c>
      <c r="D1735">
        <v>0</v>
      </c>
      <c r="E1735" s="2">
        <v>0</v>
      </c>
      <c r="F1735">
        <v>0</v>
      </c>
      <c r="G1735" s="3">
        <v>3000</v>
      </c>
      <c r="H1735" s="3" t="s">
        <v>54</v>
      </c>
      <c r="I1735" s="3" t="s">
        <v>59</v>
      </c>
      <c r="J1735" t="s">
        <v>182</v>
      </c>
      <c r="K1735" s="3" t="s">
        <v>92</v>
      </c>
      <c r="L1735" s="3" t="s">
        <v>92</v>
      </c>
      <c r="M1735" s="3">
        <v>46043.400405092594</v>
      </c>
      <c r="Q1735" t="s">
        <v>54</v>
      </c>
      <c r="R1735">
        <v>0</v>
      </c>
      <c r="T1735" t="s">
        <v>54</v>
      </c>
      <c r="U1735" t="s">
        <v>54</v>
      </c>
      <c r="V1735">
        <v>8571</v>
      </c>
      <c r="W1735" t="s">
        <v>55</v>
      </c>
      <c r="X1735" s="4"/>
      <c r="AK1735" s="5"/>
    </row>
    <row r="1736" spans="1:47" x14ac:dyDescent="0.25">
      <c r="A1736" t="s">
        <v>96</v>
      </c>
      <c r="B1736" s="1">
        <v>38469</v>
      </c>
      <c r="C1736" t="s">
        <v>48</v>
      </c>
      <c r="D1736" t="s">
        <v>49</v>
      </c>
      <c r="E1736" s="2">
        <v>46044</v>
      </c>
      <c r="F1736" t="s">
        <v>156</v>
      </c>
      <c r="G1736" s="3" t="s">
        <v>157</v>
      </c>
      <c r="H1736" s="3">
        <v>13130.35</v>
      </c>
      <c r="I1736" s="3">
        <v>13130.35</v>
      </c>
      <c r="J1736">
        <v>0</v>
      </c>
      <c r="K1736" s="3">
        <v>13130.35</v>
      </c>
      <c r="L1736" s="3">
        <v>2707.8</v>
      </c>
      <c r="M1736" s="3">
        <v>1056.05</v>
      </c>
      <c r="N1736" t="s">
        <v>98</v>
      </c>
      <c r="O1736" t="s">
        <v>53</v>
      </c>
      <c r="P1736" t="s">
        <v>53</v>
      </c>
      <c r="Q1736" t="s">
        <v>53</v>
      </c>
      <c r="R1736" t="s">
        <v>54</v>
      </c>
      <c r="S1736" t="s">
        <v>54</v>
      </c>
      <c r="T1736" t="s">
        <v>55</v>
      </c>
      <c r="U1736">
        <v>167</v>
      </c>
      <c r="V1736" t="s">
        <v>99</v>
      </c>
      <c r="W1736" t="s">
        <v>134</v>
      </c>
      <c r="X1736" s="4">
        <v>0</v>
      </c>
      <c r="Y1736" t="s">
        <v>58</v>
      </c>
      <c r="Z1736" s="3">
        <v>2707.8</v>
      </c>
      <c r="AA1736">
        <v>0</v>
      </c>
      <c r="AB1736" s="3">
        <v>0</v>
      </c>
      <c r="AC1736">
        <v>0</v>
      </c>
      <c r="AD1736">
        <v>0</v>
      </c>
      <c r="AE1736" s="3">
        <v>1250</v>
      </c>
      <c r="AF1736" t="s">
        <v>54</v>
      </c>
      <c r="AG1736" t="s">
        <v>59</v>
      </c>
      <c r="AI1736" t="s">
        <v>73</v>
      </c>
      <c r="AJ1736" t="s">
        <v>73</v>
      </c>
      <c r="AK1736" s="5">
        <v>46044.595682870371</v>
      </c>
      <c r="AO1736" t="s">
        <v>54</v>
      </c>
      <c r="AP1736">
        <v>0</v>
      </c>
      <c r="AR1736" t="s">
        <v>54</v>
      </c>
      <c r="AS1736" t="s">
        <v>54</v>
      </c>
      <c r="AT1736">
        <v>8561</v>
      </c>
      <c r="AU1736" t="s">
        <v>55</v>
      </c>
    </row>
    <row r="1737" spans="1:47" x14ac:dyDescent="0.25">
      <c r="A1737" t="s">
        <v>47</v>
      </c>
      <c r="B1737" s="1">
        <v>38470</v>
      </c>
      <c r="C1737" t="s">
        <v>48</v>
      </c>
      <c r="D1737" t="s">
        <v>49</v>
      </c>
      <c r="E1737" s="2">
        <v>46044</v>
      </c>
      <c r="F1737" t="s">
        <v>158</v>
      </c>
      <c r="G1737" t="s">
        <v>159</v>
      </c>
      <c r="H1737" s="3">
        <v>5258</v>
      </c>
      <c r="I1737" s="3">
        <v>5258</v>
      </c>
      <c r="J1737">
        <v>0</v>
      </c>
      <c r="K1737" s="3">
        <v>6046.7</v>
      </c>
      <c r="L1737" s="3">
        <v>1234.2</v>
      </c>
      <c r="M1737" s="3">
        <v>382.6</v>
      </c>
      <c r="N1737" t="s">
        <v>52</v>
      </c>
      <c r="O1737" t="s">
        <v>53</v>
      </c>
      <c r="P1737" t="s">
        <v>53</v>
      </c>
      <c r="Q1737" t="s">
        <v>53</v>
      </c>
      <c r="R1737" t="s">
        <v>54</v>
      </c>
      <c r="S1737" t="s">
        <v>54</v>
      </c>
      <c r="T1737" t="s">
        <v>55</v>
      </c>
      <c r="U1737">
        <v>126</v>
      </c>
      <c r="V1737" t="s">
        <v>56</v>
      </c>
      <c r="W1737" t="s">
        <v>114</v>
      </c>
      <c r="X1737" s="4">
        <v>0</v>
      </c>
      <c r="Y1737" t="s">
        <v>62</v>
      </c>
      <c r="Z1737" s="3"/>
      <c r="AE1737" s="3"/>
      <c r="AK1737" s="5"/>
    </row>
    <row r="1738" spans="1:47" x14ac:dyDescent="0.25">
      <c r="A1738" t="s">
        <v>63</v>
      </c>
      <c r="B1738" s="1">
        <v>0</v>
      </c>
      <c r="C1738">
        <v>0</v>
      </c>
      <c r="D1738">
        <v>0</v>
      </c>
      <c r="E1738" s="2">
        <v>0</v>
      </c>
      <c r="F1738" s="3">
        <v>1234.2</v>
      </c>
      <c r="G1738" s="3">
        <v>2200</v>
      </c>
      <c r="H1738" s="3" t="s">
        <v>54</v>
      </c>
      <c r="I1738" s="3" t="s">
        <v>59</v>
      </c>
      <c r="J1738" t="s">
        <v>160</v>
      </c>
      <c r="K1738" s="3" t="s">
        <v>60</v>
      </c>
      <c r="L1738" s="3" t="s">
        <v>60</v>
      </c>
      <c r="M1738" s="3">
        <v>46044.665081018517</v>
      </c>
      <c r="Q1738" t="s">
        <v>54</v>
      </c>
      <c r="R1738">
        <v>0</v>
      </c>
      <c r="T1738" t="s">
        <v>54</v>
      </c>
      <c r="U1738" t="s">
        <v>54</v>
      </c>
      <c r="V1738">
        <v>8595</v>
      </c>
      <c r="W1738" t="s">
        <v>55</v>
      </c>
      <c r="X1738" s="4"/>
      <c r="Z1738" s="3"/>
      <c r="AB1738" s="3"/>
      <c r="AE1738" s="3"/>
      <c r="AK1738" s="5"/>
    </row>
    <row r="1739" spans="1:47" x14ac:dyDescent="0.25">
      <c r="A1739" t="s">
        <v>47</v>
      </c>
      <c r="B1739" s="1">
        <v>38471</v>
      </c>
      <c r="C1739" t="s">
        <v>48</v>
      </c>
      <c r="D1739" t="s">
        <v>49</v>
      </c>
      <c r="E1739" s="2">
        <v>46044</v>
      </c>
      <c r="F1739" s="3" t="s">
        <v>74</v>
      </c>
      <c r="G1739" s="3" t="s">
        <v>51</v>
      </c>
      <c r="H1739" s="3">
        <v>10372</v>
      </c>
      <c r="I1739" s="3">
        <v>10372</v>
      </c>
      <c r="J1739">
        <v>0</v>
      </c>
      <c r="K1739" s="3">
        <v>11927.8</v>
      </c>
      <c r="L1739" s="3">
        <v>1115.2</v>
      </c>
      <c r="M1739" s="3">
        <v>711.5</v>
      </c>
      <c r="N1739" t="s">
        <v>75</v>
      </c>
      <c r="O1739" t="s">
        <v>53</v>
      </c>
      <c r="P1739" t="s">
        <v>53</v>
      </c>
      <c r="Q1739" t="s">
        <v>53</v>
      </c>
      <c r="R1739" t="s">
        <v>54</v>
      </c>
      <c r="S1739" t="s">
        <v>54</v>
      </c>
      <c r="T1739" t="s">
        <v>55</v>
      </c>
      <c r="U1739">
        <v>43</v>
      </c>
      <c r="W1739" t="s">
        <v>72</v>
      </c>
      <c r="X1739" s="4">
        <v>0</v>
      </c>
      <c r="Y1739" t="s">
        <v>58</v>
      </c>
      <c r="Z1739" s="3">
        <v>0</v>
      </c>
      <c r="AA1739">
        <v>0</v>
      </c>
      <c r="AB1739" s="3">
        <v>1115.2</v>
      </c>
      <c r="AC1739">
        <v>0</v>
      </c>
      <c r="AD1739">
        <v>0</v>
      </c>
      <c r="AE1739" s="3">
        <v>800</v>
      </c>
      <c r="AF1739" t="s">
        <v>54</v>
      </c>
      <c r="AG1739" t="s">
        <v>59</v>
      </c>
      <c r="AI1739" t="s">
        <v>73</v>
      </c>
      <c r="AJ1739" t="s">
        <v>73</v>
      </c>
      <c r="AK1739" s="5">
        <v>46044.708749999998</v>
      </c>
      <c r="AO1739" t="s">
        <v>54</v>
      </c>
      <c r="AP1739">
        <v>0</v>
      </c>
      <c r="AR1739" t="s">
        <v>54</v>
      </c>
      <c r="AS1739" t="s">
        <v>54</v>
      </c>
      <c r="AT1739">
        <v>8469</v>
      </c>
      <c r="AU1739" t="s">
        <v>55</v>
      </c>
    </row>
    <row r="1740" spans="1:47" x14ac:dyDescent="0.25">
      <c r="A1740" t="s">
        <v>47</v>
      </c>
      <c r="B1740" s="1">
        <v>38472</v>
      </c>
      <c r="C1740" t="s">
        <v>48</v>
      </c>
      <c r="D1740" t="s">
        <v>49</v>
      </c>
      <c r="E1740" s="2">
        <v>46044</v>
      </c>
      <c r="F1740" t="s">
        <v>161</v>
      </c>
      <c r="G1740" t="s">
        <v>109</v>
      </c>
      <c r="H1740" s="3">
        <v>65830</v>
      </c>
      <c r="I1740" s="3">
        <v>65830</v>
      </c>
      <c r="J1740">
        <v>0</v>
      </c>
      <c r="K1740" s="3">
        <v>75704.5</v>
      </c>
      <c r="L1740" s="3">
        <v>9907.5</v>
      </c>
      <c r="M1740" s="3">
        <v>4687.45</v>
      </c>
      <c r="N1740" t="s">
        <v>77</v>
      </c>
      <c r="O1740" t="s">
        <v>53</v>
      </c>
      <c r="P1740" t="s">
        <v>53</v>
      </c>
      <c r="Q1740" t="s">
        <v>53</v>
      </c>
      <c r="R1740" t="s">
        <v>54</v>
      </c>
      <c r="S1740" t="s">
        <v>54</v>
      </c>
      <c r="T1740" t="s">
        <v>55</v>
      </c>
      <c r="U1740">
        <v>83</v>
      </c>
      <c r="W1740" t="s">
        <v>162</v>
      </c>
      <c r="X1740" s="4">
        <v>0</v>
      </c>
      <c r="Y1740" t="s">
        <v>58</v>
      </c>
      <c r="Z1740">
        <v>0</v>
      </c>
      <c r="AA1740">
        <v>0</v>
      </c>
      <c r="AB1740" s="3">
        <v>294.5</v>
      </c>
      <c r="AC1740">
        <v>0</v>
      </c>
      <c r="AD1740" s="3">
        <v>9613</v>
      </c>
      <c r="AE1740" s="3">
        <v>11500</v>
      </c>
      <c r="AF1740" t="s">
        <v>54</v>
      </c>
      <c r="AG1740" t="s">
        <v>59</v>
      </c>
      <c r="AI1740" t="s">
        <v>80</v>
      </c>
      <c r="AJ1740" t="s">
        <v>73</v>
      </c>
      <c r="AK1740" s="5">
        <v>46045.324247685188</v>
      </c>
      <c r="AO1740" t="s">
        <v>54</v>
      </c>
      <c r="AP1740">
        <v>0</v>
      </c>
      <c r="AR1740" t="s">
        <v>54</v>
      </c>
      <c r="AS1740" t="s">
        <v>54</v>
      </c>
      <c r="AT1740">
        <v>4386</v>
      </c>
      <c r="AU1740" t="s">
        <v>55</v>
      </c>
    </row>
    <row r="1741" spans="1:47" x14ac:dyDescent="0.25">
      <c r="A1741" t="s">
        <v>81</v>
      </c>
      <c r="B1741" s="1">
        <v>38473</v>
      </c>
      <c r="C1741" t="s">
        <v>48</v>
      </c>
      <c r="D1741" s="3" t="s">
        <v>49</v>
      </c>
      <c r="E1741" s="2">
        <v>46045</v>
      </c>
      <c r="F1741" t="s">
        <v>140</v>
      </c>
      <c r="G1741" s="3" t="s">
        <v>141</v>
      </c>
      <c r="H1741" s="3">
        <v>4264.2</v>
      </c>
      <c r="I1741" s="3">
        <v>4264.2</v>
      </c>
      <c r="J1741">
        <v>0</v>
      </c>
      <c r="K1741" s="3">
        <v>4264.2</v>
      </c>
      <c r="L1741" s="3">
        <v>735.54</v>
      </c>
      <c r="M1741" s="3">
        <v>345.7</v>
      </c>
      <c r="N1741" t="s">
        <v>77</v>
      </c>
      <c r="O1741" t="s">
        <v>53</v>
      </c>
      <c r="P1741" t="s">
        <v>53</v>
      </c>
      <c r="Q1741" t="s">
        <v>53</v>
      </c>
      <c r="R1741" t="s">
        <v>54</v>
      </c>
      <c r="S1741" t="s">
        <v>54</v>
      </c>
      <c r="T1741" t="s">
        <v>55</v>
      </c>
      <c r="U1741">
        <v>83</v>
      </c>
      <c r="W1741" t="s">
        <v>72</v>
      </c>
      <c r="X1741" s="4">
        <v>0</v>
      </c>
      <c r="Y1741" t="s">
        <v>58</v>
      </c>
      <c r="Z1741" s="3">
        <v>0</v>
      </c>
      <c r="AA1741">
        <v>0</v>
      </c>
      <c r="AB1741">
        <v>0</v>
      </c>
      <c r="AC1741">
        <v>0</v>
      </c>
      <c r="AD1741" s="3">
        <v>735.54</v>
      </c>
      <c r="AE1741" s="3">
        <v>460</v>
      </c>
      <c r="AF1741" t="s">
        <v>54</v>
      </c>
      <c r="AG1741" t="s">
        <v>59</v>
      </c>
      <c r="AH1741" t="s">
        <v>103</v>
      </c>
      <c r="AI1741" t="s">
        <v>80</v>
      </c>
      <c r="AJ1741" t="s">
        <v>73</v>
      </c>
      <c r="AK1741" s="5">
        <v>46045.480324074073</v>
      </c>
      <c r="AO1741" t="s">
        <v>54</v>
      </c>
      <c r="AP1741">
        <v>0</v>
      </c>
      <c r="AR1741" t="s">
        <v>54</v>
      </c>
      <c r="AS1741" t="s">
        <v>54</v>
      </c>
      <c r="AT1741">
        <v>3465</v>
      </c>
      <c r="AU1741" t="s">
        <v>55</v>
      </c>
    </row>
    <row r="1742" spans="1:47" x14ac:dyDescent="0.25">
      <c r="A1742" t="s">
        <v>47</v>
      </c>
      <c r="B1742" s="1">
        <v>38474</v>
      </c>
      <c r="C1742" t="s">
        <v>48</v>
      </c>
      <c r="D1742" t="s">
        <v>49</v>
      </c>
      <c r="E1742" s="2">
        <v>46045</v>
      </c>
      <c r="F1742" t="s">
        <v>101</v>
      </c>
      <c r="G1742" t="s">
        <v>94</v>
      </c>
      <c r="H1742" s="3">
        <v>2288.9</v>
      </c>
      <c r="I1742" s="3">
        <v>2288.9</v>
      </c>
      <c r="J1742">
        <v>0</v>
      </c>
      <c r="K1742" s="3">
        <v>2632.24</v>
      </c>
      <c r="L1742" s="3">
        <v>400.65</v>
      </c>
      <c r="M1742" s="3">
        <v>217.92</v>
      </c>
      <c r="N1742" t="s">
        <v>84</v>
      </c>
      <c r="O1742" t="s">
        <v>53</v>
      </c>
      <c r="P1742" t="s">
        <v>53</v>
      </c>
      <c r="Q1742" t="s">
        <v>53</v>
      </c>
      <c r="R1742" t="s">
        <v>54</v>
      </c>
      <c r="S1742" t="s">
        <v>54</v>
      </c>
      <c r="T1742" t="s">
        <v>55</v>
      </c>
      <c r="U1742">
        <v>9</v>
      </c>
      <c r="V1742" t="s">
        <v>71</v>
      </c>
      <c r="W1742" t="s">
        <v>102</v>
      </c>
      <c r="X1742" s="4">
        <v>0</v>
      </c>
      <c r="Y1742" t="s">
        <v>58</v>
      </c>
      <c r="Z1742" s="3">
        <v>59.85</v>
      </c>
      <c r="AA1742">
        <v>0</v>
      </c>
      <c r="AB1742">
        <v>340.8</v>
      </c>
      <c r="AC1742">
        <v>0</v>
      </c>
      <c r="AD1742">
        <v>0</v>
      </c>
      <c r="AE1742" s="3">
        <v>80</v>
      </c>
      <c r="AF1742" t="s">
        <v>54</v>
      </c>
      <c r="AG1742" t="s">
        <v>59</v>
      </c>
      <c r="AH1742" t="s">
        <v>103</v>
      </c>
      <c r="AI1742" t="s">
        <v>73</v>
      </c>
      <c r="AJ1742" t="s">
        <v>73</v>
      </c>
      <c r="AK1742" s="5">
        <v>46045.474953703706</v>
      </c>
      <c r="AO1742" t="s">
        <v>54</v>
      </c>
      <c r="AP1742">
        <v>0</v>
      </c>
      <c r="AR1742" t="s">
        <v>54</v>
      </c>
      <c r="AS1742" t="s">
        <v>54</v>
      </c>
      <c r="AT1742">
        <v>161</v>
      </c>
      <c r="AU1742" t="s">
        <v>55</v>
      </c>
    </row>
    <row r="1743" spans="1:47" x14ac:dyDescent="0.25">
      <c r="A1743" t="s">
        <v>96</v>
      </c>
      <c r="B1743" s="1">
        <v>38475</v>
      </c>
      <c r="C1743" t="s">
        <v>48</v>
      </c>
      <c r="D1743" t="s">
        <v>49</v>
      </c>
      <c r="E1743" s="2">
        <v>46048</v>
      </c>
      <c r="F1743" t="s">
        <v>163</v>
      </c>
      <c r="G1743" s="3" t="s">
        <v>66</v>
      </c>
      <c r="H1743" s="3">
        <v>225</v>
      </c>
      <c r="I1743" s="3">
        <v>225</v>
      </c>
      <c r="J1743">
        <v>0</v>
      </c>
      <c r="K1743" s="3">
        <v>225</v>
      </c>
      <c r="L1743">
        <v>82.5</v>
      </c>
      <c r="M1743" s="3">
        <v>23.93</v>
      </c>
      <c r="N1743" t="s">
        <v>52</v>
      </c>
      <c r="O1743" t="s">
        <v>53</v>
      </c>
      <c r="P1743" t="s">
        <v>53</v>
      </c>
      <c r="Q1743" t="s">
        <v>53</v>
      </c>
      <c r="R1743" t="s">
        <v>54</v>
      </c>
      <c r="S1743" t="s">
        <v>54</v>
      </c>
      <c r="T1743" t="s">
        <v>55</v>
      </c>
      <c r="U1743">
        <v>126</v>
      </c>
      <c r="V1743" t="s">
        <v>56</v>
      </c>
      <c r="W1743" t="s">
        <v>164</v>
      </c>
      <c r="X1743" s="4">
        <v>0</v>
      </c>
      <c r="Y1743" t="s">
        <v>58</v>
      </c>
      <c r="Z1743">
        <v>82.5</v>
      </c>
      <c r="AA1743">
        <v>0</v>
      </c>
      <c r="AB1743">
        <v>0</v>
      </c>
      <c r="AC1743">
        <v>0</v>
      </c>
      <c r="AD1743">
        <v>0</v>
      </c>
      <c r="AE1743" s="3">
        <v>2500</v>
      </c>
      <c r="AF1743" t="s">
        <v>54</v>
      </c>
      <c r="AG1743" t="s">
        <v>59</v>
      </c>
      <c r="AH1743" t="s">
        <v>165</v>
      </c>
      <c r="AI1743" t="s">
        <v>60</v>
      </c>
      <c r="AJ1743" t="s">
        <v>60</v>
      </c>
      <c r="AK1743" s="5">
        <v>46048.431967592594</v>
      </c>
      <c r="AO1743" t="s">
        <v>54</v>
      </c>
      <c r="AP1743">
        <v>0</v>
      </c>
      <c r="AR1743" t="s">
        <v>54</v>
      </c>
      <c r="AS1743" t="s">
        <v>54</v>
      </c>
      <c r="AT1743">
        <v>5486</v>
      </c>
      <c r="AU1743" t="s">
        <v>55</v>
      </c>
    </row>
    <row r="1744" spans="1:47" x14ac:dyDescent="0.25">
      <c r="A1744" t="s">
        <v>96</v>
      </c>
      <c r="B1744" s="1">
        <v>38476</v>
      </c>
      <c r="C1744" t="s">
        <v>48</v>
      </c>
      <c r="D1744" t="s">
        <v>49</v>
      </c>
      <c r="E1744" s="2">
        <v>46048</v>
      </c>
      <c r="F1744" t="s">
        <v>166</v>
      </c>
      <c r="G1744" t="s">
        <v>69</v>
      </c>
      <c r="H1744" s="3">
        <v>9160</v>
      </c>
      <c r="I1744" s="3">
        <v>9160</v>
      </c>
      <c r="J1744">
        <v>0</v>
      </c>
      <c r="K1744" s="3">
        <v>9160</v>
      </c>
      <c r="L1744" s="3">
        <v>1610</v>
      </c>
      <c r="M1744" s="3">
        <v>925.75</v>
      </c>
      <c r="N1744" t="s">
        <v>52</v>
      </c>
      <c r="O1744" t="s">
        <v>53</v>
      </c>
      <c r="P1744" t="s">
        <v>53</v>
      </c>
      <c r="Q1744" t="s">
        <v>53</v>
      </c>
      <c r="R1744" t="s">
        <v>54</v>
      </c>
      <c r="S1744" t="s">
        <v>54</v>
      </c>
      <c r="T1744" t="s">
        <v>55</v>
      </c>
      <c r="U1744">
        <v>126</v>
      </c>
      <c r="V1744" t="s">
        <v>56</v>
      </c>
      <c r="W1744" t="s">
        <v>153</v>
      </c>
      <c r="X1744" s="4">
        <v>0</v>
      </c>
      <c r="Y1744" t="s">
        <v>58</v>
      </c>
      <c r="Z1744">
        <v>0</v>
      </c>
      <c r="AA1744">
        <v>0</v>
      </c>
      <c r="AB1744" s="3">
        <v>1610</v>
      </c>
      <c r="AC1744">
        <v>0</v>
      </c>
      <c r="AD1744">
        <v>0</v>
      </c>
      <c r="AE1744" s="3">
        <v>2000</v>
      </c>
      <c r="AF1744" t="s">
        <v>54</v>
      </c>
      <c r="AG1744" t="s">
        <v>59</v>
      </c>
      <c r="AI1744" t="s">
        <v>60</v>
      </c>
      <c r="AJ1744" t="s">
        <v>60</v>
      </c>
      <c r="AK1744" s="5">
        <v>46048.455706018518</v>
      </c>
      <c r="AO1744" t="s">
        <v>54</v>
      </c>
      <c r="AP1744">
        <v>0</v>
      </c>
      <c r="AR1744" t="s">
        <v>54</v>
      </c>
      <c r="AS1744" t="s">
        <v>54</v>
      </c>
      <c r="AT1744">
        <v>322</v>
      </c>
      <c r="AU1744" t="s">
        <v>55</v>
      </c>
    </row>
    <row r="1745" spans="1:47" x14ac:dyDescent="0.25">
      <c r="A1745" t="s">
        <v>47</v>
      </c>
      <c r="B1745" s="1">
        <v>38477</v>
      </c>
      <c r="C1745" t="s">
        <v>48</v>
      </c>
      <c r="D1745" t="s">
        <v>49</v>
      </c>
      <c r="E1745" s="2">
        <v>46048</v>
      </c>
      <c r="F1745" t="s">
        <v>129</v>
      </c>
      <c r="G1745" s="3" t="s">
        <v>130</v>
      </c>
      <c r="H1745" s="3">
        <v>14902</v>
      </c>
      <c r="I1745" s="3">
        <v>14902</v>
      </c>
      <c r="J1745">
        <v>0</v>
      </c>
      <c r="K1745" s="3">
        <v>17137.3</v>
      </c>
      <c r="L1745" s="3">
        <v>2835.2</v>
      </c>
      <c r="M1745" s="3">
        <v>1095.97</v>
      </c>
      <c r="N1745" t="s">
        <v>52</v>
      </c>
      <c r="O1745" t="s">
        <v>53</v>
      </c>
      <c r="P1745" t="s">
        <v>53</v>
      </c>
      <c r="Q1745" t="s">
        <v>53</v>
      </c>
      <c r="R1745" t="s">
        <v>54</v>
      </c>
      <c r="S1745" t="s">
        <v>54</v>
      </c>
      <c r="T1745" t="s">
        <v>55</v>
      </c>
      <c r="U1745">
        <v>126</v>
      </c>
      <c r="V1745" t="s">
        <v>56</v>
      </c>
      <c r="W1745" t="s">
        <v>131</v>
      </c>
      <c r="X1745" s="4">
        <v>0</v>
      </c>
      <c r="Y1745" t="s">
        <v>62</v>
      </c>
      <c r="AB1745" s="3"/>
      <c r="AE1745" s="3"/>
      <c r="AK1745" s="5"/>
    </row>
    <row r="1746" spans="1:47" x14ac:dyDescent="0.25">
      <c r="A1746" t="s">
        <v>63</v>
      </c>
      <c r="B1746" s="3">
        <v>2713.2</v>
      </c>
      <c r="C1746">
        <v>0</v>
      </c>
      <c r="D1746">
        <v>0</v>
      </c>
      <c r="E1746" s="2">
        <v>0</v>
      </c>
      <c r="F1746">
        <v>122</v>
      </c>
      <c r="G1746" s="3">
        <v>3200</v>
      </c>
      <c r="H1746" s="3" t="s">
        <v>54</v>
      </c>
      <c r="I1746" s="3" t="s">
        <v>59</v>
      </c>
      <c r="K1746" s="3" t="s">
        <v>60</v>
      </c>
      <c r="L1746" s="3" t="s">
        <v>60</v>
      </c>
      <c r="M1746" s="3">
        <v>46048.487233796295</v>
      </c>
      <c r="Q1746" t="s">
        <v>54</v>
      </c>
      <c r="R1746">
        <v>0</v>
      </c>
      <c r="T1746" t="s">
        <v>54</v>
      </c>
      <c r="U1746" t="s">
        <v>54</v>
      </c>
      <c r="V1746">
        <v>6379</v>
      </c>
      <c r="W1746" t="s">
        <v>55</v>
      </c>
      <c r="X1746" s="4"/>
      <c r="Z1746" s="3"/>
      <c r="AE1746" s="3"/>
      <c r="AK1746" s="5"/>
    </row>
    <row r="1747" spans="1:47" x14ac:dyDescent="0.25">
      <c r="A1747" t="s">
        <v>47</v>
      </c>
      <c r="B1747" s="1">
        <v>38478</v>
      </c>
      <c r="C1747" t="s">
        <v>48</v>
      </c>
      <c r="D1747" s="3" t="s">
        <v>49</v>
      </c>
      <c r="E1747" s="2">
        <v>46048</v>
      </c>
      <c r="F1747" t="s">
        <v>118</v>
      </c>
      <c r="G1747" s="3" t="s">
        <v>119</v>
      </c>
      <c r="H1747" s="3">
        <v>1648</v>
      </c>
      <c r="I1747" s="3">
        <v>1648</v>
      </c>
      <c r="J1747">
        <v>0</v>
      </c>
      <c r="K1747" s="3">
        <v>1895.2</v>
      </c>
      <c r="L1747" s="3">
        <v>256.60000000000002</v>
      </c>
      <c r="M1747" s="3">
        <v>147.55000000000001</v>
      </c>
      <c r="N1747" t="s">
        <v>77</v>
      </c>
      <c r="O1747" t="s">
        <v>53</v>
      </c>
      <c r="P1747" t="s">
        <v>53</v>
      </c>
      <c r="Q1747" t="s">
        <v>53</v>
      </c>
      <c r="R1747" t="s">
        <v>54</v>
      </c>
      <c r="S1747" t="s">
        <v>54</v>
      </c>
      <c r="T1747" t="s">
        <v>55</v>
      </c>
      <c r="U1747">
        <v>83</v>
      </c>
      <c r="W1747" t="s">
        <v>85</v>
      </c>
      <c r="X1747" s="4">
        <v>0</v>
      </c>
      <c r="Y1747" t="s">
        <v>58</v>
      </c>
      <c r="Z1747" s="3">
        <v>0</v>
      </c>
      <c r="AA1747">
        <v>0</v>
      </c>
      <c r="AB1747">
        <v>256.60000000000002</v>
      </c>
      <c r="AC1747">
        <v>0</v>
      </c>
      <c r="AD1747">
        <v>0</v>
      </c>
      <c r="AE1747" s="3">
        <v>200</v>
      </c>
      <c r="AF1747" t="s">
        <v>54</v>
      </c>
      <c r="AG1747" t="s">
        <v>59</v>
      </c>
      <c r="AI1747" t="s">
        <v>80</v>
      </c>
      <c r="AJ1747" t="s">
        <v>73</v>
      </c>
      <c r="AK1747" s="5">
        <v>46048.551793981482</v>
      </c>
      <c r="AO1747" t="s">
        <v>54</v>
      </c>
      <c r="AP1747">
        <v>0</v>
      </c>
      <c r="AR1747" t="s">
        <v>54</v>
      </c>
      <c r="AS1747" t="s">
        <v>54</v>
      </c>
      <c r="AT1747">
        <v>4900</v>
      </c>
      <c r="AU1747" t="s">
        <v>55</v>
      </c>
    </row>
    <row r="1748" spans="1:47" x14ac:dyDescent="0.25">
      <c r="A1748" t="s">
        <v>47</v>
      </c>
      <c r="B1748" s="1">
        <v>38479</v>
      </c>
      <c r="C1748" t="s">
        <v>48</v>
      </c>
      <c r="D1748" t="s">
        <v>49</v>
      </c>
      <c r="E1748" s="2">
        <v>46048</v>
      </c>
      <c r="F1748" s="3" t="s">
        <v>118</v>
      </c>
      <c r="G1748" s="3" t="s">
        <v>119</v>
      </c>
      <c r="H1748" s="3">
        <v>1648</v>
      </c>
      <c r="I1748" s="3">
        <v>1648</v>
      </c>
      <c r="J1748">
        <v>0</v>
      </c>
      <c r="K1748" s="3">
        <v>1895.2</v>
      </c>
      <c r="L1748" s="3">
        <v>256.60000000000002</v>
      </c>
      <c r="M1748" s="3">
        <v>147.55000000000001</v>
      </c>
      <c r="N1748" t="s">
        <v>77</v>
      </c>
      <c r="O1748" t="s">
        <v>53</v>
      </c>
      <c r="P1748" t="s">
        <v>53</v>
      </c>
      <c r="Q1748" t="s">
        <v>53</v>
      </c>
      <c r="R1748" t="s">
        <v>54</v>
      </c>
      <c r="S1748" t="s">
        <v>54</v>
      </c>
      <c r="T1748" t="s">
        <v>55</v>
      </c>
      <c r="U1748">
        <v>83</v>
      </c>
      <c r="W1748" t="s">
        <v>85</v>
      </c>
      <c r="X1748" s="4">
        <v>0</v>
      </c>
      <c r="Y1748" t="s">
        <v>58</v>
      </c>
      <c r="Z1748">
        <v>0</v>
      </c>
      <c r="AA1748">
        <v>0</v>
      </c>
      <c r="AB1748">
        <v>256.60000000000002</v>
      </c>
      <c r="AC1748">
        <v>0</v>
      </c>
      <c r="AD1748">
        <v>0</v>
      </c>
      <c r="AE1748">
        <v>200</v>
      </c>
      <c r="AF1748" t="s">
        <v>54</v>
      </c>
      <c r="AG1748" t="s">
        <v>59</v>
      </c>
      <c r="AI1748" t="s">
        <v>80</v>
      </c>
      <c r="AJ1748" t="s">
        <v>73</v>
      </c>
      <c r="AK1748" s="5">
        <v>46048.551932870374</v>
      </c>
      <c r="AO1748" t="s">
        <v>54</v>
      </c>
      <c r="AP1748">
        <v>0</v>
      </c>
      <c r="AR1748" t="s">
        <v>54</v>
      </c>
      <c r="AS1748" t="s">
        <v>54</v>
      </c>
      <c r="AT1748">
        <v>4900</v>
      </c>
      <c r="AU1748" t="s">
        <v>55</v>
      </c>
    </row>
    <row r="1749" spans="1:47" x14ac:dyDescent="0.25">
      <c r="A1749" t="s">
        <v>47</v>
      </c>
      <c r="B1749" s="1">
        <v>38480</v>
      </c>
      <c r="C1749" t="s">
        <v>48</v>
      </c>
      <c r="D1749" s="3" t="s">
        <v>49</v>
      </c>
      <c r="E1749" s="2">
        <v>46049</v>
      </c>
      <c r="F1749" s="3" t="s">
        <v>421</v>
      </c>
      <c r="G1749" s="3" t="s">
        <v>138</v>
      </c>
      <c r="H1749" s="3">
        <v>5655</v>
      </c>
      <c r="I1749" s="3">
        <v>5655</v>
      </c>
      <c r="J1749">
        <v>0</v>
      </c>
      <c r="K1749" s="3">
        <v>6487.5</v>
      </c>
      <c r="L1749" s="3">
        <v>1144.5</v>
      </c>
      <c r="M1749" s="3">
        <v>420.03</v>
      </c>
      <c r="N1749" t="s">
        <v>98</v>
      </c>
      <c r="O1749" t="s">
        <v>53</v>
      </c>
      <c r="P1749" t="s">
        <v>53</v>
      </c>
      <c r="Q1749" t="s">
        <v>53</v>
      </c>
      <c r="R1749" t="s">
        <v>54</v>
      </c>
      <c r="S1749" t="s">
        <v>54</v>
      </c>
      <c r="T1749" t="s">
        <v>55</v>
      </c>
      <c r="U1749">
        <v>167</v>
      </c>
      <c r="V1749" t="s">
        <v>99</v>
      </c>
      <c r="W1749" t="s">
        <v>95</v>
      </c>
      <c r="X1749" s="4">
        <v>0</v>
      </c>
      <c r="Y1749" t="s">
        <v>62</v>
      </c>
      <c r="Z1749" s="3"/>
      <c r="AB1749" s="3"/>
      <c r="AE1749" s="3"/>
      <c r="AK1749" s="5"/>
    </row>
    <row r="1750" spans="1:47" x14ac:dyDescent="0.25">
      <c r="A1750" t="s">
        <v>63</v>
      </c>
      <c r="B1750" s="1">
        <v>1144.5</v>
      </c>
      <c r="C1750">
        <v>0</v>
      </c>
      <c r="D1750">
        <v>0</v>
      </c>
      <c r="E1750" s="2">
        <v>0</v>
      </c>
      <c r="F1750">
        <v>0</v>
      </c>
      <c r="G1750" s="3">
        <v>1501</v>
      </c>
      <c r="H1750" s="3" t="s">
        <v>54</v>
      </c>
      <c r="I1750" s="3" t="s">
        <v>59</v>
      </c>
      <c r="K1750" s="3" t="s">
        <v>73</v>
      </c>
      <c r="L1750" s="3" t="s">
        <v>73</v>
      </c>
      <c r="M1750" s="3">
        <v>46049.55667824074</v>
      </c>
      <c r="Q1750" t="s">
        <v>54</v>
      </c>
      <c r="R1750">
        <v>0</v>
      </c>
      <c r="T1750" t="s">
        <v>54</v>
      </c>
      <c r="U1750" t="s">
        <v>54</v>
      </c>
      <c r="V1750">
        <v>8587</v>
      </c>
      <c r="W1750" t="s">
        <v>55</v>
      </c>
      <c r="X1750" s="4"/>
      <c r="AB1750" s="3"/>
      <c r="AD1750" s="3"/>
      <c r="AE1750" s="3"/>
      <c r="AK1750" s="5"/>
    </row>
    <row r="1751" spans="1:47" x14ac:dyDescent="0.25">
      <c r="A1751" t="s">
        <v>96</v>
      </c>
      <c r="B1751" s="1">
        <v>38481</v>
      </c>
      <c r="C1751" t="s">
        <v>48</v>
      </c>
      <c r="D1751" s="3" t="s">
        <v>49</v>
      </c>
      <c r="E1751" s="2">
        <v>46049</v>
      </c>
      <c r="F1751" t="s">
        <v>220</v>
      </c>
      <c r="G1751" s="3" t="s">
        <v>167</v>
      </c>
      <c r="H1751" s="3">
        <v>8712</v>
      </c>
      <c r="I1751" s="3">
        <v>8712</v>
      </c>
      <c r="J1751">
        <v>0</v>
      </c>
      <c r="K1751" s="3">
        <v>8712</v>
      </c>
      <c r="L1751" s="3">
        <v>1618.8</v>
      </c>
      <c r="M1751" s="3">
        <v>760.84</v>
      </c>
      <c r="N1751" t="s">
        <v>106</v>
      </c>
      <c r="O1751" t="s">
        <v>53</v>
      </c>
      <c r="P1751" t="s">
        <v>53</v>
      </c>
      <c r="Q1751" t="s">
        <v>53</v>
      </c>
      <c r="R1751" t="s">
        <v>54</v>
      </c>
      <c r="S1751" t="s">
        <v>54</v>
      </c>
      <c r="T1751" t="s">
        <v>55</v>
      </c>
      <c r="U1751">
        <v>145</v>
      </c>
      <c r="V1751" t="s">
        <v>99</v>
      </c>
      <c r="W1751" t="s">
        <v>153</v>
      </c>
      <c r="X1751" s="4">
        <v>0</v>
      </c>
      <c r="Y1751" t="s">
        <v>58</v>
      </c>
      <c r="Z1751">
        <v>0</v>
      </c>
      <c r="AA1751">
        <v>0</v>
      </c>
      <c r="AB1751">
        <v>0</v>
      </c>
      <c r="AC1751">
        <v>0</v>
      </c>
      <c r="AD1751" s="3">
        <v>1618.8</v>
      </c>
      <c r="AE1751" s="3">
        <v>1200</v>
      </c>
      <c r="AF1751" t="s">
        <v>54</v>
      </c>
      <c r="AG1751" t="s">
        <v>59</v>
      </c>
      <c r="AI1751" t="s">
        <v>73</v>
      </c>
      <c r="AJ1751" t="s">
        <v>73</v>
      </c>
      <c r="AK1751" s="5">
        <v>46049.616388888891</v>
      </c>
      <c r="AO1751" t="s">
        <v>54</v>
      </c>
      <c r="AP1751">
        <v>0</v>
      </c>
      <c r="AR1751" t="s">
        <v>54</v>
      </c>
      <c r="AS1751" t="s">
        <v>54</v>
      </c>
      <c r="AT1751">
        <v>554</v>
      </c>
      <c r="AU1751" t="s">
        <v>55</v>
      </c>
    </row>
    <row r="1752" spans="1:47" x14ac:dyDescent="0.25">
      <c r="A1752" t="s">
        <v>96</v>
      </c>
      <c r="B1752" s="1">
        <v>38482</v>
      </c>
      <c r="C1752" t="s">
        <v>48</v>
      </c>
      <c r="D1752" s="3" t="s">
        <v>49</v>
      </c>
      <c r="E1752" s="2">
        <v>46049</v>
      </c>
      <c r="F1752" t="s">
        <v>220</v>
      </c>
      <c r="G1752" s="3" t="s">
        <v>167</v>
      </c>
      <c r="H1752" s="3">
        <v>8712</v>
      </c>
      <c r="I1752" s="3">
        <v>8712</v>
      </c>
      <c r="J1752">
        <v>0</v>
      </c>
      <c r="K1752" s="3">
        <v>8712</v>
      </c>
      <c r="L1752" s="3">
        <v>1618.8</v>
      </c>
      <c r="M1752" s="3">
        <v>760.84</v>
      </c>
      <c r="N1752" t="s">
        <v>106</v>
      </c>
      <c r="O1752" t="s">
        <v>53</v>
      </c>
      <c r="P1752" t="s">
        <v>53</v>
      </c>
      <c r="Q1752" t="s">
        <v>53</v>
      </c>
      <c r="R1752" t="s">
        <v>54</v>
      </c>
      <c r="S1752" t="s">
        <v>54</v>
      </c>
      <c r="T1752" t="s">
        <v>55</v>
      </c>
      <c r="U1752">
        <v>145</v>
      </c>
      <c r="V1752" t="s">
        <v>99</v>
      </c>
      <c r="W1752" t="s">
        <v>153</v>
      </c>
      <c r="X1752" s="4">
        <v>0</v>
      </c>
      <c r="Y1752" t="s">
        <v>58</v>
      </c>
      <c r="Z1752">
        <v>0</v>
      </c>
      <c r="AA1752">
        <v>0</v>
      </c>
      <c r="AB1752">
        <v>0</v>
      </c>
      <c r="AC1752">
        <v>0</v>
      </c>
      <c r="AD1752" s="3">
        <v>1618.8</v>
      </c>
      <c r="AE1752" s="3">
        <v>1200</v>
      </c>
      <c r="AF1752" t="s">
        <v>54</v>
      </c>
      <c r="AG1752" t="s">
        <v>59</v>
      </c>
      <c r="AI1752" t="s">
        <v>73</v>
      </c>
      <c r="AJ1752" t="s">
        <v>73</v>
      </c>
      <c r="AK1752" s="5">
        <v>46049.616527777776</v>
      </c>
      <c r="AO1752" t="s">
        <v>54</v>
      </c>
      <c r="AP1752">
        <v>0</v>
      </c>
      <c r="AR1752" t="s">
        <v>54</v>
      </c>
      <c r="AS1752" t="s">
        <v>54</v>
      </c>
      <c r="AT1752">
        <v>554</v>
      </c>
      <c r="AU1752" t="s">
        <v>55</v>
      </c>
    </row>
    <row r="1753" spans="1:47" x14ac:dyDescent="0.25">
      <c r="A1753" t="s">
        <v>47</v>
      </c>
      <c r="B1753" s="1">
        <v>38483</v>
      </c>
      <c r="C1753" t="s">
        <v>48</v>
      </c>
      <c r="D1753" t="s">
        <v>49</v>
      </c>
      <c r="E1753" s="2">
        <v>46049</v>
      </c>
      <c r="F1753" t="s">
        <v>101</v>
      </c>
      <c r="G1753" s="3" t="s">
        <v>94</v>
      </c>
      <c r="H1753" s="3">
        <v>30260</v>
      </c>
      <c r="I1753" s="3">
        <v>30260</v>
      </c>
      <c r="J1753">
        <v>0</v>
      </c>
      <c r="K1753" s="3">
        <v>34799</v>
      </c>
      <c r="L1753" s="3">
        <v>5198</v>
      </c>
      <c r="M1753" s="3">
        <v>2531.64</v>
      </c>
      <c r="N1753" t="s">
        <v>84</v>
      </c>
      <c r="O1753" t="s">
        <v>53</v>
      </c>
      <c r="P1753" t="s">
        <v>53</v>
      </c>
      <c r="Q1753" t="s">
        <v>53</v>
      </c>
      <c r="R1753" t="s">
        <v>54</v>
      </c>
      <c r="S1753" t="s">
        <v>54</v>
      </c>
      <c r="T1753" t="s">
        <v>55</v>
      </c>
      <c r="U1753">
        <v>9</v>
      </c>
      <c r="V1753" t="s">
        <v>71</v>
      </c>
      <c r="W1753" t="s">
        <v>102</v>
      </c>
      <c r="X1753" s="4">
        <v>0</v>
      </c>
      <c r="Y1753" t="s">
        <v>58</v>
      </c>
      <c r="Z1753" s="3">
        <v>2507</v>
      </c>
      <c r="AA1753">
        <v>0</v>
      </c>
      <c r="AB1753" s="3">
        <v>2691</v>
      </c>
      <c r="AC1753">
        <v>0</v>
      </c>
      <c r="AD1753" s="3">
        <v>0</v>
      </c>
      <c r="AE1753" s="3">
        <v>5000</v>
      </c>
      <c r="AF1753" t="s">
        <v>54</v>
      </c>
      <c r="AG1753" t="s">
        <v>59</v>
      </c>
      <c r="AH1753" t="s">
        <v>103</v>
      </c>
      <c r="AI1753" t="s">
        <v>92</v>
      </c>
      <c r="AJ1753" t="s">
        <v>92</v>
      </c>
      <c r="AK1753" s="5">
        <v>46049.618715277778</v>
      </c>
      <c r="AO1753" t="s">
        <v>54</v>
      </c>
      <c r="AP1753">
        <v>0</v>
      </c>
      <c r="AR1753" t="s">
        <v>54</v>
      </c>
      <c r="AS1753" t="s">
        <v>54</v>
      </c>
      <c r="AT1753">
        <v>161</v>
      </c>
      <c r="AU1753" t="s">
        <v>55</v>
      </c>
    </row>
    <row r="1754" spans="1:47" x14ac:dyDescent="0.25">
      <c r="A1754" t="s">
        <v>47</v>
      </c>
      <c r="B1754" s="1">
        <v>38484</v>
      </c>
      <c r="C1754" t="s">
        <v>48</v>
      </c>
      <c r="D1754" t="s">
        <v>49</v>
      </c>
      <c r="E1754" s="2">
        <v>46050</v>
      </c>
      <c r="F1754" t="s">
        <v>263</v>
      </c>
      <c r="G1754" t="s">
        <v>66</v>
      </c>
      <c r="H1754" s="3">
        <v>5586</v>
      </c>
      <c r="I1754" s="3">
        <v>5586</v>
      </c>
      <c r="J1754">
        <v>0</v>
      </c>
      <c r="K1754" s="3">
        <v>6423.9</v>
      </c>
      <c r="L1754" s="3">
        <v>550.20000000000005</v>
      </c>
      <c r="M1754" s="3">
        <v>330.12</v>
      </c>
      <c r="N1754" t="s">
        <v>52</v>
      </c>
      <c r="O1754" t="s">
        <v>53</v>
      </c>
      <c r="P1754" t="s">
        <v>53</v>
      </c>
      <c r="Q1754" t="s">
        <v>53</v>
      </c>
      <c r="R1754" t="s">
        <v>54</v>
      </c>
      <c r="S1754" t="s">
        <v>54</v>
      </c>
      <c r="T1754" t="s">
        <v>55</v>
      </c>
      <c r="U1754">
        <v>126</v>
      </c>
      <c r="V1754" t="s">
        <v>56</v>
      </c>
      <c r="W1754" t="s">
        <v>78</v>
      </c>
      <c r="X1754" s="4">
        <v>0</v>
      </c>
      <c r="Y1754" t="s">
        <v>62</v>
      </c>
      <c r="Z1754" s="3"/>
      <c r="AB1754" s="3"/>
      <c r="AE1754" s="3"/>
      <c r="AK1754" s="5"/>
    </row>
    <row r="1755" spans="1:47" x14ac:dyDescent="0.25">
      <c r="A1755" t="s">
        <v>63</v>
      </c>
      <c r="B1755" s="1">
        <v>0</v>
      </c>
      <c r="C1755">
        <v>0</v>
      </c>
      <c r="D1755">
        <v>550.20000000000005</v>
      </c>
      <c r="E1755" s="2">
        <v>0</v>
      </c>
      <c r="F1755">
        <v>0</v>
      </c>
      <c r="G1755" s="3">
        <v>300</v>
      </c>
      <c r="H1755" s="3" t="s">
        <v>54</v>
      </c>
      <c r="I1755" s="3" t="s">
        <v>59</v>
      </c>
      <c r="J1755" t="s">
        <v>165</v>
      </c>
      <c r="K1755" s="3" t="s">
        <v>60</v>
      </c>
      <c r="L1755" s="3" t="s">
        <v>60</v>
      </c>
      <c r="M1755" s="3">
        <v>46050.412604166668</v>
      </c>
      <c r="Q1755" t="s">
        <v>54</v>
      </c>
      <c r="R1755">
        <v>0</v>
      </c>
      <c r="T1755" t="s">
        <v>54</v>
      </c>
      <c r="U1755" t="s">
        <v>54</v>
      </c>
      <c r="V1755">
        <v>5328</v>
      </c>
      <c r="W1755" t="s">
        <v>55</v>
      </c>
      <c r="X1755" s="4"/>
      <c r="AB1755" s="3"/>
      <c r="AE1755" s="3"/>
      <c r="AK1755" s="5"/>
    </row>
    <row r="1756" spans="1:47" x14ac:dyDescent="0.25">
      <c r="A1756" t="s">
        <v>96</v>
      </c>
      <c r="B1756" s="1">
        <v>38485</v>
      </c>
      <c r="C1756" t="s">
        <v>48</v>
      </c>
      <c r="D1756" t="s">
        <v>49</v>
      </c>
      <c r="E1756" s="2">
        <v>46050</v>
      </c>
      <c r="F1756" s="3" t="s">
        <v>413</v>
      </c>
      <c r="G1756" s="3" t="s">
        <v>66</v>
      </c>
      <c r="H1756" s="3">
        <v>870</v>
      </c>
      <c r="I1756" s="3">
        <v>870</v>
      </c>
      <c r="J1756">
        <v>0</v>
      </c>
      <c r="K1756" s="3">
        <v>870</v>
      </c>
      <c r="L1756" s="3">
        <v>175</v>
      </c>
      <c r="M1756" s="3">
        <v>50.75</v>
      </c>
      <c r="N1756" t="s">
        <v>52</v>
      </c>
      <c r="O1756" t="s">
        <v>53</v>
      </c>
      <c r="P1756" t="s">
        <v>53</v>
      </c>
      <c r="Q1756" t="s">
        <v>53</v>
      </c>
      <c r="R1756" t="s">
        <v>54</v>
      </c>
      <c r="S1756" t="s">
        <v>54</v>
      </c>
      <c r="T1756" t="s">
        <v>55</v>
      </c>
      <c r="U1756">
        <v>126</v>
      </c>
      <c r="V1756" t="s">
        <v>56</v>
      </c>
      <c r="W1756" t="s">
        <v>72</v>
      </c>
      <c r="X1756" s="4">
        <v>0</v>
      </c>
      <c r="Y1756" t="s">
        <v>62</v>
      </c>
    </row>
    <row r="1757" spans="1:47" x14ac:dyDescent="0.25">
      <c r="A1757" t="s">
        <v>63</v>
      </c>
      <c r="B1757" s="3">
        <v>175</v>
      </c>
      <c r="C1757">
        <v>0</v>
      </c>
      <c r="D1757">
        <v>0</v>
      </c>
      <c r="E1757" s="2">
        <v>0</v>
      </c>
      <c r="F1757">
        <v>0</v>
      </c>
      <c r="G1757" s="3">
        <v>1000</v>
      </c>
      <c r="H1757" s="3" t="s">
        <v>54</v>
      </c>
      <c r="I1757" s="3" t="s">
        <v>59</v>
      </c>
      <c r="K1757" s="3" t="s">
        <v>60</v>
      </c>
      <c r="L1757" t="s">
        <v>73</v>
      </c>
      <c r="M1757" s="3">
        <v>46050.464699074073</v>
      </c>
      <c r="Q1757" t="s">
        <v>54</v>
      </c>
      <c r="R1757">
        <v>0</v>
      </c>
      <c r="T1757" t="s">
        <v>54</v>
      </c>
      <c r="U1757" t="s">
        <v>54</v>
      </c>
      <c r="V1757">
        <v>7228</v>
      </c>
      <c r="W1757" t="s">
        <v>55</v>
      </c>
      <c r="X1757" s="4"/>
      <c r="AE1757" s="3"/>
      <c r="AK1757" s="5"/>
    </row>
    <row r="1758" spans="1:47" x14ac:dyDescent="0.25">
      <c r="A1758" t="s">
        <v>96</v>
      </c>
      <c r="B1758" s="1">
        <v>38486</v>
      </c>
      <c r="C1758" t="s">
        <v>48</v>
      </c>
      <c r="D1758" t="s">
        <v>49</v>
      </c>
      <c r="E1758" s="2">
        <v>46050</v>
      </c>
      <c r="F1758" t="s">
        <v>163</v>
      </c>
      <c r="G1758" s="3" t="s">
        <v>66</v>
      </c>
      <c r="H1758" s="3">
        <v>900</v>
      </c>
      <c r="I1758" s="3">
        <v>900</v>
      </c>
      <c r="J1758">
        <v>0</v>
      </c>
      <c r="K1758" s="3">
        <v>900</v>
      </c>
      <c r="L1758" s="3">
        <v>241</v>
      </c>
      <c r="M1758" s="3">
        <v>69.89</v>
      </c>
      <c r="N1758" t="s">
        <v>52</v>
      </c>
      <c r="O1758" t="s">
        <v>53</v>
      </c>
      <c r="P1758" t="s">
        <v>53</v>
      </c>
      <c r="Q1758" t="s">
        <v>53</v>
      </c>
      <c r="R1758" t="s">
        <v>54</v>
      </c>
      <c r="S1758" t="s">
        <v>54</v>
      </c>
      <c r="T1758" t="s">
        <v>55</v>
      </c>
      <c r="U1758">
        <v>126</v>
      </c>
      <c r="V1758" t="s">
        <v>56</v>
      </c>
      <c r="W1758" t="s">
        <v>153</v>
      </c>
      <c r="X1758" s="4">
        <v>0</v>
      </c>
      <c r="Y1758" t="s">
        <v>58</v>
      </c>
      <c r="Z1758" s="3">
        <v>241</v>
      </c>
      <c r="AA1758">
        <v>0</v>
      </c>
      <c r="AB1758">
        <v>0</v>
      </c>
      <c r="AC1758">
        <v>0</v>
      </c>
      <c r="AD1758">
        <v>0</v>
      </c>
      <c r="AE1758" s="3">
        <v>1000</v>
      </c>
      <c r="AF1758" t="s">
        <v>54</v>
      </c>
      <c r="AG1758" t="s">
        <v>59</v>
      </c>
      <c r="AH1758" t="s">
        <v>165</v>
      </c>
      <c r="AI1758" t="s">
        <v>60</v>
      </c>
      <c r="AJ1758" t="s">
        <v>60</v>
      </c>
      <c r="AK1758" s="5">
        <v>46050.450312499997</v>
      </c>
      <c r="AO1758" t="s">
        <v>54</v>
      </c>
      <c r="AP1758">
        <v>0</v>
      </c>
      <c r="AR1758" t="s">
        <v>54</v>
      </c>
      <c r="AS1758" t="s">
        <v>54</v>
      </c>
      <c r="AT1758">
        <v>5486</v>
      </c>
      <c r="AU1758" t="s">
        <v>55</v>
      </c>
    </row>
    <row r="1759" spans="1:47" x14ac:dyDescent="0.25">
      <c r="A1759" t="s">
        <v>96</v>
      </c>
      <c r="B1759" s="1">
        <v>38487</v>
      </c>
      <c r="C1759" t="s">
        <v>48</v>
      </c>
      <c r="D1759" t="s">
        <v>49</v>
      </c>
      <c r="E1759" s="2">
        <v>46050</v>
      </c>
      <c r="F1759" t="s">
        <v>180</v>
      </c>
      <c r="G1759" s="3" t="s">
        <v>69</v>
      </c>
      <c r="H1759" s="3">
        <v>20626</v>
      </c>
      <c r="I1759" s="3">
        <v>20626</v>
      </c>
      <c r="J1759">
        <v>0</v>
      </c>
      <c r="K1759" s="3">
        <v>20626</v>
      </c>
      <c r="L1759" s="3">
        <v>2928</v>
      </c>
      <c r="M1759" s="3">
        <v>1548.3</v>
      </c>
      <c r="N1759" t="s">
        <v>52</v>
      </c>
      <c r="O1759" t="s">
        <v>53</v>
      </c>
      <c r="P1759" t="s">
        <v>53</v>
      </c>
      <c r="Q1759" t="s">
        <v>53</v>
      </c>
      <c r="R1759" t="s">
        <v>54</v>
      </c>
      <c r="S1759" t="s">
        <v>54</v>
      </c>
      <c r="T1759" t="s">
        <v>55</v>
      </c>
      <c r="U1759">
        <v>126</v>
      </c>
      <c r="V1759" t="s">
        <v>56</v>
      </c>
      <c r="W1759" t="s">
        <v>202</v>
      </c>
      <c r="X1759" s="4">
        <v>0</v>
      </c>
      <c r="Y1759" t="s">
        <v>62</v>
      </c>
      <c r="Z1759" s="3"/>
      <c r="AE1759" s="3"/>
      <c r="AK1759" s="5"/>
    </row>
    <row r="1760" spans="1:47" x14ac:dyDescent="0.25">
      <c r="A1760" t="s">
        <v>63</v>
      </c>
      <c r="B1760" s="1">
        <v>0</v>
      </c>
      <c r="C1760">
        <v>0</v>
      </c>
      <c r="D1760">
        <v>468</v>
      </c>
      <c r="E1760" s="2">
        <v>0</v>
      </c>
      <c r="F1760" s="3">
        <v>2460</v>
      </c>
      <c r="G1760" s="3">
        <v>6000</v>
      </c>
      <c r="H1760" s="3" t="s">
        <v>54</v>
      </c>
      <c r="I1760" s="3" t="s">
        <v>59</v>
      </c>
      <c r="J1760" t="s">
        <v>79</v>
      </c>
      <c r="K1760" s="3" t="s">
        <v>60</v>
      </c>
      <c r="L1760" s="3" t="s">
        <v>60</v>
      </c>
      <c r="M1760" s="3">
        <v>46050.45449074074</v>
      </c>
      <c r="Q1760" t="s">
        <v>54</v>
      </c>
      <c r="R1760">
        <v>0</v>
      </c>
      <c r="T1760" t="s">
        <v>54</v>
      </c>
      <c r="U1760" t="s">
        <v>54</v>
      </c>
      <c r="V1760">
        <v>8105</v>
      </c>
      <c r="W1760" t="s">
        <v>55</v>
      </c>
      <c r="X1760" s="4"/>
      <c r="Z1760" s="3"/>
      <c r="AE1760" s="3"/>
      <c r="AK1760" s="5"/>
    </row>
    <row r="1761" spans="1:47" x14ac:dyDescent="0.25">
      <c r="A1761" t="s">
        <v>96</v>
      </c>
      <c r="B1761" s="1">
        <v>38488</v>
      </c>
      <c r="C1761" t="s">
        <v>48</v>
      </c>
      <c r="D1761" t="s">
        <v>49</v>
      </c>
      <c r="E1761" s="2">
        <v>46050</v>
      </c>
      <c r="F1761" s="3" t="s">
        <v>180</v>
      </c>
      <c r="G1761" s="3" t="s">
        <v>69</v>
      </c>
      <c r="H1761" s="3">
        <v>20180</v>
      </c>
      <c r="I1761" s="3">
        <v>20180</v>
      </c>
      <c r="J1761">
        <v>0</v>
      </c>
      <c r="K1761" s="3">
        <v>20180</v>
      </c>
      <c r="L1761" s="3">
        <v>3021</v>
      </c>
      <c r="M1761" s="3">
        <v>1495</v>
      </c>
      <c r="N1761" t="s">
        <v>52</v>
      </c>
      <c r="O1761" t="s">
        <v>53</v>
      </c>
      <c r="P1761" t="s">
        <v>53</v>
      </c>
      <c r="Q1761" t="s">
        <v>53</v>
      </c>
      <c r="R1761" t="s">
        <v>54</v>
      </c>
      <c r="S1761" t="s">
        <v>54</v>
      </c>
      <c r="T1761" t="s">
        <v>55</v>
      </c>
      <c r="U1761">
        <v>126</v>
      </c>
      <c r="V1761" t="s">
        <v>56</v>
      </c>
      <c r="W1761" t="s">
        <v>202</v>
      </c>
      <c r="X1761" s="4">
        <v>0</v>
      </c>
      <c r="Y1761" t="s">
        <v>62</v>
      </c>
      <c r="AD1761" s="3"/>
      <c r="AE1761" s="3"/>
      <c r="AK1761" s="5"/>
    </row>
    <row r="1762" spans="1:47" x14ac:dyDescent="0.25">
      <c r="A1762" t="s">
        <v>63</v>
      </c>
      <c r="B1762" s="1">
        <v>666</v>
      </c>
      <c r="C1762">
        <v>0</v>
      </c>
      <c r="D1762">
        <v>0</v>
      </c>
      <c r="E1762" s="2">
        <v>0</v>
      </c>
      <c r="F1762" s="3">
        <v>2355</v>
      </c>
      <c r="G1762" s="3">
        <v>7000</v>
      </c>
      <c r="H1762" s="3" t="s">
        <v>54</v>
      </c>
      <c r="I1762" s="3" t="s">
        <v>59</v>
      </c>
      <c r="J1762" t="s">
        <v>79</v>
      </c>
      <c r="K1762" s="3" t="s">
        <v>60</v>
      </c>
      <c r="L1762" s="3" t="s">
        <v>60</v>
      </c>
      <c r="M1762" s="3">
        <v>46050.460289351853</v>
      </c>
      <c r="Q1762" t="s">
        <v>54</v>
      </c>
      <c r="R1762">
        <v>0</v>
      </c>
      <c r="T1762" t="s">
        <v>54</v>
      </c>
      <c r="U1762" t="s">
        <v>54</v>
      </c>
      <c r="V1762">
        <v>8105</v>
      </c>
      <c r="W1762" t="s">
        <v>55</v>
      </c>
      <c r="X1762" s="4"/>
      <c r="Z1762" s="3"/>
      <c r="AD1762" s="3"/>
      <c r="AE1762" s="3"/>
      <c r="AK1762" s="5"/>
    </row>
    <row r="1763" spans="1:47" x14ac:dyDescent="0.25">
      <c r="A1763" t="s">
        <v>47</v>
      </c>
      <c r="B1763" s="1">
        <v>38490</v>
      </c>
      <c r="C1763" t="s">
        <v>48</v>
      </c>
      <c r="D1763" t="s">
        <v>49</v>
      </c>
      <c r="E1763" s="2">
        <v>46050</v>
      </c>
      <c r="F1763" s="3" t="s">
        <v>419</v>
      </c>
      <c r="G1763" s="3" t="s">
        <v>172</v>
      </c>
      <c r="H1763" s="3">
        <v>7092</v>
      </c>
      <c r="I1763" s="3">
        <v>7092</v>
      </c>
      <c r="J1763">
        <v>0</v>
      </c>
      <c r="K1763" s="3">
        <v>8155.8</v>
      </c>
      <c r="L1763" s="3">
        <v>605.4</v>
      </c>
      <c r="M1763" s="3">
        <v>386.25</v>
      </c>
      <c r="N1763" t="s">
        <v>98</v>
      </c>
      <c r="O1763" t="s">
        <v>53</v>
      </c>
      <c r="P1763" t="s">
        <v>53</v>
      </c>
      <c r="Q1763" t="s">
        <v>53</v>
      </c>
      <c r="R1763" t="s">
        <v>54</v>
      </c>
      <c r="S1763" t="s">
        <v>54</v>
      </c>
      <c r="T1763" t="s">
        <v>55</v>
      </c>
      <c r="U1763">
        <v>167</v>
      </c>
      <c r="V1763" t="s">
        <v>99</v>
      </c>
      <c r="W1763" t="s">
        <v>57</v>
      </c>
      <c r="X1763" s="4">
        <v>0</v>
      </c>
      <c r="Y1763" t="s">
        <v>62</v>
      </c>
      <c r="Z1763" s="3"/>
      <c r="AB1763" s="3"/>
      <c r="AE1763" s="3"/>
      <c r="AK1763" s="5"/>
    </row>
    <row r="1764" spans="1:47" x14ac:dyDescent="0.25">
      <c r="A1764" t="s">
        <v>63</v>
      </c>
      <c r="B1764" s="1">
        <v>0</v>
      </c>
      <c r="C1764">
        <v>0</v>
      </c>
      <c r="D1764" s="3">
        <v>605.4</v>
      </c>
      <c r="E1764" s="2">
        <v>0</v>
      </c>
      <c r="F1764">
        <v>0</v>
      </c>
      <c r="G1764">
        <v>375</v>
      </c>
      <c r="H1764" s="3" t="s">
        <v>54</v>
      </c>
      <c r="I1764" s="3" t="s">
        <v>59</v>
      </c>
      <c r="K1764" s="3" t="s">
        <v>73</v>
      </c>
      <c r="L1764" t="s">
        <v>73</v>
      </c>
      <c r="M1764" s="3">
        <v>46051.318055555559</v>
      </c>
      <c r="Q1764" t="s">
        <v>54</v>
      </c>
      <c r="R1764">
        <v>0</v>
      </c>
      <c r="T1764" t="s">
        <v>54</v>
      </c>
      <c r="U1764" t="s">
        <v>54</v>
      </c>
      <c r="V1764">
        <v>5904</v>
      </c>
      <c r="W1764" t="s">
        <v>55</v>
      </c>
      <c r="X1764" s="4"/>
    </row>
    <row r="1765" spans="1:47" x14ac:dyDescent="0.25">
      <c r="A1765" t="s">
        <v>47</v>
      </c>
      <c r="B1765" s="1">
        <v>38491</v>
      </c>
      <c r="C1765" t="s">
        <v>48</v>
      </c>
      <c r="D1765" t="s">
        <v>49</v>
      </c>
      <c r="E1765" s="2">
        <v>46051</v>
      </c>
      <c r="F1765" t="s">
        <v>252</v>
      </c>
      <c r="G1765" t="s">
        <v>69</v>
      </c>
      <c r="H1765" s="3">
        <v>5837</v>
      </c>
      <c r="I1765" s="3">
        <v>5837</v>
      </c>
      <c r="J1765">
        <v>0</v>
      </c>
      <c r="K1765" s="3">
        <v>6712.55</v>
      </c>
      <c r="L1765" s="3">
        <v>1033.5</v>
      </c>
      <c r="M1765" s="3">
        <v>476.44</v>
      </c>
      <c r="N1765" t="s">
        <v>84</v>
      </c>
      <c r="O1765" t="s">
        <v>53</v>
      </c>
      <c r="P1765" t="s">
        <v>53</v>
      </c>
      <c r="Q1765" t="s">
        <v>53</v>
      </c>
      <c r="R1765" t="s">
        <v>54</v>
      </c>
      <c r="S1765" t="s">
        <v>54</v>
      </c>
      <c r="T1765" t="s">
        <v>55</v>
      </c>
      <c r="U1765">
        <v>9</v>
      </c>
      <c r="V1765" t="s">
        <v>71</v>
      </c>
      <c r="W1765" t="s">
        <v>95</v>
      </c>
      <c r="X1765" s="4">
        <v>0</v>
      </c>
      <c r="Y1765" t="s">
        <v>58</v>
      </c>
      <c r="Z1765">
        <v>0</v>
      </c>
      <c r="AA1765" s="3">
        <v>1033.5</v>
      </c>
      <c r="AB1765">
        <v>0</v>
      </c>
      <c r="AC1765">
        <v>0</v>
      </c>
      <c r="AD1765">
        <v>0</v>
      </c>
      <c r="AE1765" s="3">
        <v>1300</v>
      </c>
      <c r="AF1765" t="s">
        <v>54</v>
      </c>
      <c r="AG1765" t="s">
        <v>59</v>
      </c>
      <c r="AI1765" t="s">
        <v>73</v>
      </c>
      <c r="AJ1765" t="s">
        <v>73</v>
      </c>
      <c r="AK1765" s="5">
        <v>46051.317708333336</v>
      </c>
      <c r="AO1765" t="s">
        <v>54</v>
      </c>
      <c r="AP1765">
        <v>0</v>
      </c>
      <c r="AR1765" t="s">
        <v>54</v>
      </c>
      <c r="AS1765" t="s">
        <v>54</v>
      </c>
      <c r="AT1765">
        <v>3723</v>
      </c>
      <c r="AU1765" t="s">
        <v>55</v>
      </c>
    </row>
    <row r="1766" spans="1:47" x14ac:dyDescent="0.25">
      <c r="A1766" t="s">
        <v>96</v>
      </c>
      <c r="B1766" s="1">
        <v>38492</v>
      </c>
      <c r="C1766" t="s">
        <v>48</v>
      </c>
      <c r="D1766" t="s">
        <v>49</v>
      </c>
      <c r="E1766" s="2">
        <v>46051</v>
      </c>
      <c r="F1766" t="s">
        <v>163</v>
      </c>
      <c r="G1766" s="3" t="s">
        <v>66</v>
      </c>
      <c r="H1766" s="3">
        <v>8706.5</v>
      </c>
      <c r="I1766" s="3">
        <v>8706.5</v>
      </c>
      <c r="J1766">
        <v>0</v>
      </c>
      <c r="K1766" s="3">
        <v>8706.5</v>
      </c>
      <c r="L1766" s="3">
        <v>2429.61</v>
      </c>
      <c r="M1766" s="3">
        <v>748.7</v>
      </c>
      <c r="N1766" t="s">
        <v>52</v>
      </c>
      <c r="O1766" t="s">
        <v>53</v>
      </c>
      <c r="P1766" t="s">
        <v>53</v>
      </c>
      <c r="Q1766" t="s">
        <v>53</v>
      </c>
      <c r="R1766" t="s">
        <v>54</v>
      </c>
      <c r="S1766" t="s">
        <v>54</v>
      </c>
      <c r="T1766" t="s">
        <v>55</v>
      </c>
      <c r="U1766">
        <v>126</v>
      </c>
      <c r="V1766" t="s">
        <v>56</v>
      </c>
      <c r="W1766" t="s">
        <v>143</v>
      </c>
      <c r="X1766" s="4">
        <v>0</v>
      </c>
      <c r="Y1766" t="s">
        <v>58</v>
      </c>
      <c r="Z1766" s="3">
        <v>2285.0100000000002</v>
      </c>
      <c r="AA1766" s="3">
        <v>0</v>
      </c>
      <c r="AB1766">
        <v>144.6</v>
      </c>
      <c r="AC1766">
        <v>0</v>
      </c>
      <c r="AD1766">
        <v>0</v>
      </c>
      <c r="AE1766" s="3">
        <v>15770</v>
      </c>
      <c r="AF1766" t="s">
        <v>54</v>
      </c>
      <c r="AG1766" t="s">
        <v>59</v>
      </c>
      <c r="AH1766" t="s">
        <v>165</v>
      </c>
      <c r="AI1766" t="s">
        <v>60</v>
      </c>
      <c r="AJ1766" t="s">
        <v>60</v>
      </c>
      <c r="AK1766" s="5">
        <v>46051.685995370368</v>
      </c>
      <c r="AO1766" t="s">
        <v>54</v>
      </c>
      <c r="AP1766">
        <v>0</v>
      </c>
      <c r="AR1766" t="s">
        <v>54</v>
      </c>
      <c r="AS1766" t="s">
        <v>54</v>
      </c>
      <c r="AT1766">
        <v>5486</v>
      </c>
      <c r="AU1766" t="s">
        <v>55</v>
      </c>
    </row>
    <row r="1767" spans="1:47" x14ac:dyDescent="0.25">
      <c r="A1767" t="s">
        <v>96</v>
      </c>
      <c r="B1767" s="1">
        <v>38493</v>
      </c>
      <c r="C1767" t="s">
        <v>48</v>
      </c>
      <c r="D1767" t="s">
        <v>49</v>
      </c>
      <c r="E1767" s="2">
        <v>46051</v>
      </c>
      <c r="F1767" t="s">
        <v>350</v>
      </c>
      <c r="G1767" s="3" t="s">
        <v>51</v>
      </c>
      <c r="H1767" s="3">
        <v>2288</v>
      </c>
      <c r="I1767" s="3">
        <v>2288</v>
      </c>
      <c r="J1767">
        <v>0</v>
      </c>
      <c r="K1767" s="3">
        <v>2288</v>
      </c>
      <c r="L1767" s="3">
        <v>329.6</v>
      </c>
      <c r="M1767" s="3">
        <v>210.28</v>
      </c>
      <c r="N1767" t="s">
        <v>52</v>
      </c>
      <c r="O1767" t="s">
        <v>53</v>
      </c>
      <c r="P1767" t="s">
        <v>53</v>
      </c>
      <c r="Q1767" t="s">
        <v>53</v>
      </c>
      <c r="R1767" t="s">
        <v>54</v>
      </c>
      <c r="S1767" t="s">
        <v>54</v>
      </c>
      <c r="T1767" t="s">
        <v>55</v>
      </c>
      <c r="U1767">
        <v>126</v>
      </c>
      <c r="V1767" t="s">
        <v>56</v>
      </c>
      <c r="W1767" t="s">
        <v>117</v>
      </c>
      <c r="X1767" s="4">
        <v>0</v>
      </c>
      <c r="Y1767" t="s">
        <v>62</v>
      </c>
      <c r="Z1767" s="3"/>
      <c r="AE1767" s="3"/>
      <c r="AK1767" s="5"/>
    </row>
    <row r="1768" spans="1:47" x14ac:dyDescent="0.25">
      <c r="A1768" t="s">
        <v>63</v>
      </c>
      <c r="B1768" s="1">
        <v>0</v>
      </c>
      <c r="C1768">
        <v>0</v>
      </c>
      <c r="D1768" s="3">
        <v>329.6</v>
      </c>
      <c r="E1768" s="2">
        <v>0</v>
      </c>
      <c r="F1768">
        <v>0</v>
      </c>
      <c r="G1768" s="3">
        <v>800</v>
      </c>
      <c r="H1768" s="3" t="s">
        <v>54</v>
      </c>
      <c r="I1768" s="3" t="s">
        <v>59</v>
      </c>
      <c r="K1768" s="3" t="s">
        <v>60</v>
      </c>
      <c r="L1768" t="s">
        <v>60</v>
      </c>
      <c r="M1768" s="3">
        <v>46051.468425925923</v>
      </c>
      <c r="Q1768" t="s">
        <v>54</v>
      </c>
      <c r="R1768">
        <v>0</v>
      </c>
      <c r="T1768" t="s">
        <v>54</v>
      </c>
      <c r="U1768" t="s">
        <v>54</v>
      </c>
      <c r="V1768">
        <v>7429</v>
      </c>
      <c r="W1768" t="s">
        <v>55</v>
      </c>
      <c r="X1768" s="4"/>
      <c r="AE1768" s="3"/>
      <c r="AK1768" s="5"/>
    </row>
    <row r="1769" spans="1:47" x14ac:dyDescent="0.25">
      <c r="A1769" t="s">
        <v>47</v>
      </c>
      <c r="B1769" s="1">
        <v>38494</v>
      </c>
      <c r="C1769" t="s">
        <v>48</v>
      </c>
      <c r="D1769" t="s">
        <v>49</v>
      </c>
      <c r="E1769" s="2">
        <v>46051</v>
      </c>
      <c r="F1769" t="s">
        <v>244</v>
      </c>
      <c r="G1769" t="s">
        <v>69</v>
      </c>
      <c r="H1769" s="3">
        <v>6036</v>
      </c>
      <c r="I1769" s="3">
        <v>6036</v>
      </c>
      <c r="J1769">
        <v>0</v>
      </c>
      <c r="K1769" s="3">
        <v>6941.4</v>
      </c>
      <c r="L1769" s="3">
        <v>1290.5999999999999</v>
      </c>
      <c r="M1769" s="3">
        <v>419.45</v>
      </c>
      <c r="N1769" t="s">
        <v>77</v>
      </c>
      <c r="O1769" t="s">
        <v>53</v>
      </c>
      <c r="P1769" t="s">
        <v>53</v>
      </c>
      <c r="Q1769" t="s">
        <v>53</v>
      </c>
      <c r="R1769" t="s">
        <v>54</v>
      </c>
      <c r="S1769" t="s">
        <v>54</v>
      </c>
      <c r="T1769" t="s">
        <v>55</v>
      </c>
      <c r="U1769">
        <v>83</v>
      </c>
      <c r="V1769" t="s">
        <v>121</v>
      </c>
      <c r="W1769" t="s">
        <v>95</v>
      </c>
      <c r="X1769" s="4">
        <v>0</v>
      </c>
      <c r="Y1769" t="s">
        <v>62</v>
      </c>
    </row>
    <row r="1770" spans="1:47" x14ac:dyDescent="0.25">
      <c r="A1770" t="s">
        <v>63</v>
      </c>
      <c r="B1770" s="1">
        <v>1290.5999999999999</v>
      </c>
      <c r="C1770">
        <v>0</v>
      </c>
      <c r="D1770">
        <v>0</v>
      </c>
      <c r="E1770" s="2">
        <v>0</v>
      </c>
      <c r="F1770" s="3">
        <v>0</v>
      </c>
      <c r="G1770" s="3">
        <v>1200</v>
      </c>
      <c r="H1770" s="3" t="s">
        <v>54</v>
      </c>
      <c r="I1770" s="3" t="s">
        <v>59</v>
      </c>
      <c r="K1770" s="3" t="s">
        <v>80</v>
      </c>
      <c r="L1770" s="3" t="s">
        <v>73</v>
      </c>
      <c r="M1770" s="3">
        <v>46051.603935185187</v>
      </c>
      <c r="Q1770" t="s">
        <v>54</v>
      </c>
      <c r="R1770">
        <v>0</v>
      </c>
      <c r="T1770" t="s">
        <v>54</v>
      </c>
      <c r="U1770" t="s">
        <v>54</v>
      </c>
      <c r="V1770">
        <v>4126</v>
      </c>
      <c r="W1770" t="s">
        <v>55</v>
      </c>
      <c r="X1770" s="4"/>
    </row>
    <row r="1771" spans="1:47" x14ac:dyDescent="0.25">
      <c r="A1771" t="s">
        <v>96</v>
      </c>
      <c r="B1771" s="3">
        <v>38495</v>
      </c>
      <c r="C1771" t="s">
        <v>48</v>
      </c>
      <c r="D1771" t="s">
        <v>49</v>
      </c>
      <c r="E1771" s="2">
        <v>46051</v>
      </c>
      <c r="F1771" t="s">
        <v>412</v>
      </c>
      <c r="G1771" s="3" t="s">
        <v>119</v>
      </c>
      <c r="H1771" s="3">
        <v>3820</v>
      </c>
      <c r="I1771" s="3">
        <v>3820</v>
      </c>
      <c r="J1771">
        <v>0</v>
      </c>
      <c r="K1771" s="3">
        <v>3820</v>
      </c>
      <c r="L1771" s="3">
        <v>690.5</v>
      </c>
      <c r="M1771" s="3">
        <v>303.3</v>
      </c>
      <c r="N1771" t="s">
        <v>52</v>
      </c>
      <c r="O1771" t="s">
        <v>53</v>
      </c>
      <c r="P1771" t="s">
        <v>53</v>
      </c>
      <c r="Q1771" t="s">
        <v>53</v>
      </c>
      <c r="R1771" t="s">
        <v>54</v>
      </c>
      <c r="S1771" t="s">
        <v>54</v>
      </c>
      <c r="T1771" t="s">
        <v>55</v>
      </c>
      <c r="U1771">
        <v>126</v>
      </c>
      <c r="V1771" t="s">
        <v>56</v>
      </c>
      <c r="W1771" t="s">
        <v>72</v>
      </c>
      <c r="X1771" s="4">
        <v>0</v>
      </c>
      <c r="Y1771" t="s">
        <v>201</v>
      </c>
      <c r="Z1771" s="3">
        <v>118</v>
      </c>
      <c r="AA1771">
        <v>0</v>
      </c>
      <c r="AB1771">
        <v>0</v>
      </c>
      <c r="AC1771">
        <v>0</v>
      </c>
      <c r="AD1771">
        <v>572.5</v>
      </c>
      <c r="AE1771" s="3">
        <v>1500</v>
      </c>
      <c r="AF1771" t="s">
        <v>54</v>
      </c>
      <c r="AG1771" t="s">
        <v>59</v>
      </c>
      <c r="AI1771" t="s">
        <v>60</v>
      </c>
      <c r="AJ1771" t="s">
        <v>60</v>
      </c>
      <c r="AK1771" s="5">
        <v>46051.548159722224</v>
      </c>
      <c r="AO1771" t="s">
        <v>54</v>
      </c>
      <c r="AP1771">
        <v>0</v>
      </c>
      <c r="AR1771" t="s">
        <v>54</v>
      </c>
      <c r="AS1771" t="s">
        <v>54</v>
      </c>
      <c r="AT1771">
        <v>4075</v>
      </c>
      <c r="AU1771" t="s">
        <v>55</v>
      </c>
    </row>
    <row r="1772" spans="1:47" x14ac:dyDescent="0.25">
      <c r="A1772" t="s">
        <v>47</v>
      </c>
      <c r="B1772" s="1">
        <v>38496</v>
      </c>
      <c r="C1772" t="s">
        <v>48</v>
      </c>
      <c r="D1772" t="s">
        <v>49</v>
      </c>
      <c r="E1772" s="2">
        <v>46051</v>
      </c>
      <c r="F1772" s="3" t="s">
        <v>232</v>
      </c>
      <c r="G1772" s="3" t="s">
        <v>172</v>
      </c>
      <c r="H1772" s="3">
        <v>11745</v>
      </c>
      <c r="I1772" s="3">
        <v>11745</v>
      </c>
      <c r="J1772">
        <v>0</v>
      </c>
      <c r="K1772" s="3">
        <v>13506.75</v>
      </c>
      <c r="L1772" s="3">
        <v>1797</v>
      </c>
      <c r="M1772" s="3">
        <v>954.78</v>
      </c>
      <c r="N1772" t="s">
        <v>77</v>
      </c>
      <c r="O1772" t="s">
        <v>53</v>
      </c>
      <c r="P1772" t="s">
        <v>53</v>
      </c>
      <c r="Q1772" t="s">
        <v>53</v>
      </c>
      <c r="R1772" t="s">
        <v>54</v>
      </c>
      <c r="S1772" t="s">
        <v>54</v>
      </c>
      <c r="T1772" t="s">
        <v>55</v>
      </c>
      <c r="U1772">
        <v>83</v>
      </c>
      <c r="V1772" t="s">
        <v>204</v>
      </c>
      <c r="W1772" t="s">
        <v>202</v>
      </c>
      <c r="X1772" s="4">
        <v>0</v>
      </c>
      <c r="Y1772" t="s">
        <v>62</v>
      </c>
      <c r="AE1772" s="3"/>
      <c r="AK1772" s="5"/>
    </row>
    <row r="1773" spans="1:47" x14ac:dyDescent="0.25">
      <c r="A1773" t="s">
        <v>63</v>
      </c>
      <c r="B1773" s="1">
        <v>771</v>
      </c>
      <c r="C1773">
        <v>0</v>
      </c>
      <c r="D1773" s="3">
        <v>1026</v>
      </c>
      <c r="E1773" s="2">
        <v>0</v>
      </c>
      <c r="F1773">
        <v>0</v>
      </c>
      <c r="G1773" s="3">
        <v>2500</v>
      </c>
      <c r="H1773" s="3" t="s">
        <v>54</v>
      </c>
      <c r="I1773" s="3" t="s">
        <v>59</v>
      </c>
      <c r="K1773" s="3" t="s">
        <v>80</v>
      </c>
      <c r="L1773" s="3" t="s">
        <v>73</v>
      </c>
      <c r="M1773" s="3">
        <v>46052.339131944442</v>
      </c>
      <c r="Q1773" t="s">
        <v>54</v>
      </c>
      <c r="R1773">
        <v>0</v>
      </c>
      <c r="T1773" t="s">
        <v>54</v>
      </c>
      <c r="U1773" t="s">
        <v>54</v>
      </c>
      <c r="V1773">
        <v>7023</v>
      </c>
      <c r="W1773" t="s">
        <v>55</v>
      </c>
      <c r="X1773" s="4"/>
      <c r="AB1773" s="3"/>
      <c r="AE1773" s="3"/>
    </row>
    <row r="1774" spans="1:47" x14ac:dyDescent="0.25">
      <c r="A1774" t="s">
        <v>81</v>
      </c>
      <c r="B1774" s="1">
        <v>38497</v>
      </c>
      <c r="C1774" t="s">
        <v>48</v>
      </c>
      <c r="D1774" s="3" t="s">
        <v>49</v>
      </c>
      <c r="E1774" s="2">
        <v>46051</v>
      </c>
      <c r="F1774" t="s">
        <v>319</v>
      </c>
      <c r="G1774" s="3" t="s">
        <v>69</v>
      </c>
      <c r="H1774" s="3">
        <v>3378.2</v>
      </c>
      <c r="I1774" s="3">
        <v>3378.2</v>
      </c>
      <c r="J1774">
        <v>0</v>
      </c>
      <c r="K1774" s="3">
        <v>3378.2</v>
      </c>
      <c r="L1774" s="3">
        <v>571.14</v>
      </c>
      <c r="M1774" s="3">
        <v>328.41</v>
      </c>
      <c r="N1774" t="s">
        <v>77</v>
      </c>
      <c r="O1774" t="s">
        <v>53</v>
      </c>
      <c r="P1774" t="s">
        <v>53</v>
      </c>
      <c r="Q1774" t="s">
        <v>53</v>
      </c>
      <c r="R1774" t="s">
        <v>54</v>
      </c>
      <c r="S1774" t="s">
        <v>54</v>
      </c>
      <c r="T1774" t="s">
        <v>55</v>
      </c>
      <c r="U1774">
        <v>83</v>
      </c>
      <c r="V1774" t="s">
        <v>121</v>
      </c>
      <c r="W1774" t="s">
        <v>289</v>
      </c>
      <c r="X1774" s="4">
        <v>0</v>
      </c>
      <c r="Y1774" t="s">
        <v>62</v>
      </c>
    </row>
    <row r="1775" spans="1:47" x14ac:dyDescent="0.25">
      <c r="A1775" t="s">
        <v>63</v>
      </c>
      <c r="B1775" s="1">
        <v>0</v>
      </c>
      <c r="C1775">
        <v>0</v>
      </c>
      <c r="D1775">
        <v>571.14</v>
      </c>
      <c r="E1775" s="2">
        <v>0</v>
      </c>
      <c r="F1775">
        <v>0</v>
      </c>
      <c r="G1775" s="3">
        <v>380</v>
      </c>
      <c r="H1775" s="3" t="s">
        <v>54</v>
      </c>
      <c r="I1775" s="3" t="s">
        <v>59</v>
      </c>
      <c r="K1775" s="3" t="s">
        <v>80</v>
      </c>
      <c r="L1775" s="3" t="s">
        <v>73</v>
      </c>
      <c r="M1775" s="3">
        <v>46051.687615740739</v>
      </c>
      <c r="Q1775" t="s">
        <v>54</v>
      </c>
      <c r="R1775">
        <v>0</v>
      </c>
      <c r="T1775" t="s">
        <v>54</v>
      </c>
      <c r="U1775" t="s">
        <v>54</v>
      </c>
      <c r="V1775">
        <v>8443</v>
      </c>
      <c r="W1775" t="s">
        <v>55</v>
      </c>
      <c r="X1775" s="4"/>
      <c r="AA1775" s="3"/>
      <c r="AE1775" s="3"/>
      <c r="AK1775" s="5"/>
    </row>
    <row r="1776" spans="1:47" x14ac:dyDescent="0.25">
      <c r="A1776" t="s">
        <v>47</v>
      </c>
      <c r="B1776" s="1">
        <v>38498</v>
      </c>
      <c r="C1776" t="s">
        <v>48</v>
      </c>
      <c r="D1776" t="s">
        <v>49</v>
      </c>
      <c r="E1776" s="2">
        <v>46051</v>
      </c>
      <c r="F1776" t="s">
        <v>61</v>
      </c>
      <c r="G1776" t="s">
        <v>51</v>
      </c>
      <c r="H1776" s="3">
        <v>12152</v>
      </c>
      <c r="I1776" s="3">
        <v>12152</v>
      </c>
      <c r="J1776">
        <v>0</v>
      </c>
      <c r="K1776" s="3">
        <v>13974.8</v>
      </c>
      <c r="L1776" s="3">
        <v>1496.8</v>
      </c>
      <c r="M1776" s="3">
        <v>921.11</v>
      </c>
      <c r="N1776" t="s">
        <v>52</v>
      </c>
      <c r="O1776" t="s">
        <v>53</v>
      </c>
      <c r="P1776" t="s">
        <v>53</v>
      </c>
      <c r="Q1776" t="s">
        <v>53</v>
      </c>
      <c r="R1776" t="s">
        <v>54</v>
      </c>
      <c r="S1776" t="s">
        <v>54</v>
      </c>
      <c r="T1776" t="s">
        <v>55</v>
      </c>
      <c r="U1776">
        <v>126</v>
      </c>
      <c r="V1776" t="s">
        <v>56</v>
      </c>
      <c r="W1776" t="s">
        <v>57</v>
      </c>
      <c r="X1776" s="4">
        <v>0</v>
      </c>
      <c r="Y1776" t="s">
        <v>62</v>
      </c>
      <c r="Z1776" s="3"/>
      <c r="AE1776" s="3"/>
      <c r="AK1776" s="5"/>
    </row>
    <row r="1777" spans="1:47" x14ac:dyDescent="0.25">
      <c r="A1777" t="s">
        <v>63</v>
      </c>
      <c r="B1777" s="1">
        <v>142.19999999999999</v>
      </c>
      <c r="C1777">
        <v>0</v>
      </c>
      <c r="D1777" s="3">
        <v>1354.6</v>
      </c>
      <c r="E1777" s="2">
        <v>0</v>
      </c>
      <c r="F1777">
        <v>0</v>
      </c>
      <c r="G1777" s="3">
        <v>2000</v>
      </c>
      <c r="H1777" s="3" t="s">
        <v>54</v>
      </c>
      <c r="I1777" s="3" t="s">
        <v>59</v>
      </c>
      <c r="J1777" t="s">
        <v>64</v>
      </c>
      <c r="K1777" s="3" t="s">
        <v>60</v>
      </c>
      <c r="L1777" s="3" t="s">
        <v>60</v>
      </c>
      <c r="M1777" s="3">
        <v>46051.691655092596</v>
      </c>
      <c r="Q1777" t="s">
        <v>54</v>
      </c>
      <c r="R1777">
        <v>0</v>
      </c>
      <c r="T1777" t="s">
        <v>54</v>
      </c>
      <c r="U1777" t="s">
        <v>54</v>
      </c>
      <c r="V1777">
        <v>7006</v>
      </c>
      <c r="W1777" t="s">
        <v>55</v>
      </c>
      <c r="X1777" s="4"/>
    </row>
    <row r="1778" spans="1:47" x14ac:dyDescent="0.25">
      <c r="A1778" t="s">
        <v>47</v>
      </c>
      <c r="B1778" s="1">
        <v>38499</v>
      </c>
      <c r="C1778" t="s">
        <v>48</v>
      </c>
      <c r="D1778" s="3" t="s">
        <v>49</v>
      </c>
      <c r="E1778" s="2">
        <v>46051</v>
      </c>
      <c r="F1778" t="s">
        <v>50</v>
      </c>
      <c r="G1778" s="3" t="s">
        <v>51</v>
      </c>
      <c r="H1778" s="3">
        <v>5276</v>
      </c>
      <c r="I1778" s="3">
        <v>5276</v>
      </c>
      <c r="J1778">
        <v>0</v>
      </c>
      <c r="K1778" s="3">
        <v>6067.4</v>
      </c>
      <c r="L1778" s="3">
        <v>1029.5999999999999</v>
      </c>
      <c r="M1778" s="3">
        <v>401.54</v>
      </c>
      <c r="N1778" t="s">
        <v>52</v>
      </c>
      <c r="O1778" t="s">
        <v>53</v>
      </c>
      <c r="P1778" t="s">
        <v>53</v>
      </c>
      <c r="Q1778" t="s">
        <v>53</v>
      </c>
      <c r="R1778" t="s">
        <v>54</v>
      </c>
      <c r="S1778" t="s">
        <v>54</v>
      </c>
      <c r="T1778" t="s">
        <v>55</v>
      </c>
      <c r="U1778">
        <v>126</v>
      </c>
      <c r="V1778" t="s">
        <v>56</v>
      </c>
      <c r="W1778" t="s">
        <v>57</v>
      </c>
      <c r="X1778" s="4">
        <v>0</v>
      </c>
      <c r="Y1778" t="s">
        <v>58</v>
      </c>
      <c r="Z1778" s="3">
        <v>1029.5999999999999</v>
      </c>
      <c r="AA1778">
        <v>0</v>
      </c>
      <c r="AB1778">
        <v>0</v>
      </c>
      <c r="AC1778">
        <v>0</v>
      </c>
      <c r="AD1778">
        <v>0</v>
      </c>
      <c r="AE1778">
        <v>400</v>
      </c>
      <c r="AF1778" t="s">
        <v>54</v>
      </c>
      <c r="AG1778" t="s">
        <v>59</v>
      </c>
      <c r="AI1778" t="s">
        <v>60</v>
      </c>
      <c r="AJ1778" t="s">
        <v>60</v>
      </c>
      <c r="AK1778" s="5">
        <v>46051.677627314813</v>
      </c>
      <c r="AO1778" t="s">
        <v>54</v>
      </c>
      <c r="AP1778">
        <v>0</v>
      </c>
      <c r="AR1778" t="s">
        <v>54</v>
      </c>
      <c r="AS1778" t="s">
        <v>54</v>
      </c>
      <c r="AT1778">
        <v>6611</v>
      </c>
      <c r="AU1778" t="s">
        <v>55</v>
      </c>
    </row>
    <row r="1779" spans="1:47" x14ac:dyDescent="0.25">
      <c r="A1779" t="s">
        <v>47</v>
      </c>
      <c r="B1779" s="1">
        <v>38500</v>
      </c>
      <c r="C1779" t="s">
        <v>48</v>
      </c>
      <c r="D1779" s="3" t="s">
        <v>49</v>
      </c>
      <c r="E1779" s="2">
        <v>46052</v>
      </c>
      <c r="F1779" t="s">
        <v>206</v>
      </c>
      <c r="G1779" s="3" t="s">
        <v>124</v>
      </c>
      <c r="H1779" s="3">
        <v>14119.82</v>
      </c>
      <c r="I1779" s="3">
        <v>14119.82</v>
      </c>
      <c r="J1779">
        <v>0</v>
      </c>
      <c r="K1779" s="3">
        <v>16237.79</v>
      </c>
      <c r="L1779" s="3">
        <v>1573.08</v>
      </c>
      <c r="M1779" s="3">
        <v>1046.56</v>
      </c>
      <c r="N1779" t="s">
        <v>75</v>
      </c>
      <c r="O1779" t="s">
        <v>53</v>
      </c>
      <c r="P1779" t="s">
        <v>53</v>
      </c>
      <c r="Q1779" t="s">
        <v>53</v>
      </c>
      <c r="R1779" t="s">
        <v>54</v>
      </c>
      <c r="S1779" t="s">
        <v>54</v>
      </c>
      <c r="T1779" t="s">
        <v>55</v>
      </c>
      <c r="U1779">
        <v>43</v>
      </c>
      <c r="W1779" t="s">
        <v>72</v>
      </c>
      <c r="X1779" s="4">
        <v>0</v>
      </c>
      <c r="Y1779" t="s">
        <v>58</v>
      </c>
      <c r="Z1779" s="3">
        <v>0</v>
      </c>
      <c r="AA1779">
        <v>0</v>
      </c>
      <c r="AB1779" s="3">
        <v>1573.08</v>
      </c>
      <c r="AC1779">
        <v>0</v>
      </c>
      <c r="AD1779">
        <v>0</v>
      </c>
      <c r="AE1779" s="3">
        <v>1156</v>
      </c>
      <c r="AF1779" t="s">
        <v>54</v>
      </c>
      <c r="AG1779" t="s">
        <v>59</v>
      </c>
      <c r="AI1779" t="s">
        <v>73</v>
      </c>
      <c r="AJ1779" t="s">
        <v>73</v>
      </c>
      <c r="AK1779" s="5">
        <v>46052.438414351855</v>
      </c>
      <c r="AO1779" t="s">
        <v>54</v>
      </c>
      <c r="AP1779">
        <v>0</v>
      </c>
      <c r="AR1779" t="s">
        <v>54</v>
      </c>
      <c r="AS1779" t="s">
        <v>54</v>
      </c>
      <c r="AT1779">
        <v>4694</v>
      </c>
      <c r="AU1779" t="s">
        <v>55</v>
      </c>
    </row>
    <row r="1780" spans="1:47" x14ac:dyDescent="0.25">
      <c r="A1780" t="s">
        <v>47</v>
      </c>
      <c r="B1780" s="1">
        <v>38501</v>
      </c>
      <c r="C1780" t="s">
        <v>48</v>
      </c>
      <c r="D1780" t="s">
        <v>49</v>
      </c>
      <c r="E1780" s="2">
        <v>46052</v>
      </c>
      <c r="F1780" t="s">
        <v>108</v>
      </c>
      <c r="G1780" s="3" t="s">
        <v>109</v>
      </c>
      <c r="H1780" s="3">
        <v>2690</v>
      </c>
      <c r="I1780" s="3">
        <v>2690</v>
      </c>
      <c r="J1780">
        <v>0</v>
      </c>
      <c r="K1780" s="3">
        <v>2690</v>
      </c>
      <c r="L1780" s="3">
        <v>339</v>
      </c>
      <c r="M1780" s="3">
        <v>216.28</v>
      </c>
      <c r="N1780" t="s">
        <v>84</v>
      </c>
      <c r="O1780" t="s">
        <v>53</v>
      </c>
      <c r="P1780" t="s">
        <v>53</v>
      </c>
      <c r="Q1780" t="s">
        <v>53</v>
      </c>
      <c r="R1780" t="s">
        <v>54</v>
      </c>
      <c r="S1780" t="s">
        <v>54</v>
      </c>
      <c r="T1780" t="s">
        <v>55</v>
      </c>
      <c r="U1780">
        <v>9</v>
      </c>
      <c r="V1780" t="s">
        <v>56</v>
      </c>
      <c r="W1780" t="s">
        <v>110</v>
      </c>
      <c r="X1780" s="4">
        <v>0</v>
      </c>
      <c r="Y1780" t="s">
        <v>58</v>
      </c>
      <c r="Z1780">
        <v>0</v>
      </c>
      <c r="AA1780">
        <v>0</v>
      </c>
      <c r="AB1780" s="3">
        <v>339</v>
      </c>
      <c r="AC1780">
        <v>0</v>
      </c>
      <c r="AD1780">
        <v>0</v>
      </c>
      <c r="AE1780" s="3">
        <v>1000</v>
      </c>
      <c r="AF1780" t="s">
        <v>54</v>
      </c>
      <c r="AG1780" t="s">
        <v>59</v>
      </c>
      <c r="AI1780" t="s">
        <v>92</v>
      </c>
      <c r="AJ1780" t="s">
        <v>92</v>
      </c>
      <c r="AK1780" s="5">
        <v>46052.445231481484</v>
      </c>
      <c r="AO1780" t="s">
        <v>54</v>
      </c>
      <c r="AP1780">
        <v>0</v>
      </c>
      <c r="AR1780" t="s">
        <v>54</v>
      </c>
      <c r="AS1780" t="s">
        <v>54</v>
      </c>
      <c r="AT1780">
        <v>3124</v>
      </c>
      <c r="AU1780" t="s">
        <v>55</v>
      </c>
    </row>
    <row r="1781" spans="1:47" x14ac:dyDescent="0.25">
      <c r="A1781" t="s">
        <v>81</v>
      </c>
      <c r="B1781" s="1">
        <v>38503</v>
      </c>
      <c r="C1781" t="s">
        <v>48</v>
      </c>
      <c r="D1781" t="s">
        <v>49</v>
      </c>
      <c r="E1781" s="2">
        <v>46052</v>
      </c>
      <c r="F1781" t="s">
        <v>420</v>
      </c>
      <c r="G1781" t="s">
        <v>83</v>
      </c>
      <c r="H1781" s="3">
        <v>25124</v>
      </c>
      <c r="I1781" s="3">
        <v>25124</v>
      </c>
      <c r="J1781">
        <v>0</v>
      </c>
      <c r="K1781" s="3">
        <v>25124</v>
      </c>
      <c r="L1781" s="3">
        <v>5213.1000000000004</v>
      </c>
      <c r="M1781" s="3">
        <v>2335.15</v>
      </c>
      <c r="N1781" t="s">
        <v>84</v>
      </c>
      <c r="O1781" t="s">
        <v>53</v>
      </c>
      <c r="P1781" t="s">
        <v>53</v>
      </c>
      <c r="Q1781" t="s">
        <v>53</v>
      </c>
      <c r="R1781" t="s">
        <v>54</v>
      </c>
      <c r="S1781" t="s">
        <v>54</v>
      </c>
      <c r="T1781" t="s">
        <v>55</v>
      </c>
      <c r="U1781">
        <v>9</v>
      </c>
      <c r="W1781" t="s">
        <v>223</v>
      </c>
      <c r="X1781" s="4">
        <v>0</v>
      </c>
      <c r="Y1781" t="s">
        <v>62</v>
      </c>
      <c r="AE1781" s="3"/>
      <c r="AK1781" s="5"/>
    </row>
    <row r="1782" spans="1:47" x14ac:dyDescent="0.25">
      <c r="A1782" t="s">
        <v>63</v>
      </c>
      <c r="B1782" s="1">
        <v>0</v>
      </c>
      <c r="C1782" s="3">
        <v>5213.1000000000004</v>
      </c>
      <c r="D1782">
        <v>0</v>
      </c>
      <c r="E1782" s="2">
        <v>0</v>
      </c>
      <c r="F1782">
        <v>0</v>
      </c>
      <c r="G1782" s="3">
        <v>2300</v>
      </c>
      <c r="H1782" s="3" t="s">
        <v>54</v>
      </c>
      <c r="I1782" s="3" t="s">
        <v>59</v>
      </c>
      <c r="K1782" s="3" t="s">
        <v>92</v>
      </c>
      <c r="L1782" s="3" t="s">
        <v>92</v>
      </c>
      <c r="M1782" s="3">
        <v>46052.518252314818</v>
      </c>
      <c r="Q1782" t="s">
        <v>54</v>
      </c>
      <c r="R1782">
        <v>0</v>
      </c>
      <c r="T1782" t="s">
        <v>54</v>
      </c>
      <c r="U1782" t="s">
        <v>54</v>
      </c>
      <c r="V1782">
        <v>8856</v>
      </c>
      <c r="W1782" t="s">
        <v>55</v>
      </c>
      <c r="X1782" s="4"/>
    </row>
    <row r="1783" spans="1:47" x14ac:dyDescent="0.25">
      <c r="A1783" t="s">
        <v>47</v>
      </c>
      <c r="B1783" s="1">
        <v>38504</v>
      </c>
      <c r="C1783" t="s">
        <v>48</v>
      </c>
      <c r="D1783" s="3" t="s">
        <v>49</v>
      </c>
      <c r="E1783" s="2">
        <v>46055</v>
      </c>
      <c r="F1783" t="s">
        <v>112</v>
      </c>
      <c r="G1783" s="3" t="s">
        <v>113</v>
      </c>
      <c r="H1783">
        <v>870</v>
      </c>
      <c r="I1783">
        <v>870</v>
      </c>
      <c r="J1783">
        <v>0</v>
      </c>
      <c r="K1783">
        <v>870</v>
      </c>
      <c r="L1783">
        <v>143.4</v>
      </c>
      <c r="M1783" s="3">
        <v>55.93</v>
      </c>
      <c r="N1783" t="s">
        <v>52</v>
      </c>
      <c r="O1783" t="s">
        <v>53</v>
      </c>
      <c r="P1783" t="s">
        <v>53</v>
      </c>
      <c r="Q1783" t="s">
        <v>53</v>
      </c>
      <c r="R1783" t="s">
        <v>54</v>
      </c>
      <c r="S1783" t="s">
        <v>54</v>
      </c>
      <c r="T1783" t="s">
        <v>55</v>
      </c>
      <c r="U1783">
        <v>126</v>
      </c>
      <c r="V1783" t="s">
        <v>56</v>
      </c>
      <c r="W1783" t="s">
        <v>78</v>
      </c>
      <c r="X1783" s="4">
        <v>0</v>
      </c>
      <c r="Y1783" t="s">
        <v>58</v>
      </c>
      <c r="Z1783">
        <v>143.4</v>
      </c>
      <c r="AA1783">
        <v>0</v>
      </c>
      <c r="AB1783">
        <v>0</v>
      </c>
      <c r="AC1783">
        <v>0</v>
      </c>
      <c r="AD1783">
        <v>0</v>
      </c>
      <c r="AE1783">
        <v>600</v>
      </c>
      <c r="AF1783" t="s">
        <v>54</v>
      </c>
      <c r="AG1783" t="s">
        <v>59</v>
      </c>
      <c r="AH1783" t="s">
        <v>115</v>
      </c>
      <c r="AI1783" t="s">
        <v>60</v>
      </c>
      <c r="AJ1783" t="s">
        <v>60</v>
      </c>
      <c r="AK1783" s="5">
        <v>46055.343298611115</v>
      </c>
      <c r="AO1783" t="s">
        <v>54</v>
      </c>
      <c r="AP1783">
        <v>0</v>
      </c>
      <c r="AR1783" t="s">
        <v>54</v>
      </c>
      <c r="AS1783" t="s">
        <v>54</v>
      </c>
      <c r="AT1783">
        <v>4089</v>
      </c>
      <c r="AU1783" t="s">
        <v>55</v>
      </c>
    </row>
    <row r="1784" spans="1:47" x14ac:dyDescent="0.25">
      <c r="A1784" t="s">
        <v>47</v>
      </c>
      <c r="B1784" s="1">
        <v>38505</v>
      </c>
      <c r="C1784" t="s">
        <v>48</v>
      </c>
      <c r="D1784" t="s">
        <v>49</v>
      </c>
      <c r="E1784" s="2">
        <v>46055</v>
      </c>
      <c r="F1784" t="s">
        <v>111</v>
      </c>
      <c r="G1784" t="s">
        <v>69</v>
      </c>
      <c r="H1784" s="3">
        <v>18310</v>
      </c>
      <c r="I1784" s="3">
        <v>18310</v>
      </c>
      <c r="J1784">
        <v>0</v>
      </c>
      <c r="K1784" s="3">
        <v>21056.5</v>
      </c>
      <c r="L1784" s="3">
        <v>4084</v>
      </c>
      <c r="M1784" s="3">
        <v>1624.73</v>
      </c>
      <c r="N1784" t="s">
        <v>52</v>
      </c>
      <c r="O1784" t="s">
        <v>53</v>
      </c>
      <c r="P1784" t="s">
        <v>53</v>
      </c>
      <c r="Q1784" t="s">
        <v>53</v>
      </c>
      <c r="R1784" t="s">
        <v>54</v>
      </c>
      <c r="S1784" t="s">
        <v>54</v>
      </c>
      <c r="T1784" t="s">
        <v>55</v>
      </c>
      <c r="U1784">
        <v>126</v>
      </c>
      <c r="V1784" t="s">
        <v>56</v>
      </c>
      <c r="W1784" t="s">
        <v>95</v>
      </c>
      <c r="X1784" s="4">
        <v>0</v>
      </c>
      <c r="Y1784" t="s">
        <v>58</v>
      </c>
      <c r="Z1784" s="3">
        <v>4084</v>
      </c>
      <c r="AA1784">
        <v>0</v>
      </c>
      <c r="AB1784">
        <v>0</v>
      </c>
      <c r="AC1784">
        <v>0</v>
      </c>
      <c r="AD1784">
        <v>0</v>
      </c>
      <c r="AE1784" s="3">
        <v>4000</v>
      </c>
      <c r="AF1784" t="s">
        <v>54</v>
      </c>
      <c r="AG1784" t="s">
        <v>59</v>
      </c>
      <c r="AI1784" t="s">
        <v>60</v>
      </c>
      <c r="AJ1784" t="s">
        <v>60</v>
      </c>
      <c r="AK1784" s="5">
        <v>46055.483912037038</v>
      </c>
      <c r="AO1784" t="s">
        <v>54</v>
      </c>
      <c r="AP1784">
        <v>0</v>
      </c>
      <c r="AR1784" t="s">
        <v>54</v>
      </c>
      <c r="AS1784" t="s">
        <v>54</v>
      </c>
      <c r="AT1784">
        <v>1877</v>
      </c>
      <c r="AU1784" t="s">
        <v>55</v>
      </c>
    </row>
    <row r="1785" spans="1:47" x14ac:dyDescent="0.25">
      <c r="A1785" t="s">
        <v>47</v>
      </c>
      <c r="B1785" s="1">
        <v>38506</v>
      </c>
      <c r="C1785" t="s">
        <v>48</v>
      </c>
      <c r="D1785" t="s">
        <v>49</v>
      </c>
      <c r="E1785" s="2">
        <v>46055</v>
      </c>
      <c r="F1785" t="s">
        <v>111</v>
      </c>
      <c r="G1785" t="s">
        <v>69</v>
      </c>
      <c r="H1785" s="3">
        <v>10200</v>
      </c>
      <c r="I1785" s="3">
        <v>10200</v>
      </c>
      <c r="J1785">
        <v>0</v>
      </c>
      <c r="K1785" s="3">
        <v>11730</v>
      </c>
      <c r="L1785" s="3">
        <v>2328</v>
      </c>
      <c r="M1785" s="3">
        <v>907.92</v>
      </c>
      <c r="N1785" t="s">
        <v>52</v>
      </c>
      <c r="O1785" t="s">
        <v>53</v>
      </c>
      <c r="P1785" t="s">
        <v>53</v>
      </c>
      <c r="Q1785" t="s">
        <v>53</v>
      </c>
      <c r="R1785" t="s">
        <v>54</v>
      </c>
      <c r="S1785" t="s">
        <v>54</v>
      </c>
      <c r="T1785" t="s">
        <v>55</v>
      </c>
      <c r="U1785">
        <v>126</v>
      </c>
      <c r="V1785" t="s">
        <v>56</v>
      </c>
      <c r="W1785" t="s">
        <v>95</v>
      </c>
      <c r="X1785" s="4">
        <v>0</v>
      </c>
      <c r="Y1785" t="s">
        <v>58</v>
      </c>
      <c r="Z1785" s="3">
        <v>2328</v>
      </c>
      <c r="AA1785">
        <v>0</v>
      </c>
      <c r="AB1785">
        <v>0</v>
      </c>
      <c r="AC1785">
        <v>0</v>
      </c>
      <c r="AD1785">
        <v>0</v>
      </c>
      <c r="AE1785" s="3">
        <v>2000</v>
      </c>
      <c r="AF1785" t="s">
        <v>54</v>
      </c>
      <c r="AG1785" t="s">
        <v>59</v>
      </c>
      <c r="AI1785" t="s">
        <v>60</v>
      </c>
      <c r="AJ1785" t="s">
        <v>60</v>
      </c>
      <c r="AK1785" s="5">
        <v>46055.489907407406</v>
      </c>
      <c r="AO1785" t="s">
        <v>54</v>
      </c>
      <c r="AP1785">
        <v>0</v>
      </c>
      <c r="AR1785" t="s">
        <v>54</v>
      </c>
      <c r="AS1785" t="s">
        <v>54</v>
      </c>
      <c r="AT1785">
        <v>1877</v>
      </c>
      <c r="AU1785" t="s">
        <v>55</v>
      </c>
    </row>
    <row r="1786" spans="1:47" x14ac:dyDescent="0.25">
      <c r="A1786" t="s">
        <v>96</v>
      </c>
      <c r="B1786" s="1">
        <v>38507</v>
      </c>
      <c r="C1786" t="s">
        <v>48</v>
      </c>
      <c r="D1786" t="s">
        <v>49</v>
      </c>
      <c r="E1786" s="2">
        <v>46055</v>
      </c>
      <c r="F1786" t="s">
        <v>303</v>
      </c>
      <c r="G1786" t="s">
        <v>66</v>
      </c>
      <c r="H1786" s="3">
        <v>5033.25</v>
      </c>
      <c r="I1786" s="3">
        <v>5033.25</v>
      </c>
      <c r="J1786">
        <v>0</v>
      </c>
      <c r="K1786" s="3">
        <v>5033.25</v>
      </c>
      <c r="L1786" s="3">
        <v>1240.83</v>
      </c>
      <c r="M1786" s="3">
        <v>364.15</v>
      </c>
      <c r="N1786" t="s">
        <v>52</v>
      </c>
      <c r="O1786" t="s">
        <v>53</v>
      </c>
      <c r="P1786" t="s">
        <v>53</v>
      </c>
      <c r="Q1786" t="s">
        <v>53</v>
      </c>
      <c r="R1786" t="s">
        <v>54</v>
      </c>
      <c r="S1786" t="s">
        <v>54</v>
      </c>
      <c r="T1786" t="s">
        <v>55</v>
      </c>
      <c r="U1786">
        <v>126</v>
      </c>
      <c r="V1786" t="s">
        <v>56</v>
      </c>
      <c r="W1786" t="s">
        <v>72</v>
      </c>
      <c r="X1786" s="4">
        <v>0</v>
      </c>
      <c r="Y1786" t="s">
        <v>62</v>
      </c>
    </row>
    <row r="1787" spans="1:47" x14ac:dyDescent="0.25">
      <c r="A1787" t="s">
        <v>63</v>
      </c>
      <c r="B1787" s="1">
        <v>1240.83</v>
      </c>
      <c r="C1787">
        <v>0</v>
      </c>
      <c r="D1787" s="3">
        <v>0</v>
      </c>
      <c r="E1787" s="2">
        <v>0</v>
      </c>
      <c r="F1787">
        <v>0</v>
      </c>
      <c r="G1787" s="3">
        <v>3175</v>
      </c>
      <c r="H1787" s="3" t="s">
        <v>54</v>
      </c>
      <c r="I1787" s="3" t="s">
        <v>59</v>
      </c>
      <c r="K1787" s="3" t="s">
        <v>60</v>
      </c>
      <c r="L1787" t="s">
        <v>60</v>
      </c>
      <c r="M1787" s="3">
        <v>46056.375428240739</v>
      </c>
      <c r="Q1787" t="s">
        <v>54</v>
      </c>
      <c r="R1787">
        <v>0</v>
      </c>
      <c r="T1787" t="s">
        <v>54</v>
      </c>
      <c r="U1787" t="s">
        <v>54</v>
      </c>
      <c r="V1787">
        <v>8454</v>
      </c>
      <c r="W1787" t="s">
        <v>55</v>
      </c>
      <c r="X1787" s="4"/>
    </row>
    <row r="1788" spans="1:47" x14ac:dyDescent="0.25">
      <c r="A1788" t="s">
        <v>96</v>
      </c>
      <c r="B1788" s="1">
        <v>38508</v>
      </c>
      <c r="C1788" t="s">
        <v>48</v>
      </c>
      <c r="D1788" t="s">
        <v>49</v>
      </c>
      <c r="E1788" s="2">
        <v>46056</v>
      </c>
      <c r="F1788" t="s">
        <v>382</v>
      </c>
      <c r="G1788" t="s">
        <v>138</v>
      </c>
      <c r="H1788" s="3">
        <v>1704</v>
      </c>
      <c r="I1788" s="3">
        <v>1704</v>
      </c>
      <c r="J1788">
        <v>0</v>
      </c>
      <c r="K1788" s="3">
        <v>1704</v>
      </c>
      <c r="L1788" s="3">
        <v>215.4</v>
      </c>
      <c r="M1788" s="3">
        <v>128.16</v>
      </c>
      <c r="N1788" t="s">
        <v>52</v>
      </c>
      <c r="O1788" t="s">
        <v>53</v>
      </c>
      <c r="P1788" t="s">
        <v>53</v>
      </c>
      <c r="Q1788" t="s">
        <v>53</v>
      </c>
      <c r="R1788" t="s">
        <v>54</v>
      </c>
      <c r="S1788" t="s">
        <v>54</v>
      </c>
      <c r="T1788" t="s">
        <v>55</v>
      </c>
      <c r="U1788">
        <v>126</v>
      </c>
      <c r="V1788" t="s">
        <v>56</v>
      </c>
      <c r="W1788" t="s">
        <v>117</v>
      </c>
      <c r="X1788" s="4">
        <v>0</v>
      </c>
      <c r="Y1788" t="s">
        <v>62</v>
      </c>
      <c r="Z1788" s="3"/>
      <c r="AK1788" s="5"/>
    </row>
    <row r="1789" spans="1:47" x14ac:dyDescent="0.25">
      <c r="A1789" t="s">
        <v>63</v>
      </c>
      <c r="B1789" s="1">
        <v>0</v>
      </c>
      <c r="C1789">
        <v>0</v>
      </c>
      <c r="D1789">
        <v>215.4</v>
      </c>
      <c r="E1789" s="2">
        <v>0</v>
      </c>
      <c r="F1789">
        <v>0</v>
      </c>
      <c r="G1789">
        <v>600</v>
      </c>
      <c r="H1789" s="3" t="s">
        <v>54</v>
      </c>
      <c r="I1789" s="3" t="s">
        <v>59</v>
      </c>
      <c r="K1789" s="3" t="s">
        <v>60</v>
      </c>
      <c r="L1789" s="3" t="s">
        <v>60</v>
      </c>
      <c r="M1789" s="3">
        <v>46056.394178240742</v>
      </c>
      <c r="Q1789" t="s">
        <v>54</v>
      </c>
      <c r="R1789">
        <v>0</v>
      </c>
      <c r="T1789" t="s">
        <v>54</v>
      </c>
      <c r="U1789" t="s">
        <v>54</v>
      </c>
      <c r="V1789">
        <v>7986</v>
      </c>
      <c r="W1789" t="s">
        <v>55</v>
      </c>
      <c r="X1789" s="4"/>
      <c r="AB1789" s="3"/>
      <c r="AE1789" s="3"/>
      <c r="AK1789" s="5"/>
    </row>
    <row r="1790" spans="1:47" x14ac:dyDescent="0.25">
      <c r="A1790" t="s">
        <v>96</v>
      </c>
      <c r="B1790" s="1">
        <v>38509</v>
      </c>
      <c r="C1790" t="s">
        <v>48</v>
      </c>
      <c r="D1790" t="s">
        <v>49</v>
      </c>
      <c r="E1790" s="2">
        <v>46056</v>
      </c>
      <c r="F1790" t="s">
        <v>303</v>
      </c>
      <c r="G1790" s="3" t="s">
        <v>66</v>
      </c>
      <c r="H1790" s="3">
        <v>5033.25</v>
      </c>
      <c r="I1790" s="3">
        <v>5033.25</v>
      </c>
      <c r="J1790">
        <v>0</v>
      </c>
      <c r="K1790" s="3">
        <v>5033.25</v>
      </c>
      <c r="L1790" s="3">
        <v>1240.83</v>
      </c>
      <c r="M1790" s="3">
        <v>364.15</v>
      </c>
      <c r="N1790" t="s">
        <v>52</v>
      </c>
      <c r="O1790" t="s">
        <v>53</v>
      </c>
      <c r="P1790" t="s">
        <v>53</v>
      </c>
      <c r="Q1790" t="s">
        <v>53</v>
      </c>
      <c r="R1790" t="s">
        <v>54</v>
      </c>
      <c r="S1790" t="s">
        <v>54</v>
      </c>
      <c r="T1790" t="s">
        <v>55</v>
      </c>
      <c r="U1790">
        <v>126</v>
      </c>
      <c r="V1790" t="s">
        <v>56</v>
      </c>
      <c r="W1790" t="s">
        <v>72</v>
      </c>
      <c r="X1790" s="4">
        <v>0</v>
      </c>
      <c r="Y1790" t="s">
        <v>62</v>
      </c>
      <c r="AE1790" s="3"/>
      <c r="AK1790" s="5"/>
    </row>
    <row r="1791" spans="1:47" x14ac:dyDescent="0.25">
      <c r="A1791" t="s">
        <v>63</v>
      </c>
      <c r="B1791" s="1">
        <v>1240.83</v>
      </c>
      <c r="C1791">
        <v>0</v>
      </c>
      <c r="D1791">
        <v>0</v>
      </c>
      <c r="E1791" s="2">
        <v>0</v>
      </c>
      <c r="F1791">
        <v>0</v>
      </c>
      <c r="G1791" s="3">
        <v>3175</v>
      </c>
      <c r="H1791" s="3" t="s">
        <v>54</v>
      </c>
      <c r="I1791" s="3" t="s">
        <v>59</v>
      </c>
      <c r="K1791" s="3" t="s">
        <v>60</v>
      </c>
      <c r="L1791" s="3" t="s">
        <v>60</v>
      </c>
      <c r="M1791" s="3">
        <v>46056.411585648151</v>
      </c>
      <c r="Q1791" t="s">
        <v>54</v>
      </c>
      <c r="R1791">
        <v>0</v>
      </c>
      <c r="T1791" t="s">
        <v>54</v>
      </c>
      <c r="U1791" t="s">
        <v>54</v>
      </c>
      <c r="V1791">
        <v>8454</v>
      </c>
      <c r="W1791" t="s">
        <v>55</v>
      </c>
      <c r="X1791" s="4"/>
      <c r="Z1791" s="3"/>
      <c r="AB1791" s="3"/>
      <c r="AE1791" s="3"/>
      <c r="AK1791" s="5"/>
    </row>
    <row r="1792" spans="1:47" x14ac:dyDescent="0.25">
      <c r="A1792" t="s">
        <v>96</v>
      </c>
      <c r="B1792" s="1">
        <v>38510</v>
      </c>
      <c r="C1792" s="3" t="s">
        <v>48</v>
      </c>
      <c r="D1792" t="s">
        <v>49</v>
      </c>
      <c r="E1792" s="2">
        <v>46056</v>
      </c>
      <c r="F1792" t="s">
        <v>250</v>
      </c>
      <c r="G1792" s="3" t="s">
        <v>251</v>
      </c>
      <c r="H1792" s="3">
        <v>5640</v>
      </c>
      <c r="I1792" s="3">
        <v>5640</v>
      </c>
      <c r="J1792">
        <v>0</v>
      </c>
      <c r="K1792" s="3">
        <v>5640</v>
      </c>
      <c r="L1792" s="3">
        <v>1380</v>
      </c>
      <c r="M1792" s="3">
        <v>448.5</v>
      </c>
      <c r="N1792" t="s">
        <v>77</v>
      </c>
      <c r="O1792" t="s">
        <v>53</v>
      </c>
      <c r="P1792" t="s">
        <v>53</v>
      </c>
      <c r="Q1792" t="s">
        <v>53</v>
      </c>
      <c r="R1792" t="s">
        <v>54</v>
      </c>
      <c r="S1792" t="s">
        <v>54</v>
      </c>
      <c r="T1792" t="s">
        <v>55</v>
      </c>
      <c r="U1792">
        <v>83</v>
      </c>
      <c r="V1792" t="s">
        <v>121</v>
      </c>
      <c r="W1792" t="s">
        <v>202</v>
      </c>
      <c r="X1792" s="4">
        <v>0</v>
      </c>
      <c r="Y1792" t="s">
        <v>62</v>
      </c>
    </row>
    <row r="1793" spans="1:47" x14ac:dyDescent="0.25">
      <c r="A1793" t="s">
        <v>63</v>
      </c>
      <c r="B1793" s="3">
        <v>1380</v>
      </c>
      <c r="C1793">
        <v>0</v>
      </c>
      <c r="D1793">
        <v>0</v>
      </c>
      <c r="E1793" s="2">
        <v>0</v>
      </c>
      <c r="F1793">
        <v>0</v>
      </c>
      <c r="G1793" s="3">
        <v>3000</v>
      </c>
      <c r="H1793" t="s">
        <v>54</v>
      </c>
      <c r="I1793" t="s">
        <v>59</v>
      </c>
      <c r="K1793" t="s">
        <v>80</v>
      </c>
      <c r="L1793" t="s">
        <v>73</v>
      </c>
      <c r="M1793" s="3">
        <v>46056.637974537036</v>
      </c>
      <c r="Q1793" t="s">
        <v>54</v>
      </c>
      <c r="R1793">
        <v>0</v>
      </c>
      <c r="T1793" t="s">
        <v>54</v>
      </c>
      <c r="U1793" t="s">
        <v>54</v>
      </c>
      <c r="V1793">
        <v>5908</v>
      </c>
      <c r="W1793" t="s">
        <v>55</v>
      </c>
      <c r="X1793" s="4"/>
      <c r="AK1793" s="5"/>
    </row>
    <row r="1794" spans="1:47" x14ac:dyDescent="0.25">
      <c r="A1794" t="s">
        <v>96</v>
      </c>
      <c r="B1794" s="1">
        <v>38511</v>
      </c>
      <c r="C1794" t="s">
        <v>48</v>
      </c>
      <c r="D1794" t="s">
        <v>49</v>
      </c>
      <c r="E1794" s="2">
        <v>46056</v>
      </c>
      <c r="F1794" t="s">
        <v>331</v>
      </c>
      <c r="G1794" t="s">
        <v>332</v>
      </c>
      <c r="H1794" s="3">
        <v>13393.4</v>
      </c>
      <c r="I1794" s="3">
        <v>13393.4</v>
      </c>
      <c r="J1794">
        <v>0</v>
      </c>
      <c r="K1794" s="3">
        <v>13393.4</v>
      </c>
      <c r="L1794" s="3">
        <v>2445.16</v>
      </c>
      <c r="M1794" s="3">
        <v>1149.23</v>
      </c>
      <c r="N1794" t="s">
        <v>106</v>
      </c>
      <c r="O1794" t="s">
        <v>53</v>
      </c>
      <c r="P1794" t="s">
        <v>53</v>
      </c>
      <c r="Q1794" t="s">
        <v>53</v>
      </c>
      <c r="R1794" t="s">
        <v>54</v>
      </c>
      <c r="S1794" t="s">
        <v>54</v>
      </c>
      <c r="T1794" t="s">
        <v>55</v>
      </c>
      <c r="U1794">
        <v>145</v>
      </c>
      <c r="V1794" t="s">
        <v>92</v>
      </c>
      <c r="W1794" t="s">
        <v>134</v>
      </c>
      <c r="X1794" s="4">
        <v>0</v>
      </c>
      <c r="Y1794" t="s">
        <v>58</v>
      </c>
      <c r="Z1794" s="3">
        <v>0</v>
      </c>
      <c r="AA1794">
        <v>0</v>
      </c>
      <c r="AB1794">
        <v>0</v>
      </c>
      <c r="AC1794">
        <v>0</v>
      </c>
      <c r="AD1794" s="3">
        <v>2445.16</v>
      </c>
      <c r="AE1794" s="3">
        <v>1461</v>
      </c>
      <c r="AF1794" t="s">
        <v>54</v>
      </c>
      <c r="AG1794" t="s">
        <v>59</v>
      </c>
      <c r="AH1794" t="s">
        <v>79</v>
      </c>
      <c r="AI1794" t="s">
        <v>73</v>
      </c>
      <c r="AJ1794" t="s">
        <v>92</v>
      </c>
      <c r="AK1794" s="5">
        <v>46056.690995370373</v>
      </c>
      <c r="AO1794" t="s">
        <v>54</v>
      </c>
      <c r="AP1794">
        <v>0</v>
      </c>
      <c r="AR1794" t="s">
        <v>54</v>
      </c>
      <c r="AS1794" t="s">
        <v>54</v>
      </c>
      <c r="AT1794">
        <v>8600</v>
      </c>
      <c r="AU1794" t="s">
        <v>55</v>
      </c>
    </row>
    <row r="1795" spans="1:47" x14ac:dyDescent="0.25">
      <c r="A1795" t="s">
        <v>47</v>
      </c>
      <c r="B1795" s="1">
        <v>38512</v>
      </c>
      <c r="C1795" t="s">
        <v>48</v>
      </c>
      <c r="D1795" t="s">
        <v>49</v>
      </c>
      <c r="E1795" s="2">
        <v>46056</v>
      </c>
      <c r="F1795" t="s">
        <v>368</v>
      </c>
      <c r="G1795" t="s">
        <v>69</v>
      </c>
      <c r="H1795" s="3">
        <v>4845.8999999999996</v>
      </c>
      <c r="I1795" s="3">
        <v>4845.8999999999996</v>
      </c>
      <c r="J1795">
        <v>0</v>
      </c>
      <c r="K1795" s="3">
        <v>5572.78</v>
      </c>
      <c r="L1795" s="3">
        <v>922.55</v>
      </c>
      <c r="M1795" s="3">
        <v>295.60000000000002</v>
      </c>
      <c r="N1795" t="s">
        <v>77</v>
      </c>
      <c r="O1795" t="s">
        <v>53</v>
      </c>
      <c r="P1795" t="s">
        <v>53</v>
      </c>
      <c r="Q1795" t="s">
        <v>53</v>
      </c>
      <c r="R1795" t="s">
        <v>54</v>
      </c>
      <c r="S1795" t="s">
        <v>54</v>
      </c>
      <c r="T1795" t="s">
        <v>55</v>
      </c>
      <c r="U1795">
        <v>83</v>
      </c>
      <c r="W1795" t="s">
        <v>181</v>
      </c>
      <c r="X1795" s="4">
        <v>0</v>
      </c>
      <c r="Y1795" t="s">
        <v>62</v>
      </c>
      <c r="Z1795" s="3"/>
      <c r="AE1795" s="3"/>
      <c r="AK1795" s="5"/>
    </row>
    <row r="1796" spans="1:47" x14ac:dyDescent="0.25">
      <c r="A1796" t="s">
        <v>63</v>
      </c>
      <c r="B1796" s="1">
        <v>922.55</v>
      </c>
      <c r="C1796">
        <v>0</v>
      </c>
      <c r="D1796">
        <v>0</v>
      </c>
      <c r="E1796" s="2">
        <v>0</v>
      </c>
      <c r="F1796">
        <v>0</v>
      </c>
      <c r="G1796" s="3">
        <v>1030</v>
      </c>
      <c r="H1796" s="3" t="s">
        <v>54</v>
      </c>
      <c r="I1796" s="3" t="s">
        <v>59</v>
      </c>
      <c r="K1796" s="3" t="s">
        <v>80</v>
      </c>
      <c r="L1796" s="3" t="s">
        <v>73</v>
      </c>
      <c r="M1796" s="3">
        <v>46056.636597222219</v>
      </c>
      <c r="Q1796" t="s">
        <v>54</v>
      </c>
      <c r="R1796">
        <v>0</v>
      </c>
      <c r="T1796" t="s">
        <v>54</v>
      </c>
      <c r="U1796" t="s">
        <v>54</v>
      </c>
      <c r="V1796">
        <v>7361</v>
      </c>
      <c r="W1796" t="s">
        <v>55</v>
      </c>
      <c r="X1796" s="4"/>
    </row>
    <row r="1797" spans="1:47" x14ac:dyDescent="0.25">
      <c r="A1797" t="s">
        <v>96</v>
      </c>
      <c r="B1797" s="1">
        <v>38514</v>
      </c>
      <c r="C1797" t="s">
        <v>48</v>
      </c>
      <c r="D1797" t="s">
        <v>49</v>
      </c>
      <c r="E1797" s="2">
        <v>46057</v>
      </c>
      <c r="F1797" t="s">
        <v>351</v>
      </c>
      <c r="G1797" s="3" t="s">
        <v>89</v>
      </c>
      <c r="H1797" s="3">
        <v>7764</v>
      </c>
      <c r="I1797" s="3">
        <v>7764</v>
      </c>
      <c r="J1797">
        <v>0</v>
      </c>
      <c r="K1797" s="3">
        <v>7764</v>
      </c>
      <c r="L1797" s="3">
        <v>1257.2</v>
      </c>
      <c r="M1797" s="3">
        <v>653.74</v>
      </c>
      <c r="N1797" t="s">
        <v>52</v>
      </c>
      <c r="O1797" t="s">
        <v>53</v>
      </c>
      <c r="P1797" t="s">
        <v>53</v>
      </c>
      <c r="Q1797" t="s">
        <v>53</v>
      </c>
      <c r="R1797" t="s">
        <v>54</v>
      </c>
      <c r="S1797" t="s">
        <v>54</v>
      </c>
      <c r="T1797" t="s">
        <v>55</v>
      </c>
      <c r="U1797">
        <v>126</v>
      </c>
      <c r="V1797" t="s">
        <v>56</v>
      </c>
      <c r="W1797" t="s">
        <v>90</v>
      </c>
      <c r="X1797" s="4">
        <v>0</v>
      </c>
      <c r="Y1797" t="s">
        <v>62</v>
      </c>
    </row>
    <row r="1798" spans="1:47" x14ac:dyDescent="0.25">
      <c r="A1798" t="s">
        <v>63</v>
      </c>
      <c r="B1798" s="1">
        <v>0</v>
      </c>
      <c r="C1798">
        <v>0</v>
      </c>
      <c r="D1798">
        <v>0</v>
      </c>
      <c r="E1798" s="2">
        <v>0</v>
      </c>
      <c r="F1798" s="3">
        <v>1257.2</v>
      </c>
      <c r="G1798" s="3">
        <v>3600</v>
      </c>
      <c r="H1798" s="3" t="s">
        <v>54</v>
      </c>
      <c r="I1798" s="3" t="s">
        <v>59</v>
      </c>
      <c r="K1798" s="3" t="s">
        <v>60</v>
      </c>
      <c r="L1798" t="s">
        <v>60</v>
      </c>
      <c r="M1798" s="3">
        <v>46057.402233796296</v>
      </c>
      <c r="Q1798" t="s">
        <v>54</v>
      </c>
      <c r="R1798">
        <v>0</v>
      </c>
      <c r="T1798" t="s">
        <v>54</v>
      </c>
      <c r="U1798" t="s">
        <v>54</v>
      </c>
      <c r="V1798">
        <v>8070</v>
      </c>
      <c r="W1798" t="s">
        <v>55</v>
      </c>
      <c r="X1798" s="4"/>
    </row>
    <row r="1799" spans="1:47" x14ac:dyDescent="0.25">
      <c r="A1799" t="s">
        <v>47</v>
      </c>
      <c r="B1799" s="1">
        <v>38515</v>
      </c>
      <c r="C1799" t="s">
        <v>48</v>
      </c>
      <c r="D1799" t="s">
        <v>49</v>
      </c>
      <c r="E1799" s="2">
        <v>46057</v>
      </c>
      <c r="F1799" t="s">
        <v>150</v>
      </c>
      <c r="G1799" t="s">
        <v>66</v>
      </c>
      <c r="H1799" s="3">
        <v>1389.4</v>
      </c>
      <c r="I1799" s="3">
        <v>1389.4</v>
      </c>
      <c r="J1799">
        <v>0</v>
      </c>
      <c r="K1799" s="3">
        <v>1597.81</v>
      </c>
      <c r="L1799">
        <v>150.12</v>
      </c>
      <c r="M1799" s="3">
        <v>112.29</v>
      </c>
      <c r="N1799" t="s">
        <v>84</v>
      </c>
      <c r="O1799" t="s">
        <v>53</v>
      </c>
      <c r="P1799" t="s">
        <v>53</v>
      </c>
      <c r="Q1799" t="s">
        <v>53</v>
      </c>
      <c r="R1799" t="s">
        <v>54</v>
      </c>
      <c r="S1799" t="s">
        <v>54</v>
      </c>
      <c r="T1799" t="s">
        <v>55</v>
      </c>
      <c r="U1799">
        <v>9</v>
      </c>
      <c r="V1799" t="s">
        <v>71</v>
      </c>
      <c r="W1799" t="s">
        <v>57</v>
      </c>
      <c r="X1799" s="4">
        <v>0</v>
      </c>
      <c r="Y1799" t="s">
        <v>58</v>
      </c>
      <c r="Z1799">
        <v>0</v>
      </c>
      <c r="AA1799">
        <v>0</v>
      </c>
      <c r="AB1799">
        <v>150.12</v>
      </c>
      <c r="AC1799">
        <v>0</v>
      </c>
      <c r="AD1799">
        <v>0</v>
      </c>
      <c r="AE1799">
        <v>40</v>
      </c>
      <c r="AF1799" t="s">
        <v>54</v>
      </c>
      <c r="AG1799" t="s">
        <v>59</v>
      </c>
      <c r="AI1799" t="s">
        <v>73</v>
      </c>
      <c r="AJ1799" t="s">
        <v>73</v>
      </c>
      <c r="AK1799" s="5">
        <v>46057.414085648146</v>
      </c>
      <c r="AO1799" t="s">
        <v>54</v>
      </c>
      <c r="AP1799">
        <v>0</v>
      </c>
      <c r="AR1799" t="s">
        <v>54</v>
      </c>
      <c r="AS1799" t="s">
        <v>54</v>
      </c>
      <c r="AT1799">
        <v>1009</v>
      </c>
      <c r="AU1799" t="s">
        <v>55</v>
      </c>
    </row>
    <row r="1800" spans="1:47" x14ac:dyDescent="0.25">
      <c r="A1800" t="s">
        <v>96</v>
      </c>
      <c r="B1800" s="1">
        <v>38516</v>
      </c>
      <c r="C1800" t="s">
        <v>48</v>
      </c>
      <c r="D1800" t="s">
        <v>49</v>
      </c>
      <c r="E1800" s="2">
        <v>46057</v>
      </c>
      <c r="F1800" t="s">
        <v>205</v>
      </c>
      <c r="G1800" t="s">
        <v>66</v>
      </c>
      <c r="H1800" s="3">
        <v>3850</v>
      </c>
      <c r="I1800" s="3">
        <v>3850</v>
      </c>
      <c r="J1800">
        <v>0</v>
      </c>
      <c r="K1800" s="3">
        <v>3850</v>
      </c>
      <c r="L1800" s="3">
        <v>1060</v>
      </c>
      <c r="M1800" s="3">
        <v>319.3</v>
      </c>
      <c r="N1800" t="s">
        <v>52</v>
      </c>
      <c r="O1800" t="s">
        <v>53</v>
      </c>
      <c r="P1800" t="s">
        <v>53</v>
      </c>
      <c r="Q1800" t="s">
        <v>53</v>
      </c>
      <c r="R1800" t="s">
        <v>54</v>
      </c>
      <c r="S1800" t="s">
        <v>54</v>
      </c>
      <c r="T1800" t="s">
        <v>55</v>
      </c>
      <c r="U1800">
        <v>126</v>
      </c>
      <c r="V1800" t="s">
        <v>56</v>
      </c>
      <c r="W1800" t="s">
        <v>95</v>
      </c>
      <c r="X1800" s="4">
        <v>0</v>
      </c>
      <c r="Y1800" t="s">
        <v>58</v>
      </c>
      <c r="Z1800" s="3">
        <v>1060</v>
      </c>
      <c r="AA1800">
        <v>0</v>
      </c>
      <c r="AB1800">
        <v>0</v>
      </c>
      <c r="AC1800">
        <v>0</v>
      </c>
      <c r="AD1800">
        <v>0</v>
      </c>
      <c r="AE1800" s="3">
        <v>25000</v>
      </c>
      <c r="AF1800" t="s">
        <v>54</v>
      </c>
      <c r="AG1800" t="s">
        <v>59</v>
      </c>
      <c r="AH1800" t="s">
        <v>165</v>
      </c>
      <c r="AI1800" t="s">
        <v>60</v>
      </c>
      <c r="AJ1800" t="s">
        <v>60</v>
      </c>
      <c r="AK1800" s="5">
        <v>46057.417604166665</v>
      </c>
      <c r="AO1800" t="s">
        <v>54</v>
      </c>
      <c r="AP1800">
        <v>0</v>
      </c>
      <c r="AR1800" t="s">
        <v>54</v>
      </c>
      <c r="AS1800" t="s">
        <v>54</v>
      </c>
      <c r="AT1800">
        <v>4759</v>
      </c>
      <c r="AU1800" t="s">
        <v>55</v>
      </c>
    </row>
    <row r="1801" spans="1:47" x14ac:dyDescent="0.25">
      <c r="A1801" t="s">
        <v>47</v>
      </c>
      <c r="B1801" s="1">
        <v>38517</v>
      </c>
      <c r="C1801" t="s">
        <v>48</v>
      </c>
      <c r="D1801" t="s">
        <v>49</v>
      </c>
      <c r="E1801" s="2">
        <v>46057</v>
      </c>
      <c r="F1801" t="s">
        <v>150</v>
      </c>
      <c r="G1801" s="3" t="s">
        <v>66</v>
      </c>
      <c r="H1801" s="3">
        <v>2165.1999999999998</v>
      </c>
      <c r="I1801" s="3">
        <v>2165.1999999999998</v>
      </c>
      <c r="J1801">
        <v>0</v>
      </c>
      <c r="K1801" s="3">
        <v>2489.98</v>
      </c>
      <c r="L1801">
        <v>210.16</v>
      </c>
      <c r="M1801" s="3">
        <v>157.19999999999999</v>
      </c>
      <c r="N1801" t="s">
        <v>84</v>
      </c>
      <c r="O1801" t="s">
        <v>53</v>
      </c>
      <c r="P1801" t="s">
        <v>53</v>
      </c>
      <c r="Q1801" t="s">
        <v>53</v>
      </c>
      <c r="R1801" t="s">
        <v>54</v>
      </c>
      <c r="S1801" t="s">
        <v>54</v>
      </c>
      <c r="T1801" t="s">
        <v>55</v>
      </c>
      <c r="U1801">
        <v>9</v>
      </c>
      <c r="V1801" t="s">
        <v>71</v>
      </c>
      <c r="W1801" t="s">
        <v>57</v>
      </c>
      <c r="X1801" s="4">
        <v>0</v>
      </c>
      <c r="Y1801" t="s">
        <v>58</v>
      </c>
      <c r="Z1801">
        <v>0</v>
      </c>
      <c r="AA1801">
        <v>0</v>
      </c>
      <c r="AB1801">
        <v>210.16</v>
      </c>
      <c r="AC1801">
        <v>0</v>
      </c>
      <c r="AD1801">
        <v>0</v>
      </c>
      <c r="AE1801">
        <v>60</v>
      </c>
      <c r="AF1801" t="s">
        <v>54</v>
      </c>
      <c r="AG1801" t="s">
        <v>59</v>
      </c>
      <c r="AI1801" t="s">
        <v>73</v>
      </c>
      <c r="AJ1801" t="s">
        <v>73</v>
      </c>
      <c r="AK1801" s="5">
        <v>46057.419872685183</v>
      </c>
      <c r="AO1801" t="s">
        <v>54</v>
      </c>
      <c r="AP1801">
        <v>0</v>
      </c>
      <c r="AR1801" t="s">
        <v>54</v>
      </c>
      <c r="AS1801" t="s">
        <v>54</v>
      </c>
      <c r="AT1801">
        <v>1009</v>
      </c>
      <c r="AU1801" t="s">
        <v>55</v>
      </c>
    </row>
    <row r="1802" spans="1:47" x14ac:dyDescent="0.25">
      <c r="A1802" t="s">
        <v>47</v>
      </c>
      <c r="B1802" s="1">
        <v>38518</v>
      </c>
      <c r="C1802" t="s">
        <v>48</v>
      </c>
      <c r="D1802" t="s">
        <v>49</v>
      </c>
      <c r="E1802" s="2">
        <v>46057</v>
      </c>
      <c r="F1802" t="s">
        <v>150</v>
      </c>
      <c r="G1802" t="s">
        <v>66</v>
      </c>
      <c r="H1802" s="3">
        <v>5703.6</v>
      </c>
      <c r="I1802" s="3">
        <v>5703.6</v>
      </c>
      <c r="J1802">
        <v>0</v>
      </c>
      <c r="K1802" s="3">
        <v>6133.79</v>
      </c>
      <c r="L1802" s="3">
        <v>752.04</v>
      </c>
      <c r="M1802" s="3">
        <v>351.59</v>
      </c>
      <c r="N1802" t="s">
        <v>84</v>
      </c>
      <c r="O1802" t="s">
        <v>53</v>
      </c>
      <c r="P1802" t="s">
        <v>53</v>
      </c>
      <c r="Q1802" t="s">
        <v>53</v>
      </c>
      <c r="R1802" t="s">
        <v>54</v>
      </c>
      <c r="S1802" t="s">
        <v>54</v>
      </c>
      <c r="T1802" t="s">
        <v>55</v>
      </c>
      <c r="U1802">
        <v>9</v>
      </c>
      <c r="V1802" t="s">
        <v>71</v>
      </c>
      <c r="W1802" t="s">
        <v>57</v>
      </c>
      <c r="X1802" s="4">
        <v>0</v>
      </c>
      <c r="Y1802" t="s">
        <v>58</v>
      </c>
      <c r="Z1802">
        <v>530</v>
      </c>
      <c r="AA1802">
        <v>0</v>
      </c>
      <c r="AB1802">
        <v>222.04</v>
      </c>
      <c r="AC1802">
        <v>0</v>
      </c>
      <c r="AD1802">
        <v>0</v>
      </c>
      <c r="AE1802" s="3">
        <v>1060</v>
      </c>
      <c r="AF1802" t="s">
        <v>54</v>
      </c>
      <c r="AG1802" t="s">
        <v>59</v>
      </c>
      <c r="AI1802" t="s">
        <v>73</v>
      </c>
      <c r="AJ1802" t="s">
        <v>73</v>
      </c>
      <c r="AK1802" s="5">
        <v>46057.421446759261</v>
      </c>
      <c r="AO1802" t="s">
        <v>54</v>
      </c>
      <c r="AP1802">
        <v>0</v>
      </c>
      <c r="AR1802" t="s">
        <v>54</v>
      </c>
      <c r="AS1802" t="s">
        <v>54</v>
      </c>
      <c r="AT1802">
        <v>1009</v>
      </c>
      <c r="AU1802" t="s">
        <v>55</v>
      </c>
    </row>
    <row r="1803" spans="1:47" x14ac:dyDescent="0.25">
      <c r="A1803" t="s">
        <v>47</v>
      </c>
      <c r="B1803" s="1">
        <v>38519</v>
      </c>
      <c r="C1803" t="s">
        <v>48</v>
      </c>
      <c r="D1803" t="s">
        <v>49</v>
      </c>
      <c r="E1803" s="2">
        <v>46057</v>
      </c>
      <c r="F1803" t="s">
        <v>150</v>
      </c>
      <c r="G1803" s="3" t="s">
        <v>66</v>
      </c>
      <c r="H1803" s="3">
        <v>2217.4</v>
      </c>
      <c r="I1803" s="3">
        <v>2217.4</v>
      </c>
      <c r="J1803">
        <v>0</v>
      </c>
      <c r="K1803" s="3">
        <v>2550.0100000000002</v>
      </c>
      <c r="L1803">
        <v>235.2</v>
      </c>
      <c r="M1803" s="3">
        <v>175.93</v>
      </c>
      <c r="N1803" t="s">
        <v>84</v>
      </c>
      <c r="O1803" t="s">
        <v>53</v>
      </c>
      <c r="P1803" t="s">
        <v>53</v>
      </c>
      <c r="Q1803" t="s">
        <v>53</v>
      </c>
      <c r="R1803" t="s">
        <v>54</v>
      </c>
      <c r="S1803" t="s">
        <v>54</v>
      </c>
      <c r="T1803" t="s">
        <v>55</v>
      </c>
      <c r="U1803">
        <v>9</v>
      </c>
      <c r="V1803" t="s">
        <v>71</v>
      </c>
      <c r="W1803" t="s">
        <v>57</v>
      </c>
      <c r="X1803" s="4">
        <v>0</v>
      </c>
      <c r="Y1803" t="s">
        <v>58</v>
      </c>
      <c r="Z1803">
        <v>0</v>
      </c>
      <c r="AA1803">
        <v>0</v>
      </c>
      <c r="AB1803">
        <v>235.2</v>
      </c>
      <c r="AC1803">
        <v>0</v>
      </c>
      <c r="AD1803">
        <v>0</v>
      </c>
      <c r="AE1803">
        <v>60</v>
      </c>
      <c r="AF1803" t="s">
        <v>54</v>
      </c>
      <c r="AG1803" t="s">
        <v>59</v>
      </c>
      <c r="AI1803" t="s">
        <v>73</v>
      </c>
      <c r="AJ1803" t="s">
        <v>73</v>
      </c>
      <c r="AK1803" s="5">
        <v>46057.424016203702</v>
      </c>
      <c r="AO1803" t="s">
        <v>54</v>
      </c>
      <c r="AP1803">
        <v>0</v>
      </c>
      <c r="AR1803" t="s">
        <v>54</v>
      </c>
      <c r="AS1803" t="s">
        <v>54</v>
      </c>
      <c r="AT1803">
        <v>1009</v>
      </c>
      <c r="AU1803" t="s">
        <v>55</v>
      </c>
    </row>
    <row r="1804" spans="1:47" x14ac:dyDescent="0.25">
      <c r="A1804" t="s">
        <v>96</v>
      </c>
      <c r="B1804" s="1">
        <v>38521</v>
      </c>
      <c r="C1804" t="s">
        <v>48</v>
      </c>
      <c r="D1804" t="s">
        <v>49</v>
      </c>
      <c r="E1804" s="2">
        <v>46057</v>
      </c>
      <c r="F1804" t="s">
        <v>198</v>
      </c>
      <c r="G1804" t="s">
        <v>69</v>
      </c>
      <c r="H1804" s="3">
        <v>4709</v>
      </c>
      <c r="I1804" s="3">
        <v>4709</v>
      </c>
      <c r="J1804">
        <v>0</v>
      </c>
      <c r="K1804" s="3">
        <v>4709</v>
      </c>
      <c r="L1804" s="3">
        <v>969</v>
      </c>
      <c r="M1804" s="3">
        <v>377.91</v>
      </c>
      <c r="N1804" t="s">
        <v>84</v>
      </c>
      <c r="O1804" t="s">
        <v>53</v>
      </c>
      <c r="P1804" t="s">
        <v>53</v>
      </c>
      <c r="Q1804" t="s">
        <v>53</v>
      </c>
      <c r="R1804" t="s">
        <v>54</v>
      </c>
      <c r="S1804" t="s">
        <v>54</v>
      </c>
      <c r="T1804" t="s">
        <v>55</v>
      </c>
      <c r="U1804">
        <v>9</v>
      </c>
      <c r="V1804" t="s">
        <v>71</v>
      </c>
      <c r="W1804" t="s">
        <v>153</v>
      </c>
      <c r="X1804" s="4">
        <v>0</v>
      </c>
      <c r="Y1804" t="s">
        <v>58</v>
      </c>
      <c r="Z1804">
        <v>969</v>
      </c>
      <c r="AA1804">
        <v>0</v>
      </c>
      <c r="AB1804">
        <v>0</v>
      </c>
      <c r="AC1804">
        <v>0</v>
      </c>
      <c r="AD1804" s="3">
        <v>0</v>
      </c>
      <c r="AE1804" s="3">
        <v>1700</v>
      </c>
      <c r="AF1804" t="s">
        <v>54</v>
      </c>
      <c r="AG1804" t="s">
        <v>59</v>
      </c>
      <c r="AI1804" t="s">
        <v>73</v>
      </c>
      <c r="AJ1804" t="s">
        <v>73</v>
      </c>
      <c r="AK1804" s="5">
        <v>46057.615706018521</v>
      </c>
      <c r="AO1804" t="s">
        <v>54</v>
      </c>
      <c r="AP1804">
        <v>0</v>
      </c>
      <c r="AR1804" t="s">
        <v>54</v>
      </c>
      <c r="AS1804" t="s">
        <v>54</v>
      </c>
      <c r="AT1804">
        <v>3508</v>
      </c>
      <c r="AU1804" t="s">
        <v>55</v>
      </c>
    </row>
    <row r="1805" spans="1:47" x14ac:dyDescent="0.25">
      <c r="A1805" t="s">
        <v>47</v>
      </c>
      <c r="B1805" s="1">
        <v>38523</v>
      </c>
      <c r="C1805" t="s">
        <v>48</v>
      </c>
      <c r="D1805" t="s">
        <v>49</v>
      </c>
      <c r="E1805" s="2">
        <v>46057</v>
      </c>
      <c r="F1805" t="s">
        <v>325</v>
      </c>
      <c r="G1805" t="s">
        <v>251</v>
      </c>
      <c r="H1805" s="3">
        <v>4020</v>
      </c>
      <c r="I1805" s="3">
        <v>4020</v>
      </c>
      <c r="J1805">
        <v>0</v>
      </c>
      <c r="K1805" s="3">
        <v>4623</v>
      </c>
      <c r="L1805">
        <v>732</v>
      </c>
      <c r="M1805" s="3">
        <v>212.28</v>
      </c>
      <c r="N1805" t="s">
        <v>84</v>
      </c>
      <c r="O1805" t="s">
        <v>53</v>
      </c>
      <c r="P1805" t="s">
        <v>53</v>
      </c>
      <c r="Q1805" t="s">
        <v>53</v>
      </c>
      <c r="R1805" t="s">
        <v>54</v>
      </c>
      <c r="S1805" t="s">
        <v>54</v>
      </c>
      <c r="T1805" t="s">
        <v>55</v>
      </c>
      <c r="U1805">
        <v>9</v>
      </c>
      <c r="V1805" t="s">
        <v>71</v>
      </c>
      <c r="W1805" t="s">
        <v>117</v>
      </c>
      <c r="X1805" s="4">
        <v>0</v>
      </c>
      <c r="Y1805" t="s">
        <v>58</v>
      </c>
      <c r="Z1805">
        <v>732</v>
      </c>
      <c r="AA1805">
        <v>0</v>
      </c>
      <c r="AB1805">
        <v>0</v>
      </c>
      <c r="AC1805">
        <v>0</v>
      </c>
      <c r="AD1805">
        <v>0</v>
      </c>
      <c r="AE1805" s="3">
        <v>2000</v>
      </c>
      <c r="AF1805" t="s">
        <v>54</v>
      </c>
      <c r="AG1805" t="s">
        <v>59</v>
      </c>
      <c r="AI1805" t="s">
        <v>73</v>
      </c>
      <c r="AJ1805" t="s">
        <v>73</v>
      </c>
      <c r="AK1805" s="5">
        <v>46057.694733796299</v>
      </c>
      <c r="AO1805" t="s">
        <v>54</v>
      </c>
      <c r="AP1805">
        <v>0</v>
      </c>
      <c r="AR1805" t="s">
        <v>54</v>
      </c>
      <c r="AS1805" t="s">
        <v>54</v>
      </c>
      <c r="AT1805">
        <v>6401</v>
      </c>
      <c r="AU1805" t="s">
        <v>55</v>
      </c>
    </row>
    <row r="1806" spans="1:47" x14ac:dyDescent="0.25">
      <c r="A1806" t="s">
        <v>96</v>
      </c>
      <c r="B1806" s="1">
        <v>38524</v>
      </c>
      <c r="C1806" t="s">
        <v>48</v>
      </c>
      <c r="D1806" t="s">
        <v>49</v>
      </c>
      <c r="E1806" s="2">
        <v>46057</v>
      </c>
      <c r="F1806" t="s">
        <v>142</v>
      </c>
      <c r="G1806" s="3" t="s">
        <v>94</v>
      </c>
      <c r="H1806" s="3">
        <v>3960</v>
      </c>
      <c r="I1806" s="3">
        <v>3960</v>
      </c>
      <c r="J1806">
        <v>0</v>
      </c>
      <c r="K1806" s="3">
        <v>3960</v>
      </c>
      <c r="L1806" s="3">
        <v>1045</v>
      </c>
      <c r="M1806" s="5">
        <v>303.05</v>
      </c>
      <c r="N1806" t="s">
        <v>106</v>
      </c>
      <c r="O1806" t="s">
        <v>53</v>
      </c>
      <c r="P1806" t="s">
        <v>53</v>
      </c>
      <c r="Q1806" t="s">
        <v>53</v>
      </c>
      <c r="R1806" t="s">
        <v>54</v>
      </c>
      <c r="S1806" t="s">
        <v>54</v>
      </c>
      <c r="T1806" t="s">
        <v>55</v>
      </c>
      <c r="U1806">
        <v>145</v>
      </c>
      <c r="W1806" t="s">
        <v>143</v>
      </c>
      <c r="X1806" s="4">
        <v>0</v>
      </c>
      <c r="Y1806" t="s">
        <v>62</v>
      </c>
    </row>
    <row r="1807" spans="1:47" x14ac:dyDescent="0.25">
      <c r="A1807" t="s">
        <v>63</v>
      </c>
      <c r="B1807" s="1">
        <v>1045</v>
      </c>
      <c r="C1807">
        <v>0</v>
      </c>
      <c r="D1807">
        <v>0</v>
      </c>
      <c r="E1807" s="2">
        <v>0</v>
      </c>
      <c r="F1807">
        <v>0</v>
      </c>
      <c r="G1807" s="3">
        <v>2200</v>
      </c>
      <c r="H1807" s="3" t="s">
        <v>54</v>
      </c>
      <c r="I1807" s="3" t="s">
        <v>59</v>
      </c>
      <c r="J1807" t="s">
        <v>144</v>
      </c>
      <c r="K1807" s="3" t="s">
        <v>73</v>
      </c>
      <c r="L1807" s="3" t="s">
        <v>73</v>
      </c>
      <c r="M1807" s="3">
        <v>46057.728310185186</v>
      </c>
      <c r="Q1807" t="s">
        <v>54</v>
      </c>
      <c r="R1807">
        <v>0</v>
      </c>
      <c r="T1807" t="s">
        <v>54</v>
      </c>
      <c r="U1807" t="s">
        <v>54</v>
      </c>
      <c r="V1807">
        <v>8241</v>
      </c>
      <c r="W1807" t="s">
        <v>55</v>
      </c>
      <c r="X1807" s="4"/>
      <c r="Z1807" s="3"/>
      <c r="AE1807" s="3"/>
      <c r="AK1807" s="5"/>
    </row>
    <row r="1808" spans="1:47" x14ac:dyDescent="0.25">
      <c r="A1808" t="s">
        <v>96</v>
      </c>
      <c r="B1808" s="1">
        <v>38525</v>
      </c>
      <c r="C1808" t="s">
        <v>48</v>
      </c>
      <c r="D1808" t="s">
        <v>49</v>
      </c>
      <c r="E1808" s="2">
        <v>46058</v>
      </c>
      <c r="F1808" t="s">
        <v>166</v>
      </c>
      <c r="G1808" t="s">
        <v>69</v>
      </c>
      <c r="H1808" s="3">
        <v>15280</v>
      </c>
      <c r="I1808" s="3">
        <v>15280</v>
      </c>
      <c r="J1808">
        <v>0</v>
      </c>
      <c r="K1808" s="3">
        <v>15280</v>
      </c>
      <c r="L1808" s="3">
        <v>2684</v>
      </c>
      <c r="M1808" s="3">
        <v>1543.3</v>
      </c>
      <c r="N1808" t="s">
        <v>52</v>
      </c>
      <c r="O1808" t="s">
        <v>53</v>
      </c>
      <c r="P1808" t="s">
        <v>53</v>
      </c>
      <c r="Q1808" t="s">
        <v>53</v>
      </c>
      <c r="R1808" t="s">
        <v>54</v>
      </c>
      <c r="S1808" t="s">
        <v>54</v>
      </c>
      <c r="T1808" t="s">
        <v>55</v>
      </c>
      <c r="U1808">
        <v>126</v>
      </c>
      <c r="V1808" t="s">
        <v>56</v>
      </c>
      <c r="W1808" t="s">
        <v>153</v>
      </c>
      <c r="X1808" s="4">
        <v>0</v>
      </c>
      <c r="Y1808" t="s">
        <v>58</v>
      </c>
      <c r="Z1808">
        <v>0</v>
      </c>
      <c r="AA1808">
        <v>0</v>
      </c>
      <c r="AB1808" s="3">
        <v>2684</v>
      </c>
      <c r="AC1808">
        <v>0</v>
      </c>
      <c r="AD1808">
        <v>0</v>
      </c>
      <c r="AE1808" s="3">
        <v>4000</v>
      </c>
      <c r="AF1808" t="s">
        <v>54</v>
      </c>
      <c r="AG1808" t="s">
        <v>59</v>
      </c>
      <c r="AI1808" t="s">
        <v>60</v>
      </c>
      <c r="AJ1808" t="s">
        <v>60</v>
      </c>
      <c r="AK1808" s="5">
        <v>46058.450324074074</v>
      </c>
      <c r="AO1808" t="s">
        <v>54</v>
      </c>
      <c r="AP1808">
        <v>0</v>
      </c>
      <c r="AR1808" t="s">
        <v>54</v>
      </c>
      <c r="AS1808" t="s">
        <v>54</v>
      </c>
      <c r="AT1808">
        <v>322</v>
      </c>
      <c r="AU1808" t="s">
        <v>55</v>
      </c>
    </row>
    <row r="1809" spans="2:37" x14ac:dyDescent="0.25">
      <c r="F1809" s="3"/>
      <c r="G1809" s="3"/>
    </row>
    <row r="1810" spans="2:37" x14ac:dyDescent="0.25">
      <c r="B1810" s="1"/>
      <c r="E1810" s="2"/>
      <c r="H1810" s="3"/>
      <c r="I1810" s="3"/>
      <c r="K1810" s="3"/>
      <c r="X1810" s="4"/>
      <c r="AK1810" s="5"/>
    </row>
    <row r="1811" spans="2:37" x14ac:dyDescent="0.25">
      <c r="B1811" s="1"/>
      <c r="E1811" s="2"/>
      <c r="H1811" s="3"/>
      <c r="I1811" s="3"/>
      <c r="K1811" s="3"/>
      <c r="L1811" s="3"/>
      <c r="X1811" s="4"/>
      <c r="Z1811" s="3"/>
      <c r="AE1811" s="3"/>
      <c r="AK1811" s="5"/>
    </row>
    <row r="1812" spans="2:37" x14ac:dyDescent="0.25">
      <c r="B1812" s="1"/>
      <c r="E1812" s="2"/>
      <c r="H1812" s="3"/>
      <c r="I1812" s="3"/>
      <c r="K1812" s="3"/>
      <c r="X1812" s="4"/>
      <c r="AK1812" s="5"/>
    </row>
    <row r="1813" spans="2:37" x14ac:dyDescent="0.25">
      <c r="B1813" s="1"/>
      <c r="E1813" s="2"/>
      <c r="H1813" s="3"/>
      <c r="I1813" s="3"/>
      <c r="K1813" s="3"/>
      <c r="X1813" s="4"/>
      <c r="AE1813" s="3"/>
      <c r="AK1813" s="5"/>
    </row>
    <row r="1814" spans="2:37" x14ac:dyDescent="0.25">
      <c r="B1814" s="1"/>
      <c r="E1814" s="2"/>
      <c r="H1814" s="3"/>
      <c r="I1814" s="3"/>
      <c r="K1814" s="3"/>
      <c r="X1814" s="4"/>
      <c r="AK1814" s="5"/>
    </row>
    <row r="1815" spans="2:37" x14ac:dyDescent="0.25">
      <c r="B1815" s="1"/>
      <c r="E1815" s="2"/>
      <c r="H1815" s="3"/>
      <c r="I1815" s="3"/>
      <c r="K1815" s="3"/>
      <c r="X1815" s="4"/>
      <c r="AE1815" s="3"/>
      <c r="AK1815" s="5"/>
    </row>
    <row r="1816" spans="2:37" x14ac:dyDescent="0.25">
      <c r="B1816" s="1"/>
      <c r="E1816" s="2"/>
      <c r="H1816" s="3"/>
      <c r="I1816" s="3"/>
      <c r="K1816" s="3"/>
      <c r="X1816" s="4"/>
      <c r="AK1816" s="5"/>
    </row>
    <row r="1817" spans="2:37" x14ac:dyDescent="0.25">
      <c r="B1817" s="1"/>
      <c r="E1817" s="2"/>
      <c r="H1817" s="3"/>
      <c r="I1817" s="3"/>
      <c r="K1817" s="3"/>
      <c r="X1817" s="4"/>
      <c r="AE1817" s="3"/>
      <c r="AK1817" s="5"/>
    </row>
    <row r="1818" spans="2:37" x14ac:dyDescent="0.25">
      <c r="B1818" s="1"/>
      <c r="E1818" s="2"/>
      <c r="H1818" s="3"/>
      <c r="I1818" s="3"/>
      <c r="K1818" s="3"/>
      <c r="L1818" s="3"/>
      <c r="X1818" s="4"/>
    </row>
    <row r="1819" spans="2:37" x14ac:dyDescent="0.25">
      <c r="B1819" s="3"/>
      <c r="G1819" s="3"/>
    </row>
    <row r="1830" spans="7:8" x14ac:dyDescent="0.25">
      <c r="H1830" s="6"/>
    </row>
    <row r="1831" spans="7:8" x14ac:dyDescent="0.25">
      <c r="H1831" s="6"/>
    </row>
    <row r="1832" spans="7:8" x14ac:dyDescent="0.25">
      <c r="G1832" s="3"/>
      <c r="H1832" s="7"/>
    </row>
    <row r="1833" spans="7:8" x14ac:dyDescent="0.25">
      <c r="H1833" s="6"/>
    </row>
    <row r="1834" spans="7:8" x14ac:dyDescent="0.25">
      <c r="H1834" s="6"/>
    </row>
    <row r="1839" spans="7:8" x14ac:dyDescent="0.25">
      <c r="H1839" s="6"/>
    </row>
    <row r="1840" spans="7:8" x14ac:dyDescent="0.25">
      <c r="H1840" s="6"/>
    </row>
    <row r="1841" spans="7:8" x14ac:dyDescent="0.25">
      <c r="G1841" s="3"/>
      <c r="H1841" s="7"/>
    </row>
    <row r="1842" spans="7:8" x14ac:dyDescent="0.25">
      <c r="H1842" s="6"/>
    </row>
    <row r="1843" spans="7:8" x14ac:dyDescent="0.25">
      <c r="H1843" s="6"/>
    </row>
  </sheetData>
  <autoFilter ref="A1:AU1816" xr:uid="{5695F443-BC3D-48D0-8CD1-D8C4D00277A1}"/>
  <conditionalFormatting sqref="B1:B1823 B1825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3FB9-48F3-41D1-B6BA-29C9EE90DA6F}">
  <dimension ref="A2:E9"/>
  <sheetViews>
    <sheetView workbookViewId="0">
      <selection activeCell="E15" sqref="E15"/>
    </sheetView>
  </sheetViews>
  <sheetFormatPr defaultRowHeight="14.3" x14ac:dyDescent="0.25"/>
  <cols>
    <col min="1" max="1" width="15.625" bestFit="1" customWidth="1"/>
    <col min="2" max="2" width="13.875" style="8" bestFit="1" customWidth="1"/>
    <col min="4" max="4" width="15.625" bestFit="1" customWidth="1"/>
    <col min="5" max="5" width="13.875" bestFit="1" customWidth="1"/>
  </cols>
  <sheetData>
    <row r="2" spans="1:5" x14ac:dyDescent="0.25">
      <c r="A2">
        <v>2026</v>
      </c>
      <c r="D2">
        <v>2025</v>
      </c>
    </row>
    <row r="3" spans="1:5" x14ac:dyDescent="0.25">
      <c r="A3" t="s">
        <v>10</v>
      </c>
      <c r="B3" s="11">
        <f>SUBTOTAL(9,Planilha1!K1:K1825)</f>
        <v>15402093.590000017</v>
      </c>
      <c r="D3" t="s">
        <v>10</v>
      </c>
      <c r="E3" s="11">
        <v>136341.22000000003</v>
      </c>
    </row>
    <row r="4" spans="1:5" x14ac:dyDescent="0.25">
      <c r="A4" t="s">
        <v>11</v>
      </c>
      <c r="B4" s="9">
        <f>SUBTOTAL(9,Planilha1!L1:L1820)</f>
        <v>2495790.1300000018</v>
      </c>
      <c r="D4" t="s">
        <v>11</v>
      </c>
      <c r="E4" s="9">
        <v>19637.32</v>
      </c>
    </row>
    <row r="5" spans="1:5" x14ac:dyDescent="0.25">
      <c r="A5" s="3" t="s">
        <v>12</v>
      </c>
      <c r="B5" s="12">
        <f>SUBTOTAL(9,Planilha1!M1:M1821)</f>
        <v>24681556.598275464</v>
      </c>
      <c r="D5" t="s">
        <v>12</v>
      </c>
      <c r="E5" s="12">
        <v>9668.9699999999993</v>
      </c>
    </row>
    <row r="6" spans="1:5" x14ac:dyDescent="0.25">
      <c r="A6" t="s">
        <v>422</v>
      </c>
      <c r="B6" s="10">
        <f>SUBTOTAL(3,Planilha1!D2:D1821)</f>
        <v>1803</v>
      </c>
      <c r="D6" t="s">
        <v>422</v>
      </c>
      <c r="E6" s="10">
        <v>18</v>
      </c>
    </row>
    <row r="7" spans="1:5" x14ac:dyDescent="0.25">
      <c r="A7" t="s">
        <v>425</v>
      </c>
      <c r="B7" s="13">
        <f>B3/B6</f>
        <v>8542.4811924570258</v>
      </c>
      <c r="D7" t="s">
        <v>425</v>
      </c>
      <c r="E7" s="13">
        <v>7574.5122222222235</v>
      </c>
    </row>
    <row r="8" spans="1:5" x14ac:dyDescent="0.25">
      <c r="A8" t="s">
        <v>424</v>
      </c>
      <c r="B8" s="13">
        <f>B3/B4</f>
        <v>6.1712294655159994</v>
      </c>
      <c r="D8" t="s">
        <v>424</v>
      </c>
      <c r="E8" s="13">
        <v>6.9429647222737128</v>
      </c>
    </row>
    <row r="9" spans="1:5" x14ac:dyDescent="0.25">
      <c r="A9" t="s">
        <v>423</v>
      </c>
      <c r="B9" s="13">
        <f>B3/B5</f>
        <v>0.62403250494647422</v>
      </c>
      <c r="D9" t="s">
        <v>423</v>
      </c>
      <c r="E9" s="13">
        <v>14.100904232819012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2026-02-12T16:11:37Z</dcterms:modified>
</cp:coreProperties>
</file>